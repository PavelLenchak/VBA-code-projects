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Lenchak.PA\Desktop\"/>
    </mc:Choice>
  </mc:AlternateContent>
  <bookViews>
    <workbookView xWindow="0" yWindow="40500" windowWidth="20490" windowHeight="7890" tabRatio="597"/>
  </bookViews>
  <sheets>
    <sheet name="Лист2-ЭЛЕМЕНТ" sheetId="7" r:id="rId1"/>
    <sheet name="Лист4-Толщинометрия" sheetId="4" r:id="rId2"/>
    <sheet name="Вспомогательный лист" sheetId="5" r:id="rId3"/>
    <sheet name="Passport" sheetId="8" r:id="rId4"/>
    <sheet name="FLHasPassport" sheetId="13" r:id="rId5"/>
    <sheet name="EQHasPassport" sheetId="14" r:id="rId6"/>
    <sheet name="ICTE_Analysis" sheetId="9" r:id="rId7"/>
    <sheet name="ICTEhasCorrosionType" sheetId="10" r:id="rId8"/>
    <sheet name="ICTEhasUnaccountedComp" sheetId="11" r:id="rId9"/>
    <sheet name="СПРАВОЧНИК" sheetId="15" r:id="rId10"/>
    <sheet name="ШАБЛОН" sheetId="12" r:id="rId11"/>
  </sheets>
  <functionGroups builtInGroupCount="18"/>
  <externalReferences>
    <externalReference r:id="rId12"/>
    <externalReference r:id="rId13"/>
    <externalReference r:id="rId14"/>
  </externalReferences>
  <definedNames>
    <definedName name="_xlnm._FilterDatabase" localSheetId="5" hidden="1">EQHasPassport!$A$1:$C$2</definedName>
    <definedName name="_xlnm._FilterDatabase" localSheetId="4" hidden="1">FLHasPassport!$A$1:$C$2</definedName>
    <definedName name="_xlnm._FilterDatabase" localSheetId="7" hidden="1">ICTEhasCorrosionType!$B$2:$E$2</definedName>
    <definedName name="_xlnm._FilterDatabase" localSheetId="8" hidden="1">ICTEhasUnaccountedComp!$B$2:$E$2</definedName>
    <definedName name="_xlnm._FilterDatabase" localSheetId="3" hidden="1">Passport!$A$2:$BH$2</definedName>
    <definedName name="_xlnm._FilterDatabase" localSheetId="2" hidden="1">'Вспомогательный лист'!$A$4:$K$20</definedName>
    <definedName name="_xlnm._FilterDatabase" localSheetId="0" hidden="1">'Лист2-ЭЛЕМЕНТ'!$A$4:$BF$19</definedName>
    <definedName name="_xlnm._FilterDatabase" localSheetId="1" hidden="1">'Лист4-Толщинометрия'!$A$4:$J$5</definedName>
    <definedName name="_xlnm._FilterDatabase" localSheetId="10" hidden="1">ШАБЛОН!$A$6:$M$50</definedName>
    <definedName name="Information">#REF!</definedName>
    <definedName name="RBI_Data_Load_Template">#REF!</definedName>
    <definedName name="RecordAndLinkParameters">#REF!</definedName>
    <definedName name="RecordsAndLinks">#REF!</definedName>
    <definedName name="Sheet1">#REF!</definedName>
    <definedName name="компТр" localSheetId="0">#REF!</definedName>
    <definedName name="компТр" localSheetId="10">#REF!</definedName>
    <definedName name="компТр">#REF!</definedName>
    <definedName name="Материал">[1]Справочники!$X$2:$X$208</definedName>
    <definedName name="_xlnm.Print_Area" localSheetId="10">ШАБЛОН!$A$1:$M$50</definedName>
    <definedName name="Числа">[2]Т3!#REF!</definedName>
    <definedName name="элемент">[3]Справочники!$D$2:$D$14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5" l="1"/>
  <c r="B6" i="5"/>
  <c r="C6" i="5"/>
  <c r="D6" i="5"/>
  <c r="F6" i="5"/>
  <c r="G6" i="5"/>
  <c r="H6" i="5"/>
  <c r="K6" i="5"/>
  <c r="A7" i="5"/>
  <c r="B7" i="5"/>
  <c r="C7" i="5"/>
  <c r="D7" i="5"/>
  <c r="F7" i="5"/>
  <c r="G7" i="5"/>
  <c r="H7" i="5"/>
  <c r="K7" i="5"/>
  <c r="A8" i="5"/>
  <c r="B8" i="5"/>
  <c r="C8" i="5"/>
  <c r="D8" i="5"/>
  <c r="F8" i="5"/>
  <c r="G8" i="5"/>
  <c r="H8" i="5"/>
  <c r="K8" i="5"/>
  <c r="A9" i="5"/>
  <c r="B9" i="5"/>
  <c r="C9" i="5"/>
  <c r="D9" i="5"/>
  <c r="F9" i="5"/>
  <c r="G9" i="5"/>
  <c r="H9" i="5"/>
  <c r="K9" i="5"/>
  <c r="A10" i="5"/>
  <c r="B10" i="5"/>
  <c r="C10" i="5"/>
  <c r="D10" i="5"/>
  <c r="F10" i="5"/>
  <c r="G10" i="5"/>
  <c r="H10" i="5"/>
  <c r="K10" i="5"/>
  <c r="A11" i="5"/>
  <c r="B11" i="5"/>
  <c r="C11" i="5"/>
  <c r="D11" i="5"/>
  <c r="F11" i="5"/>
  <c r="G11" i="5"/>
  <c r="H11" i="5"/>
  <c r="K11" i="5"/>
  <c r="A12" i="5"/>
  <c r="B12" i="5"/>
  <c r="C12" i="5"/>
  <c r="D12" i="5"/>
  <c r="F12" i="5"/>
  <c r="G12" i="5"/>
  <c r="H12" i="5"/>
  <c r="K12" i="5"/>
  <c r="A13" i="5"/>
  <c r="B13" i="5"/>
  <c r="C13" i="5"/>
  <c r="D13" i="5"/>
  <c r="F13" i="5"/>
  <c r="G13" i="5"/>
  <c r="H13" i="5"/>
  <c r="K13" i="5"/>
  <c r="A14" i="5"/>
  <c r="B14" i="5"/>
  <c r="C14" i="5"/>
  <c r="D14" i="5"/>
  <c r="F14" i="5"/>
  <c r="G14" i="5"/>
  <c r="H14" i="5"/>
  <c r="K14" i="5"/>
  <c r="A15" i="5"/>
  <c r="B15" i="5"/>
  <c r="C15" i="5"/>
  <c r="D15" i="5"/>
  <c r="F15" i="5"/>
  <c r="G15" i="5"/>
  <c r="H15" i="5"/>
  <c r="K15" i="5"/>
  <c r="A16" i="5"/>
  <c r="B16" i="5"/>
  <c r="C16" i="5"/>
  <c r="D16" i="5"/>
  <c r="F16" i="5"/>
  <c r="G16" i="5"/>
  <c r="H16" i="5"/>
  <c r="K16" i="5"/>
  <c r="A17" i="5"/>
  <c r="B17" i="5"/>
  <c r="C17" i="5"/>
  <c r="D17" i="5"/>
  <c r="F17" i="5"/>
  <c r="G17" i="5"/>
  <c r="H17" i="5"/>
  <c r="K17" i="5"/>
  <c r="A18" i="5"/>
  <c r="B18" i="5"/>
  <c r="C18" i="5"/>
  <c r="D18" i="5"/>
  <c r="F18" i="5"/>
  <c r="G18" i="5"/>
  <c r="H18" i="5"/>
  <c r="K18" i="5"/>
  <c r="A19" i="5"/>
  <c r="B19" i="5"/>
  <c r="C19" i="5"/>
  <c r="D19" i="5"/>
  <c r="F19" i="5"/>
  <c r="G19" i="5"/>
  <c r="H19" i="5"/>
  <c r="K19" i="5"/>
  <c r="A20" i="5"/>
  <c r="B20" i="5"/>
  <c r="C20" i="5"/>
  <c r="D20" i="5"/>
  <c r="F20" i="5"/>
  <c r="G20" i="5"/>
  <c r="H20" i="5"/>
  <c r="K20" i="5"/>
  <c r="A6" i="4"/>
  <c r="B6" i="4"/>
  <c r="C6" i="4"/>
  <c r="D6" i="4"/>
  <c r="F6" i="4"/>
  <c r="G6" i="4"/>
  <c r="A7" i="4"/>
  <c r="B7" i="4"/>
  <c r="C7" i="4"/>
  <c r="D7" i="4"/>
  <c r="F7" i="4"/>
  <c r="G7" i="4"/>
  <c r="A8" i="4"/>
  <c r="B8" i="4"/>
  <c r="C8" i="4"/>
  <c r="D8" i="4"/>
  <c r="F8" i="4"/>
  <c r="G8" i="4"/>
  <c r="A9" i="4"/>
  <c r="B9" i="4"/>
  <c r="C9" i="4"/>
  <c r="D9" i="4"/>
  <c r="F9" i="4"/>
  <c r="G9" i="4"/>
  <c r="A10" i="4"/>
  <c r="B10" i="4"/>
  <c r="C10" i="4"/>
  <c r="D10" i="4"/>
  <c r="F10" i="4"/>
  <c r="G10" i="4"/>
  <c r="A11" i="4"/>
  <c r="B11" i="4"/>
  <c r="C11" i="4"/>
  <c r="D11" i="4"/>
  <c r="F11" i="4"/>
  <c r="G11" i="4"/>
  <c r="A12" i="4"/>
  <c r="B12" i="4"/>
  <c r="C12" i="4"/>
  <c r="D12" i="4"/>
  <c r="F12" i="4"/>
  <c r="G12" i="4"/>
  <c r="A13" i="4"/>
  <c r="B13" i="4"/>
  <c r="C13" i="4"/>
  <c r="D13" i="4"/>
  <c r="F13" i="4"/>
  <c r="G13" i="4"/>
  <c r="A14" i="4"/>
  <c r="B14" i="4"/>
  <c r="C14" i="4"/>
  <c r="D14" i="4"/>
  <c r="F14" i="4"/>
  <c r="G14" i="4"/>
  <c r="A15" i="4"/>
  <c r="B15" i="4"/>
  <c r="C15" i="4"/>
  <c r="D15" i="4"/>
  <c r="F15" i="4"/>
  <c r="G15" i="4"/>
  <c r="A16" i="4"/>
  <c r="B16" i="4"/>
  <c r="C16" i="4"/>
  <c r="D16" i="4"/>
  <c r="F16" i="4"/>
  <c r="G16" i="4"/>
  <c r="A17" i="4"/>
  <c r="B17" i="4"/>
  <c r="C17" i="4"/>
  <c r="D17" i="4"/>
  <c r="F17" i="4"/>
  <c r="G17" i="4"/>
  <c r="A18" i="4"/>
  <c r="B18" i="4"/>
  <c r="C18" i="4"/>
  <c r="D18" i="4"/>
  <c r="F18" i="4"/>
  <c r="G18" i="4"/>
  <c r="A19" i="4"/>
  <c r="B19" i="4"/>
  <c r="C19" i="4"/>
  <c r="D19" i="4"/>
  <c r="F19" i="4"/>
  <c r="G19" i="4"/>
  <c r="A20" i="4"/>
  <c r="B20" i="4"/>
  <c r="C20" i="4"/>
  <c r="D20" i="4"/>
  <c r="F20" i="4"/>
  <c r="G20" i="4"/>
  <c r="E6" i="5"/>
  <c r="E7" i="5"/>
  <c r="E8" i="4"/>
  <c r="E9" i="5"/>
  <c r="E10" i="4"/>
  <c r="E11" i="5"/>
  <c r="E12" i="5"/>
  <c r="E13" i="5"/>
  <c r="E14" i="4"/>
  <c r="E15" i="5"/>
  <c r="E16" i="4"/>
  <c r="E17" i="5"/>
  <c r="E18" i="5"/>
  <c r="E19" i="5"/>
  <c r="E20" i="4"/>
  <c r="B3" i="13"/>
  <c r="A3" i="13"/>
  <c r="E19" i="4" l="1"/>
  <c r="E13" i="4"/>
  <c r="E7" i="4"/>
  <c r="E18" i="4"/>
  <c r="E12" i="4"/>
  <c r="E6" i="4"/>
  <c r="E20" i="5"/>
  <c r="E16" i="5"/>
  <c r="E14" i="5"/>
  <c r="E10" i="5"/>
  <c r="E8" i="5"/>
  <c r="E17" i="4"/>
  <c r="E11" i="4"/>
  <c r="E15" i="4"/>
  <c r="E9" i="4"/>
  <c r="B3" i="14"/>
  <c r="A3" i="14"/>
  <c r="C3" i="14" s="1"/>
  <c r="A5" i="4" l="1"/>
  <c r="C3" i="13" l="1"/>
  <c r="A5" i="5" l="1"/>
  <c r="M20" i="5" l="1"/>
  <c r="N20" i="5"/>
  <c r="O20" i="5"/>
  <c r="C5" i="4" l="1"/>
  <c r="B5" i="4"/>
  <c r="BL50" i="8" l="1"/>
  <c r="BN50" i="8"/>
  <c r="BO50" i="8"/>
  <c r="BP50" i="8"/>
  <c r="CD50" i="8"/>
  <c r="CF50" i="8"/>
  <c r="CG50" i="8"/>
  <c r="CH50" i="8"/>
  <c r="M6" i="5"/>
  <c r="N6" i="5"/>
  <c r="O6" i="5"/>
  <c r="M7" i="5"/>
  <c r="N7" i="5"/>
  <c r="O7" i="5"/>
  <c r="M8" i="5"/>
  <c r="N8" i="5"/>
  <c r="O8" i="5"/>
  <c r="M9" i="5"/>
  <c r="N9" i="5"/>
  <c r="O9" i="5"/>
  <c r="M10" i="5"/>
  <c r="N10" i="5"/>
  <c r="O10" i="5"/>
  <c r="M11" i="5"/>
  <c r="N11" i="5"/>
  <c r="O11" i="5"/>
  <c r="M12" i="5"/>
  <c r="N12" i="5"/>
  <c r="O12" i="5"/>
  <c r="M13" i="5"/>
  <c r="N13" i="5"/>
  <c r="O13" i="5"/>
  <c r="M14" i="5"/>
  <c r="N14" i="5"/>
  <c r="O14" i="5"/>
  <c r="M15" i="5"/>
  <c r="N15" i="5"/>
  <c r="O15" i="5"/>
  <c r="M16" i="5"/>
  <c r="N16" i="5"/>
  <c r="O16" i="5"/>
  <c r="M17" i="5"/>
  <c r="N17" i="5"/>
  <c r="O17" i="5"/>
  <c r="M18" i="5"/>
  <c r="N18" i="5"/>
  <c r="O18" i="5"/>
  <c r="M19" i="5"/>
  <c r="N19" i="5"/>
  <c r="R20" i="5" s="1"/>
  <c r="O19" i="5"/>
  <c r="CC50" i="8" l="1"/>
  <c r="CE50" i="8"/>
  <c r="BK50" i="8"/>
  <c r="BM50" i="8"/>
  <c r="R19" i="5"/>
  <c r="R14" i="5"/>
  <c r="R12" i="5"/>
  <c r="R8" i="5"/>
  <c r="R7" i="5"/>
  <c r="R13" i="5"/>
  <c r="R15" i="5"/>
  <c r="R9" i="5"/>
  <c r="R18" i="5"/>
  <c r="R17" i="5"/>
  <c r="R11" i="5"/>
  <c r="R16" i="5"/>
  <c r="R10" i="5"/>
  <c r="BN3" i="8" l="1"/>
  <c r="BM3" i="8" s="1"/>
  <c r="CF3" i="8"/>
  <c r="CE3" i="8" s="1"/>
  <c r="CF4" i="8"/>
  <c r="CE4" i="8" s="1"/>
  <c r="CF5" i="8"/>
  <c r="CE5" i="8" s="1"/>
  <c r="CF6" i="8"/>
  <c r="CE6" i="8" s="1"/>
  <c r="CF7" i="8"/>
  <c r="CE7" i="8" s="1"/>
  <c r="CF8" i="8"/>
  <c r="CE8" i="8" s="1"/>
  <c r="CF9" i="8"/>
  <c r="CE9" i="8" s="1"/>
  <c r="CF10" i="8"/>
  <c r="CE10" i="8" s="1"/>
  <c r="CF11" i="8"/>
  <c r="CE11" i="8" s="1"/>
  <c r="CF12" i="8"/>
  <c r="CE12" i="8" s="1"/>
  <c r="CF13" i="8"/>
  <c r="CE13" i="8" s="1"/>
  <c r="CF14" i="8"/>
  <c r="CE14" i="8" s="1"/>
  <c r="CF15" i="8"/>
  <c r="CE15" i="8" s="1"/>
  <c r="CF16" i="8"/>
  <c r="CE16" i="8" s="1"/>
  <c r="CF17" i="8"/>
  <c r="CE17" i="8" s="1"/>
  <c r="CF18" i="8"/>
  <c r="CE18" i="8" s="1"/>
  <c r="CF19" i="8"/>
  <c r="CE19" i="8" s="1"/>
  <c r="CF20" i="8"/>
  <c r="CE20" i="8" s="1"/>
  <c r="CF21" i="8"/>
  <c r="CE21" i="8" s="1"/>
  <c r="CF22" i="8"/>
  <c r="CE22" i="8" s="1"/>
  <c r="CF23" i="8"/>
  <c r="CE23" i="8" s="1"/>
  <c r="CF24" i="8"/>
  <c r="CE24" i="8" s="1"/>
  <c r="CF25" i="8"/>
  <c r="CE25" i="8" s="1"/>
  <c r="CF26" i="8"/>
  <c r="CE26" i="8" s="1"/>
  <c r="CF27" i="8"/>
  <c r="CE27" i="8" s="1"/>
  <c r="CF28" i="8"/>
  <c r="CE28" i="8" s="1"/>
  <c r="CF29" i="8"/>
  <c r="CE29" i="8" s="1"/>
  <c r="CF30" i="8"/>
  <c r="CE30" i="8" s="1"/>
  <c r="CF31" i="8"/>
  <c r="CE31" i="8" s="1"/>
  <c r="CF32" i="8"/>
  <c r="CE32" i="8" s="1"/>
  <c r="CF33" i="8"/>
  <c r="CE33" i="8" s="1"/>
  <c r="CF34" i="8"/>
  <c r="CE34" i="8" s="1"/>
  <c r="CF35" i="8"/>
  <c r="CE35" i="8" s="1"/>
  <c r="CF36" i="8"/>
  <c r="CE36" i="8" s="1"/>
  <c r="CF37" i="8"/>
  <c r="CE37" i="8" s="1"/>
  <c r="CF38" i="8"/>
  <c r="CE38" i="8" s="1"/>
  <c r="CF39" i="8"/>
  <c r="CE39" i="8" s="1"/>
  <c r="CF40" i="8"/>
  <c r="CE40" i="8" s="1"/>
  <c r="CF41" i="8"/>
  <c r="CE41" i="8" s="1"/>
  <c r="CF42" i="8"/>
  <c r="CE42" i="8" s="1"/>
  <c r="CF43" i="8"/>
  <c r="CE43" i="8" s="1"/>
  <c r="CF44" i="8"/>
  <c r="CE44" i="8" s="1"/>
  <c r="CF45" i="8"/>
  <c r="CE45" i="8" s="1"/>
  <c r="CF46" i="8"/>
  <c r="CE46" i="8" s="1"/>
  <c r="CF47" i="8"/>
  <c r="CE47" i="8" s="1"/>
  <c r="CF48" i="8"/>
  <c r="CE48" i="8" s="1"/>
  <c r="CF49" i="8"/>
  <c r="CE49" i="8" s="1"/>
  <c r="BN4" i="8"/>
  <c r="BM4" i="8" s="1"/>
  <c r="BN5" i="8"/>
  <c r="BM5" i="8" s="1"/>
  <c r="BN6" i="8"/>
  <c r="BM6" i="8" s="1"/>
  <c r="BN7" i="8"/>
  <c r="BM7" i="8" s="1"/>
  <c r="BN8" i="8"/>
  <c r="BM8" i="8" s="1"/>
  <c r="BN9" i="8"/>
  <c r="BM9" i="8" s="1"/>
  <c r="BN10" i="8"/>
  <c r="BM10" i="8" s="1"/>
  <c r="BN11" i="8"/>
  <c r="BM11" i="8" s="1"/>
  <c r="BN12" i="8"/>
  <c r="BM12" i="8" s="1"/>
  <c r="BN13" i="8"/>
  <c r="BM13" i="8" s="1"/>
  <c r="BN14" i="8"/>
  <c r="BM14" i="8" s="1"/>
  <c r="BN15" i="8"/>
  <c r="BM15" i="8" s="1"/>
  <c r="BN16" i="8"/>
  <c r="BM16" i="8" s="1"/>
  <c r="BN17" i="8"/>
  <c r="BM17" i="8" s="1"/>
  <c r="BN18" i="8"/>
  <c r="BM18" i="8" s="1"/>
  <c r="BN19" i="8"/>
  <c r="BM19" i="8" s="1"/>
  <c r="BN20" i="8"/>
  <c r="BM20" i="8" s="1"/>
  <c r="BN21" i="8"/>
  <c r="BM21" i="8" s="1"/>
  <c r="BN22" i="8"/>
  <c r="BM22" i="8" s="1"/>
  <c r="BN23" i="8"/>
  <c r="BM23" i="8" s="1"/>
  <c r="BN24" i="8"/>
  <c r="BM24" i="8" s="1"/>
  <c r="BN25" i="8"/>
  <c r="BM25" i="8" s="1"/>
  <c r="BN26" i="8"/>
  <c r="BM26" i="8" s="1"/>
  <c r="BN27" i="8"/>
  <c r="BM27" i="8" s="1"/>
  <c r="BN28" i="8"/>
  <c r="BM28" i="8" s="1"/>
  <c r="BN29" i="8"/>
  <c r="BM29" i="8" s="1"/>
  <c r="BN30" i="8"/>
  <c r="BM30" i="8" s="1"/>
  <c r="A30" i="13" s="1"/>
  <c r="BN31" i="8"/>
  <c r="BM31" i="8" s="1"/>
  <c r="BN32" i="8"/>
  <c r="BM32" i="8" s="1"/>
  <c r="BN33" i="8"/>
  <c r="BM33" i="8" s="1"/>
  <c r="BN34" i="8"/>
  <c r="BM34" i="8" s="1"/>
  <c r="BN35" i="8"/>
  <c r="BM35" i="8" s="1"/>
  <c r="BN36" i="8"/>
  <c r="BM36" i="8" s="1"/>
  <c r="BN37" i="8"/>
  <c r="BM37" i="8" s="1"/>
  <c r="BN38" i="8"/>
  <c r="BM38" i="8" s="1"/>
  <c r="BN39" i="8"/>
  <c r="BM39" i="8" s="1"/>
  <c r="BN40" i="8"/>
  <c r="BM40" i="8" s="1"/>
  <c r="BN41" i="8"/>
  <c r="BM41" i="8" s="1"/>
  <c r="BN42" i="8"/>
  <c r="BM42" i="8" s="1"/>
  <c r="BN43" i="8"/>
  <c r="BM43" i="8" s="1"/>
  <c r="BN44" i="8"/>
  <c r="BM44" i="8" s="1"/>
  <c r="BN45" i="8"/>
  <c r="BM45" i="8" s="1"/>
  <c r="BN46" i="8"/>
  <c r="BM46" i="8" s="1"/>
  <c r="BN47" i="8"/>
  <c r="BM47" i="8" s="1"/>
  <c r="BN48" i="8"/>
  <c r="BM48" i="8" s="1"/>
  <c r="BN49" i="8"/>
  <c r="BM49" i="8" s="1"/>
  <c r="A27" i="14" l="1"/>
  <c r="B27" i="14" s="1"/>
  <c r="A27" i="13"/>
  <c r="A21" i="14"/>
  <c r="B21" i="14" s="1"/>
  <c r="A21" i="13"/>
  <c r="A15" i="14"/>
  <c r="B15" i="14" s="1"/>
  <c r="A15" i="13"/>
  <c r="A25" i="13"/>
  <c r="A25" i="14"/>
  <c r="B25" i="14" s="1"/>
  <c r="A19" i="13"/>
  <c r="A19" i="14"/>
  <c r="B19" i="14" s="1"/>
  <c r="A13" i="13"/>
  <c r="A13" i="14"/>
  <c r="B13" i="14" s="1"/>
  <c r="A26" i="14"/>
  <c r="B26" i="14" s="1"/>
  <c r="A26" i="13"/>
  <c r="C30" i="13"/>
  <c r="B30" i="13"/>
  <c r="A18" i="14"/>
  <c r="B18" i="14" s="1"/>
  <c r="A18" i="13"/>
  <c r="A20" i="14"/>
  <c r="B20" i="14" s="1"/>
  <c r="A20" i="13"/>
  <c r="A24" i="14"/>
  <c r="B24" i="14" s="1"/>
  <c r="A24" i="13"/>
  <c r="A29" i="13"/>
  <c r="A29" i="14"/>
  <c r="B29" i="14" s="1"/>
  <c r="A23" i="13"/>
  <c r="A23" i="14"/>
  <c r="B23" i="14" s="1"/>
  <c r="A17" i="14"/>
  <c r="B17" i="14" s="1"/>
  <c r="A17" i="13"/>
  <c r="A14" i="14"/>
  <c r="B14" i="14" s="1"/>
  <c r="A14" i="13"/>
  <c r="A28" i="14"/>
  <c r="B28" i="14" s="1"/>
  <c r="A28" i="13"/>
  <c r="A22" i="14"/>
  <c r="B22" i="14" s="1"/>
  <c r="A22" i="13"/>
  <c r="A16" i="14"/>
  <c r="B16" i="14" s="1"/>
  <c r="A16" i="13"/>
  <c r="A6" i="14"/>
  <c r="B6" i="14" s="1"/>
  <c r="A6" i="13"/>
  <c r="A11" i="13"/>
  <c r="A11" i="14"/>
  <c r="B11" i="14" s="1"/>
  <c r="A5" i="13"/>
  <c r="A5" i="14"/>
  <c r="B5" i="14" s="1"/>
  <c r="A4" i="13"/>
  <c r="A4" i="14"/>
  <c r="B4" i="14" s="1"/>
  <c r="A9" i="14"/>
  <c r="B9" i="14" s="1"/>
  <c r="A9" i="13"/>
  <c r="A8" i="14"/>
  <c r="B8" i="14" s="1"/>
  <c r="A8" i="13"/>
  <c r="A7" i="13"/>
  <c r="A7" i="14"/>
  <c r="B7" i="14" s="1"/>
  <c r="A12" i="14"/>
  <c r="B12" i="14" s="1"/>
  <c r="A12" i="13"/>
  <c r="A10" i="13"/>
  <c r="A10" i="14"/>
  <c r="B10" i="14" s="1"/>
  <c r="C21" i="14"/>
  <c r="C22" i="14"/>
  <c r="C23" i="14"/>
  <c r="C24" i="14"/>
  <c r="C25" i="14"/>
  <c r="C26" i="14"/>
  <c r="C27" i="14"/>
  <c r="C7" i="14"/>
  <c r="C9" i="14"/>
  <c r="C11" i="14"/>
  <c r="C12" i="14"/>
  <c r="C13" i="14"/>
  <c r="C17" i="14"/>
  <c r="C20" i="14"/>
  <c r="C29" i="13" l="1"/>
  <c r="B29" i="13"/>
  <c r="C18" i="14"/>
  <c r="C16" i="13"/>
  <c r="B16" i="13"/>
  <c r="C14" i="13"/>
  <c r="B14" i="13"/>
  <c r="C18" i="13"/>
  <c r="B18" i="13"/>
  <c r="C15" i="13"/>
  <c r="B15" i="13"/>
  <c r="C22" i="13"/>
  <c r="B22" i="13"/>
  <c r="C24" i="13"/>
  <c r="B24" i="13"/>
  <c r="C19" i="13"/>
  <c r="B19" i="13"/>
  <c r="C15" i="14"/>
  <c r="C28" i="13"/>
  <c r="B28" i="13"/>
  <c r="C20" i="13"/>
  <c r="B20" i="13"/>
  <c r="C26" i="13"/>
  <c r="B26" i="13"/>
  <c r="C27" i="13"/>
  <c r="B27" i="13"/>
  <c r="C13" i="13"/>
  <c r="B13" i="13"/>
  <c r="C16" i="14"/>
  <c r="B17" i="13"/>
  <c r="C17" i="13"/>
  <c r="C21" i="13"/>
  <c r="B21" i="13"/>
  <c r="C8" i="14"/>
  <c r="C14" i="14"/>
  <c r="C19" i="14"/>
  <c r="C23" i="13"/>
  <c r="B23" i="13"/>
  <c r="C25" i="13"/>
  <c r="B25" i="13"/>
  <c r="B8" i="13"/>
  <c r="C8" i="13"/>
  <c r="C6" i="13"/>
  <c r="B6" i="13"/>
  <c r="C10" i="13"/>
  <c r="B10" i="13"/>
  <c r="C4" i="13"/>
  <c r="B4" i="13"/>
  <c r="C6" i="14"/>
  <c r="B12" i="13"/>
  <c r="C12" i="13"/>
  <c r="C9" i="13"/>
  <c r="B9" i="13"/>
  <c r="C5" i="14"/>
  <c r="C5" i="13"/>
  <c r="B5" i="13"/>
  <c r="C10" i="14"/>
  <c r="C4" i="14"/>
  <c r="B7" i="13"/>
  <c r="C7" i="13"/>
  <c r="C11" i="13"/>
  <c r="B11" i="13"/>
  <c r="CH3" i="8"/>
  <c r="CH4" i="8"/>
  <c r="CH5" i="8"/>
  <c r="CH6" i="8"/>
  <c r="CH7" i="8"/>
  <c r="CH8" i="8"/>
  <c r="CH9" i="8"/>
  <c r="CH10" i="8"/>
  <c r="CH11" i="8"/>
  <c r="CH12" i="8"/>
  <c r="CH13" i="8"/>
  <c r="CH14" i="8"/>
  <c r="CH15" i="8"/>
  <c r="CH16" i="8"/>
  <c r="CH17" i="8"/>
  <c r="CH18" i="8"/>
  <c r="CH19" i="8"/>
  <c r="CH20" i="8"/>
  <c r="CH21" i="8"/>
  <c r="CH22" i="8"/>
  <c r="CH23" i="8"/>
  <c r="CH24" i="8"/>
  <c r="CH25" i="8"/>
  <c r="CH26" i="8"/>
  <c r="CH27" i="8"/>
  <c r="CH28" i="8"/>
  <c r="CH29" i="8"/>
  <c r="CH30" i="8"/>
  <c r="CH31" i="8"/>
  <c r="CH32" i="8"/>
  <c r="CH33" i="8"/>
  <c r="CH34" i="8"/>
  <c r="CH35" i="8"/>
  <c r="CH36" i="8"/>
  <c r="CH37" i="8"/>
  <c r="CH38" i="8"/>
  <c r="CH39" i="8"/>
  <c r="CH40" i="8"/>
  <c r="CH41" i="8"/>
  <c r="CH42" i="8"/>
  <c r="CH43" i="8"/>
  <c r="CH44" i="8"/>
  <c r="CH45" i="8"/>
  <c r="CH46" i="8"/>
  <c r="CH47" i="8"/>
  <c r="CH48" i="8"/>
  <c r="CH49" i="8"/>
  <c r="CG3" i="8"/>
  <c r="CG4" i="8"/>
  <c r="CG5" i="8"/>
  <c r="CG6" i="8"/>
  <c r="CG7" i="8"/>
  <c r="CG8" i="8"/>
  <c r="CG9" i="8"/>
  <c r="CG10" i="8"/>
  <c r="CG11" i="8"/>
  <c r="CG12" i="8"/>
  <c r="CG13" i="8"/>
  <c r="CG14" i="8"/>
  <c r="CG15" i="8"/>
  <c r="CG16" i="8"/>
  <c r="CG17" i="8"/>
  <c r="CG18" i="8"/>
  <c r="CG19" i="8"/>
  <c r="CG20" i="8"/>
  <c r="CG21" i="8"/>
  <c r="CG22" i="8"/>
  <c r="CG23" i="8"/>
  <c r="CG24" i="8"/>
  <c r="CG25" i="8"/>
  <c r="CG26" i="8"/>
  <c r="CG27" i="8"/>
  <c r="CG28" i="8"/>
  <c r="CG29" i="8"/>
  <c r="CG30" i="8"/>
  <c r="CG31" i="8"/>
  <c r="CG32" i="8"/>
  <c r="CG33" i="8"/>
  <c r="CG34" i="8"/>
  <c r="CG35" i="8"/>
  <c r="CG36" i="8"/>
  <c r="CG37" i="8"/>
  <c r="CG38" i="8"/>
  <c r="CG39" i="8"/>
  <c r="CG40" i="8"/>
  <c r="CG41" i="8"/>
  <c r="CG42" i="8"/>
  <c r="CG43" i="8"/>
  <c r="CG44" i="8"/>
  <c r="CG45" i="8"/>
  <c r="CG46" i="8"/>
  <c r="CG47" i="8"/>
  <c r="CG48" i="8"/>
  <c r="CG49" i="8"/>
  <c r="BP3" i="8"/>
  <c r="BP4" i="8"/>
  <c r="BP5" i="8"/>
  <c r="BP6" i="8"/>
  <c r="BP7" i="8"/>
  <c r="BP8" i="8"/>
  <c r="BP9" i="8"/>
  <c r="BP10" i="8"/>
  <c r="BP11" i="8"/>
  <c r="BP12" i="8"/>
  <c r="BP13" i="8"/>
  <c r="BP14" i="8"/>
  <c r="BP15" i="8"/>
  <c r="BP16" i="8"/>
  <c r="BP17" i="8"/>
  <c r="BP18" i="8"/>
  <c r="BP19" i="8"/>
  <c r="BP20" i="8"/>
  <c r="BP21" i="8"/>
  <c r="BP22" i="8"/>
  <c r="BP23" i="8"/>
  <c r="BP24" i="8"/>
  <c r="BP25" i="8"/>
  <c r="BP26" i="8"/>
  <c r="BP27" i="8"/>
  <c r="BP28" i="8"/>
  <c r="BP29" i="8"/>
  <c r="BP30" i="8"/>
  <c r="BP31" i="8"/>
  <c r="BP32" i="8"/>
  <c r="BP33" i="8"/>
  <c r="BP34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O3" i="8"/>
  <c r="BO4" i="8"/>
  <c r="BO5" i="8"/>
  <c r="BO6" i="8"/>
  <c r="BO7" i="8"/>
  <c r="BO8" i="8"/>
  <c r="BO9" i="8"/>
  <c r="BO10" i="8"/>
  <c r="BO11" i="8"/>
  <c r="BO12" i="8"/>
  <c r="BO13" i="8"/>
  <c r="BO14" i="8"/>
  <c r="BO15" i="8"/>
  <c r="BO16" i="8"/>
  <c r="BO17" i="8"/>
  <c r="BO18" i="8"/>
  <c r="BO19" i="8"/>
  <c r="BO20" i="8"/>
  <c r="BO21" i="8"/>
  <c r="BO22" i="8"/>
  <c r="BO23" i="8"/>
  <c r="BO24" i="8"/>
  <c r="BO25" i="8"/>
  <c r="BO26" i="8"/>
  <c r="BO27" i="8"/>
  <c r="BO28" i="8"/>
  <c r="BO29" i="8"/>
  <c r="BO30" i="8"/>
  <c r="BO31" i="8"/>
  <c r="BO32" i="8"/>
  <c r="BO33" i="8"/>
  <c r="BO34" i="8"/>
  <c r="BO35" i="8"/>
  <c r="BO36" i="8"/>
  <c r="BO37" i="8"/>
  <c r="BO38" i="8"/>
  <c r="BO39" i="8"/>
  <c r="BO40" i="8"/>
  <c r="BO41" i="8"/>
  <c r="BO42" i="8"/>
  <c r="BO43" i="8"/>
  <c r="BO44" i="8"/>
  <c r="BO45" i="8"/>
  <c r="BO46" i="8"/>
  <c r="BO47" i="8"/>
  <c r="BO48" i="8"/>
  <c r="BO49" i="8"/>
  <c r="CB3" i="8" l="1"/>
  <c r="BJ3" i="8"/>
  <c r="CC30" i="8" l="1"/>
  <c r="CC31" i="8"/>
  <c r="CC32" i="8"/>
  <c r="CC33" i="8"/>
  <c r="CC34" i="8"/>
  <c r="CC35" i="8"/>
  <c r="CC36" i="8"/>
  <c r="CC37" i="8"/>
  <c r="CC38" i="8"/>
  <c r="CC39" i="8"/>
  <c r="CC40" i="8"/>
  <c r="CC41" i="8"/>
  <c r="CC42" i="8"/>
  <c r="CC43" i="8"/>
  <c r="CC44" i="8"/>
  <c r="CC45" i="8"/>
  <c r="CC46" i="8"/>
  <c r="CC47" i="8"/>
  <c r="CC48" i="8"/>
  <c r="CC49" i="8"/>
  <c r="CC4" i="8"/>
  <c r="CC5" i="8"/>
  <c r="CC6" i="8"/>
  <c r="CC10" i="8"/>
  <c r="CC11" i="8"/>
  <c r="CC12" i="8"/>
  <c r="CC16" i="8"/>
  <c r="CC17" i="8"/>
  <c r="CC18" i="8"/>
  <c r="CC22" i="8"/>
  <c r="CC23" i="8"/>
  <c r="CC24" i="8"/>
  <c r="CC28" i="8"/>
  <c r="CC29" i="8"/>
  <c r="CD3" i="8"/>
  <c r="CD4" i="8"/>
  <c r="CD5" i="8"/>
  <c r="CD6" i="8"/>
  <c r="CD7" i="8"/>
  <c r="CD8" i="8"/>
  <c r="CD9" i="8"/>
  <c r="CD10" i="8"/>
  <c r="CD11" i="8"/>
  <c r="CD12" i="8"/>
  <c r="CD13" i="8"/>
  <c r="CD14" i="8"/>
  <c r="CD15" i="8"/>
  <c r="CD16" i="8"/>
  <c r="CD17" i="8"/>
  <c r="CD18" i="8"/>
  <c r="CD19" i="8"/>
  <c r="CD20" i="8"/>
  <c r="CD21" i="8"/>
  <c r="CD22" i="8"/>
  <c r="CD23" i="8"/>
  <c r="CD24" i="8"/>
  <c r="CD25" i="8"/>
  <c r="CD26" i="8"/>
  <c r="CD27" i="8"/>
  <c r="CD28" i="8"/>
  <c r="CD29" i="8"/>
  <c r="CD30" i="8"/>
  <c r="CD31" i="8"/>
  <c r="CD32" i="8"/>
  <c r="CD33" i="8"/>
  <c r="CD34" i="8"/>
  <c r="CD35" i="8"/>
  <c r="CD36" i="8"/>
  <c r="CD37" i="8"/>
  <c r="CD38" i="8"/>
  <c r="CD39" i="8"/>
  <c r="CD40" i="8"/>
  <c r="CD41" i="8"/>
  <c r="CD42" i="8"/>
  <c r="CD43" i="8"/>
  <c r="CD44" i="8"/>
  <c r="CD45" i="8"/>
  <c r="CD46" i="8"/>
  <c r="CD47" i="8"/>
  <c r="CD48" i="8"/>
  <c r="CD49" i="8"/>
  <c r="BK30" i="8"/>
  <c r="BK31" i="8"/>
  <c r="BK32" i="8"/>
  <c r="BK33" i="8"/>
  <c r="BK34" i="8"/>
  <c r="BK35" i="8"/>
  <c r="BK36" i="8"/>
  <c r="BK37" i="8"/>
  <c r="BK38" i="8"/>
  <c r="BK39" i="8"/>
  <c r="BK40" i="8"/>
  <c r="BK41" i="8"/>
  <c r="BK42" i="8"/>
  <c r="BK43" i="8"/>
  <c r="BK44" i="8"/>
  <c r="BK45" i="8"/>
  <c r="BK46" i="8"/>
  <c r="BK47" i="8"/>
  <c r="BK48" i="8"/>
  <c r="BK49" i="8"/>
  <c r="BK3" i="8"/>
  <c r="BK4" i="8"/>
  <c r="BK5" i="8"/>
  <c r="BK6" i="8"/>
  <c r="BK9" i="8"/>
  <c r="BK10" i="8"/>
  <c r="BK11" i="8"/>
  <c r="BK12" i="8"/>
  <c r="BK15" i="8"/>
  <c r="BK17" i="8"/>
  <c r="BK18" i="8"/>
  <c r="BK21" i="8"/>
  <c r="BK23" i="8"/>
  <c r="BK24" i="8"/>
  <c r="BK27" i="8"/>
  <c r="BK29" i="8"/>
  <c r="BL3" i="8"/>
  <c r="BL4" i="8"/>
  <c r="BL5" i="8"/>
  <c r="BL6" i="8"/>
  <c r="BL7" i="8"/>
  <c r="BL8" i="8"/>
  <c r="BL9" i="8"/>
  <c r="BL10" i="8"/>
  <c r="BL11" i="8"/>
  <c r="BL12" i="8"/>
  <c r="BL13" i="8"/>
  <c r="BL14" i="8"/>
  <c r="BL15" i="8"/>
  <c r="BL16" i="8"/>
  <c r="BL17" i="8"/>
  <c r="BL18" i="8"/>
  <c r="BL19" i="8"/>
  <c r="BL20" i="8"/>
  <c r="BL21" i="8"/>
  <c r="BL22" i="8"/>
  <c r="BL23" i="8"/>
  <c r="BL24" i="8"/>
  <c r="BL25" i="8"/>
  <c r="BL26" i="8"/>
  <c r="BL27" i="8"/>
  <c r="BL28" i="8"/>
  <c r="BL29" i="8"/>
  <c r="BL30" i="8"/>
  <c r="BL31" i="8"/>
  <c r="BL32" i="8"/>
  <c r="BL33" i="8"/>
  <c r="BL34" i="8"/>
  <c r="BL35" i="8"/>
  <c r="BL36" i="8"/>
  <c r="BL37" i="8"/>
  <c r="BL38" i="8"/>
  <c r="BL39" i="8"/>
  <c r="BL40" i="8"/>
  <c r="BL41" i="8"/>
  <c r="BL42" i="8"/>
  <c r="BL43" i="8"/>
  <c r="BL44" i="8"/>
  <c r="BL45" i="8"/>
  <c r="BL46" i="8"/>
  <c r="BL47" i="8"/>
  <c r="BL48" i="8"/>
  <c r="BL49" i="8"/>
  <c r="BJ4" i="8" l="1"/>
  <c r="BJ5" i="8"/>
  <c r="BJ6" i="8"/>
  <c r="BJ7" i="8"/>
  <c r="CC3" i="8"/>
  <c r="BK28" i="8"/>
  <c r="CC27" i="8"/>
  <c r="BK26" i="8"/>
  <c r="CC26" i="8"/>
  <c r="BK25" i="8"/>
  <c r="CC25" i="8"/>
  <c r="BK22" i="8"/>
  <c r="CC21" i="8"/>
  <c r="BK20" i="8"/>
  <c r="CC20" i="8"/>
  <c r="BK19" i="8"/>
  <c r="CC19" i="8"/>
  <c r="BK16" i="8"/>
  <c r="CC15" i="8"/>
  <c r="BK14" i="8"/>
  <c r="CC14" i="8"/>
  <c r="BK13" i="8"/>
  <c r="CC13" i="8"/>
  <c r="CC9" i="8"/>
  <c r="CC8" i="8"/>
  <c r="BK8" i="8"/>
  <c r="BK7" i="8"/>
  <c r="CC7" i="8"/>
  <c r="BJ50" i="8" l="1"/>
  <c r="CB50" i="8"/>
  <c r="BJ39" i="8"/>
  <c r="CB5" i="8"/>
  <c r="CB11" i="8"/>
  <c r="CB17" i="8"/>
  <c r="CB23" i="8"/>
  <c r="CB29" i="8"/>
  <c r="CB35" i="8"/>
  <c r="CB41" i="8"/>
  <c r="CB47" i="8"/>
  <c r="CB13" i="8"/>
  <c r="CB19" i="8"/>
  <c r="CB31" i="8"/>
  <c r="CB43" i="8"/>
  <c r="CB6" i="8"/>
  <c r="CB12" i="8"/>
  <c r="CB18" i="8"/>
  <c r="CB24" i="8"/>
  <c r="CB30" i="8"/>
  <c r="CB36" i="8"/>
  <c r="CB42" i="8"/>
  <c r="CB48" i="8"/>
  <c r="CB7" i="8"/>
  <c r="CB25" i="8"/>
  <c r="CB37" i="8"/>
  <c r="CB49" i="8"/>
  <c r="CB8" i="8"/>
  <c r="CB14" i="8"/>
  <c r="CB20" i="8"/>
  <c r="CB26" i="8"/>
  <c r="CB32" i="8"/>
  <c r="CB38" i="8"/>
  <c r="CB44" i="8"/>
  <c r="CB9" i="8"/>
  <c r="CB15" i="8"/>
  <c r="CB21" i="8"/>
  <c r="CB27" i="8"/>
  <c r="CB33" i="8"/>
  <c r="CB39" i="8"/>
  <c r="CB45" i="8"/>
  <c r="CB34" i="8"/>
  <c r="CB4" i="8"/>
  <c r="CB40" i="8"/>
  <c r="CB28" i="8"/>
  <c r="CB10" i="8"/>
  <c r="CB46" i="8"/>
  <c r="CB22" i="8"/>
  <c r="CB16" i="8"/>
  <c r="BJ11" i="8"/>
  <c r="BJ18" i="8"/>
  <c r="BJ47" i="8"/>
  <c r="BJ16" i="8"/>
  <c r="BJ12" i="8"/>
  <c r="BJ46" i="8"/>
  <c r="BJ41" i="8"/>
  <c r="BJ10" i="8"/>
  <c r="BJ9" i="8"/>
  <c r="BJ45" i="8"/>
  <c r="BJ22" i="8"/>
  <c r="BJ19" i="8"/>
  <c r="BJ17" i="8"/>
  <c r="BJ13" i="8"/>
  <c r="BJ24" i="8"/>
  <c r="BJ31" i="8"/>
  <c r="BJ38" i="8"/>
  <c r="BJ14" i="8"/>
  <c r="BJ27" i="8"/>
  <c r="BJ42" i="8"/>
  <c r="BJ15" i="8"/>
  <c r="BJ28" i="8"/>
  <c r="BJ25" i="8"/>
  <c r="BJ23" i="8"/>
  <c r="BJ37" i="8"/>
  <c r="BJ30" i="8"/>
  <c r="BJ20" i="8"/>
  <c r="BJ21" i="8"/>
  <c r="BJ34" i="8"/>
  <c r="BJ43" i="8"/>
  <c r="BJ29" i="8"/>
  <c r="BJ49" i="8"/>
  <c r="BJ36" i="8"/>
  <c r="BJ8" i="8"/>
  <c r="BJ32" i="8"/>
  <c r="BJ40" i="8"/>
  <c r="BJ35" i="8"/>
  <c r="BJ44" i="8"/>
  <c r="BJ26" i="8"/>
  <c r="BJ48" i="8"/>
  <c r="BJ33" i="8"/>
  <c r="C17" i="11" l="1"/>
  <c r="B20" i="11"/>
  <c r="B30" i="11"/>
  <c r="C30" i="11"/>
  <c r="C5" i="11"/>
  <c r="B25" i="11"/>
  <c r="B8" i="11"/>
  <c r="B32" i="11"/>
  <c r="C6" i="11"/>
  <c r="C12" i="11"/>
  <c r="C18" i="11"/>
  <c r="C36" i="11"/>
  <c r="B26" i="11"/>
  <c r="C7" i="11"/>
  <c r="C13" i="11"/>
  <c r="C19" i="11"/>
  <c r="C25" i="11"/>
  <c r="C31" i="11"/>
  <c r="B3" i="11"/>
  <c r="B9" i="11"/>
  <c r="B15" i="11"/>
  <c r="B21" i="11"/>
  <c r="B27" i="11"/>
  <c r="B33" i="11"/>
  <c r="C8" i="11"/>
  <c r="C14" i="11"/>
  <c r="C20" i="11"/>
  <c r="C26" i="11"/>
  <c r="C32" i="11"/>
  <c r="B4" i="11"/>
  <c r="B10" i="11"/>
  <c r="B16" i="11"/>
  <c r="B22" i="11"/>
  <c r="B28" i="11"/>
  <c r="B34" i="11"/>
  <c r="C3" i="11"/>
  <c r="C9" i="11"/>
  <c r="C15" i="11"/>
  <c r="C21" i="11"/>
  <c r="C27" i="11"/>
  <c r="C33" i="11"/>
  <c r="B5" i="11"/>
  <c r="B11" i="11"/>
  <c r="B17" i="11"/>
  <c r="B23" i="11"/>
  <c r="B29" i="11"/>
  <c r="B35" i="11"/>
  <c r="C4" i="11"/>
  <c r="C10" i="11"/>
  <c r="C16" i="11"/>
  <c r="C22" i="11"/>
  <c r="C28" i="11"/>
  <c r="C34" i="11"/>
  <c r="B6" i="11"/>
  <c r="B12" i="11"/>
  <c r="B18" i="11"/>
  <c r="B24" i="11"/>
  <c r="B36" i="11"/>
  <c r="C11" i="11"/>
  <c r="C23" i="11"/>
  <c r="C29" i="11"/>
  <c r="C35" i="11"/>
  <c r="B7" i="11"/>
  <c r="B13" i="11"/>
  <c r="B19" i="11"/>
  <c r="B31" i="11"/>
  <c r="C24" i="11"/>
  <c r="B14" i="11"/>
  <c r="B3" i="10"/>
  <c r="C9" i="10"/>
  <c r="C21" i="10"/>
  <c r="C33" i="10"/>
  <c r="B11" i="10"/>
  <c r="B23" i="10"/>
  <c r="B35" i="10"/>
  <c r="C4" i="10"/>
  <c r="C28" i="10"/>
  <c r="B6" i="10"/>
  <c r="B18" i="10"/>
  <c r="B30" i="10"/>
  <c r="C22" i="10"/>
  <c r="C16" i="10"/>
  <c r="C5" i="10"/>
  <c r="C11" i="10"/>
  <c r="C17" i="10"/>
  <c r="C23" i="10"/>
  <c r="C29" i="10"/>
  <c r="C35" i="10"/>
  <c r="B7" i="10"/>
  <c r="B13" i="10"/>
  <c r="B19" i="10"/>
  <c r="B25" i="10"/>
  <c r="B31" i="10"/>
  <c r="C6" i="10"/>
  <c r="C12" i="10"/>
  <c r="C18" i="10"/>
  <c r="C24" i="10"/>
  <c r="C30" i="10"/>
  <c r="C36" i="10"/>
  <c r="B8" i="10"/>
  <c r="B14" i="10"/>
  <c r="B20" i="10"/>
  <c r="B26" i="10"/>
  <c r="B32" i="10"/>
  <c r="C7" i="10"/>
  <c r="C13" i="10"/>
  <c r="C19" i="10"/>
  <c r="C25" i="10"/>
  <c r="C31" i="10"/>
  <c r="B9" i="10"/>
  <c r="B15" i="10"/>
  <c r="B21" i="10"/>
  <c r="B27" i="10"/>
  <c r="B33" i="10"/>
  <c r="C8" i="10"/>
  <c r="C14" i="10"/>
  <c r="C20" i="10"/>
  <c r="C26" i="10"/>
  <c r="C32" i="10"/>
  <c r="B4" i="10"/>
  <c r="B10" i="10"/>
  <c r="B16" i="10"/>
  <c r="B22" i="10"/>
  <c r="B28" i="10"/>
  <c r="B34" i="10"/>
  <c r="C3" i="10"/>
  <c r="C15" i="10"/>
  <c r="C27" i="10"/>
  <c r="B5" i="10"/>
  <c r="B17" i="10"/>
  <c r="B29" i="10"/>
  <c r="C10" i="10"/>
  <c r="C34" i="10"/>
  <c r="B12" i="10"/>
  <c r="B24" i="10"/>
  <c r="B36" i="10"/>
  <c r="BO1" i="8"/>
  <c r="CG1" i="8"/>
  <c r="A4" i="11" l="1"/>
  <c r="D4" i="11" s="1"/>
  <c r="E4" i="11" s="1"/>
  <c r="A10" i="11"/>
  <c r="D10" i="11" s="1"/>
  <c r="E10" i="11" s="1"/>
  <c r="A16" i="11"/>
  <c r="D16" i="11" s="1"/>
  <c r="E16" i="11" s="1"/>
  <c r="A22" i="11"/>
  <c r="D22" i="11" s="1"/>
  <c r="E22" i="11" s="1"/>
  <c r="A28" i="11"/>
  <c r="D28" i="11" s="1"/>
  <c r="E28" i="11" s="1"/>
  <c r="A34" i="11"/>
  <c r="D34" i="11" s="1"/>
  <c r="E34" i="11" s="1"/>
  <c r="A27" i="11"/>
  <c r="D27" i="11" s="1"/>
  <c r="E27" i="11" s="1"/>
  <c r="A5" i="11"/>
  <c r="D5" i="11" s="1"/>
  <c r="E5" i="11" s="1"/>
  <c r="A11" i="11"/>
  <c r="D11" i="11" s="1"/>
  <c r="E11" i="11" s="1"/>
  <c r="A17" i="11"/>
  <c r="D17" i="11" s="1"/>
  <c r="E17" i="11" s="1"/>
  <c r="A23" i="11"/>
  <c r="D23" i="11" s="1"/>
  <c r="E23" i="11" s="1"/>
  <c r="A29" i="11"/>
  <c r="D29" i="11" s="1"/>
  <c r="E29" i="11" s="1"/>
  <c r="A35" i="11"/>
  <c r="D35" i="11" s="1"/>
  <c r="E35" i="11" s="1"/>
  <c r="A15" i="11"/>
  <c r="D15" i="11" s="1"/>
  <c r="E15" i="11" s="1"/>
  <c r="A6" i="11"/>
  <c r="D6" i="11" s="1"/>
  <c r="E6" i="11" s="1"/>
  <c r="A12" i="11"/>
  <c r="D12" i="11" s="1"/>
  <c r="E12" i="11" s="1"/>
  <c r="A18" i="11"/>
  <c r="D18" i="11" s="1"/>
  <c r="E18" i="11" s="1"/>
  <c r="A24" i="11"/>
  <c r="D24" i="11" s="1"/>
  <c r="E24" i="11" s="1"/>
  <c r="A30" i="11"/>
  <c r="D30" i="11" s="1"/>
  <c r="E30" i="11" s="1"/>
  <c r="A36" i="11"/>
  <c r="D36" i="11" s="1"/>
  <c r="E36" i="11" s="1"/>
  <c r="A21" i="11"/>
  <c r="D21" i="11" s="1"/>
  <c r="E21" i="11" s="1"/>
  <c r="A7" i="11"/>
  <c r="D7" i="11" s="1"/>
  <c r="E7" i="11" s="1"/>
  <c r="A13" i="11"/>
  <c r="D13" i="11" s="1"/>
  <c r="E13" i="11" s="1"/>
  <c r="A19" i="11"/>
  <c r="D19" i="11" s="1"/>
  <c r="E19" i="11" s="1"/>
  <c r="A25" i="11"/>
  <c r="D25" i="11" s="1"/>
  <c r="E25" i="11" s="1"/>
  <c r="A31" i="11"/>
  <c r="D31" i="11" s="1"/>
  <c r="E31" i="11" s="1"/>
  <c r="A9" i="11"/>
  <c r="D9" i="11" s="1"/>
  <c r="E9" i="11" s="1"/>
  <c r="A8" i="11"/>
  <c r="D8" i="11" s="1"/>
  <c r="E8" i="11" s="1"/>
  <c r="A14" i="11"/>
  <c r="D14" i="11" s="1"/>
  <c r="E14" i="11" s="1"/>
  <c r="A20" i="11"/>
  <c r="D20" i="11" s="1"/>
  <c r="E20" i="11" s="1"/>
  <c r="A26" i="11"/>
  <c r="D26" i="11" s="1"/>
  <c r="E26" i="11" s="1"/>
  <c r="A32" i="11"/>
  <c r="D32" i="11" s="1"/>
  <c r="E32" i="11" s="1"/>
  <c r="A3" i="11"/>
  <c r="D3" i="11" s="1"/>
  <c r="E3" i="11" s="1"/>
  <c r="A33" i="11"/>
  <c r="D33" i="11" s="1"/>
  <c r="E33" i="11" s="1"/>
  <c r="A21" i="10"/>
  <c r="D21" i="10" s="1"/>
  <c r="E21" i="10" s="1"/>
  <c r="A29" i="10"/>
  <c r="D29" i="10" s="1"/>
  <c r="E29" i="10" s="1"/>
  <c r="A33" i="10"/>
  <c r="D33" i="10" s="1"/>
  <c r="E33" i="10" s="1"/>
  <c r="A36" i="10"/>
  <c r="D36" i="10" s="1"/>
  <c r="E36" i="10" s="1"/>
  <c r="A22" i="10"/>
  <c r="D22" i="10" s="1"/>
  <c r="E22" i="10" s="1"/>
  <c r="A26" i="10"/>
  <c r="D26" i="10" s="1"/>
  <c r="E26" i="10" s="1"/>
  <c r="A30" i="10"/>
  <c r="D30" i="10" s="1"/>
  <c r="E30" i="10" s="1"/>
  <c r="A34" i="10"/>
  <c r="D34" i="10" s="1"/>
  <c r="E34" i="10" s="1"/>
  <c r="A32" i="10"/>
  <c r="D32" i="10" s="1"/>
  <c r="E32" i="10" s="1"/>
  <c r="A27" i="10"/>
  <c r="D27" i="10" s="1"/>
  <c r="E27" i="10" s="1"/>
  <c r="A31" i="10"/>
  <c r="D31" i="10" s="1"/>
  <c r="E31" i="10" s="1"/>
  <c r="A35" i="10"/>
  <c r="D35" i="10" s="1"/>
  <c r="E35" i="10" s="1"/>
  <c r="A3" i="10"/>
  <c r="D3" i="10" s="1"/>
  <c r="E3" i="10" s="1"/>
  <c r="A28" i="10"/>
  <c r="D28" i="10" s="1"/>
  <c r="E28" i="10" s="1"/>
  <c r="A23" i="10" l="1"/>
  <c r="A4" i="10"/>
  <c r="D4" i="10" l="1"/>
  <c r="E4" i="10" s="1"/>
  <c r="A5" i="10"/>
  <c r="D23" i="10"/>
  <c r="E23" i="10" s="1"/>
  <c r="A24" i="10"/>
  <c r="D24" i="10" l="1"/>
  <c r="E24" i="10" s="1"/>
  <c r="A25" i="10"/>
  <c r="D25" i="10" s="1"/>
  <c r="E25" i="10" s="1"/>
  <c r="D5" i="10"/>
  <c r="E5" i="10" s="1"/>
  <c r="A6" i="10"/>
  <c r="D6" i="10" l="1"/>
  <c r="E6" i="10" s="1"/>
  <c r="A7" i="10"/>
  <c r="D7" i="10" l="1"/>
  <c r="E7" i="10" s="1"/>
  <c r="A8" i="10"/>
  <c r="D8" i="10" l="1"/>
  <c r="E8" i="10" s="1"/>
  <c r="A9" i="10"/>
  <c r="D9" i="10" l="1"/>
  <c r="E9" i="10" s="1"/>
  <c r="A10" i="10"/>
  <c r="D10" i="10" l="1"/>
  <c r="E10" i="10" s="1"/>
  <c r="A11" i="10"/>
  <c r="D11" i="10" l="1"/>
  <c r="E11" i="10" s="1"/>
  <c r="A12" i="10"/>
  <c r="D12" i="10" l="1"/>
  <c r="E12" i="10" s="1"/>
  <c r="A13" i="10"/>
  <c r="D13" i="10" l="1"/>
  <c r="E13" i="10" s="1"/>
  <c r="A14" i="10"/>
  <c r="D14" i="10" l="1"/>
  <c r="E14" i="10" s="1"/>
  <c r="A15" i="10"/>
  <c r="D15" i="10" l="1"/>
  <c r="E15" i="10" s="1"/>
  <c r="A16" i="10"/>
  <c r="BA3" i="7"/>
  <c r="D16" i="10" l="1"/>
  <c r="E16" i="10" s="1"/>
  <c r="A17" i="10"/>
  <c r="D17" i="10" l="1"/>
  <c r="E17" i="10" s="1"/>
  <c r="A18" i="10"/>
  <c r="K5" i="5"/>
  <c r="D18" i="10" l="1"/>
  <c r="E18" i="10" s="1"/>
  <c r="A19" i="10"/>
  <c r="M5" i="5"/>
  <c r="Q20" i="5" s="1"/>
  <c r="Q5" i="5" l="1"/>
  <c r="Q7" i="5"/>
  <c r="Q13" i="5"/>
  <c r="Q6" i="5"/>
  <c r="Q12" i="5"/>
  <c r="Q18" i="5"/>
  <c r="Q19" i="5"/>
  <c r="Q8" i="5"/>
  <c r="Q16" i="5"/>
  <c r="Q15" i="5"/>
  <c r="Q14" i="5"/>
  <c r="Q11" i="5"/>
  <c r="Q9" i="5"/>
  <c r="Q10" i="5"/>
  <c r="Q17" i="5"/>
  <c r="D19" i="10"/>
  <c r="E19" i="10" s="1"/>
  <c r="A20" i="10"/>
  <c r="D20" i="10" s="1"/>
  <c r="E20" i="10" s="1"/>
  <c r="B5" i="5" l="1"/>
  <c r="C5" i="5"/>
  <c r="D5" i="5"/>
  <c r="E5" i="5"/>
  <c r="F5" i="5"/>
  <c r="G5" i="5"/>
  <c r="H5" i="5"/>
  <c r="N5" i="5"/>
  <c r="R6" i="5" s="1"/>
  <c r="O5" i="5"/>
  <c r="D5" i="4"/>
  <c r="E5" i="4"/>
  <c r="F5" i="4"/>
  <c r="G5" i="4"/>
  <c r="R5" i="5" l="1"/>
</calcChain>
</file>

<file path=xl/sharedStrings.xml><?xml version="1.0" encoding="utf-8"?>
<sst xmlns="http://schemas.openxmlformats.org/spreadsheetml/2006/main" count="737" uniqueCount="561">
  <si>
    <t>Установка</t>
  </si>
  <si>
    <t>ID_Оборудования</t>
  </si>
  <si>
    <t>ID_Технического_места</t>
  </si>
  <si>
    <t>Позиция</t>
  </si>
  <si>
    <t>Тип_материала</t>
  </si>
  <si>
    <t>ID элемента</t>
  </si>
  <si>
    <t>ID точки</t>
  </si>
  <si>
    <t xml:space="preserve">Место измерения толщины. Должна соответствовать карте замеров. </t>
  </si>
  <si>
    <t>Отбраковочная толщина по паспорту (НМД).</t>
  </si>
  <si>
    <t>Расчетная минимальная толщина</t>
  </si>
  <si>
    <t>Прибавка_на_коррозию_мм</t>
  </si>
  <si>
    <t>Не заполнять, заполняется автоматически по марке материала.</t>
  </si>
  <si>
    <t>Наружный диаметр элементов.</t>
  </si>
  <si>
    <t>Внутренний диаметр элементов.</t>
  </si>
  <si>
    <t>Расчетная температура</t>
  </si>
  <si>
    <t>По умолчанию равен 1</t>
  </si>
  <si>
    <t>Выбирается из выпадающего списка.</t>
  </si>
  <si>
    <t>Равно Внутренний диаметр для эллиптических, для полусферических равно 0,5 внутреннего диаметра</t>
  </si>
  <si>
    <t>Для торосферических днищ</t>
  </si>
  <si>
    <t>Для конических и тороконических днищ</t>
  </si>
  <si>
    <t xml:space="preserve">В расчетах значение должно быть не менее 5, если меньше в расчетах используем 5
</t>
  </si>
  <si>
    <t>Только для переходов</t>
  </si>
  <si>
    <t>Только для тройников. При расчете берется значение не менее 5</t>
  </si>
  <si>
    <t>Только для плоской межфланцевой заглушки. Определяют по техническим условиям или по чертежу.</t>
  </si>
  <si>
    <t>Только для плоской фланцевой заглушки. Определяют по чертежу.</t>
  </si>
  <si>
    <t>Толщина стенки S используется в формуле расчетной толщины стенки магистрали в тройниковых соединениях (врезках).</t>
  </si>
  <si>
    <t>Только для плоской круглой торцевой заглушки.</t>
  </si>
  <si>
    <t>Только для сварных тройников. Выбирается из выпадающего списка.</t>
  </si>
  <si>
    <t>ID группы TML</t>
  </si>
  <si>
    <t>ID TML</t>
  </si>
  <si>
    <t>Расположение</t>
  </si>
  <si>
    <t>Мин. Толщина</t>
  </si>
  <si>
    <t>добавить</t>
  </si>
  <si>
    <t>Допустимость коррозии</t>
  </si>
  <si>
    <t>Класс материала</t>
  </si>
  <si>
    <t>Внешний диаметр</t>
  </si>
  <si>
    <t xml:space="preserve">Внутренний диаметр </t>
  </si>
  <si>
    <t>Расчетное давление</t>
  </si>
  <si>
    <t>Коэф. Стыка</t>
  </si>
  <si>
    <t>Тип резервуара</t>
  </si>
  <si>
    <t>Внутр. Радиус</t>
  </si>
  <si>
    <t>Внешний радиус</t>
  </si>
  <si>
    <t>Угол при вершине</t>
  </si>
  <si>
    <t>Радиус кривизны осевой линии отвода</t>
  </si>
  <si>
    <t>Наружный диаметр перехода со стороны большего диаметра</t>
  </si>
  <si>
    <t>Наружный диаметр перехода со стороны меньшего диаметра</t>
  </si>
  <si>
    <t>Длина перехода</t>
  </si>
  <si>
    <t>Внутренний радиус</t>
  </si>
  <si>
    <t>Ширина уплотнительной прокладки</t>
  </si>
  <si>
    <t>Расстояние между центральными осями шпилек</t>
  </si>
  <si>
    <t>Номинальная толщина</t>
  </si>
  <si>
    <t>Радиус скругления для плоский торцевой заглушки</t>
  </si>
  <si>
    <t>Тип элемента тройника</t>
  </si>
  <si>
    <t>MI_TMLGROUP_ID_C</t>
  </si>
  <si>
    <t>MI_DP_ID_CHR</t>
  </si>
  <si>
    <t>MI_DP_LOCTN_CHR</t>
  </si>
  <si>
    <t>MI_TML_MIN_THICK_NBR</t>
  </si>
  <si>
    <t>MI_THICK_MEASU_LOCAT_DESIG_MIN_THICK_NBR</t>
  </si>
  <si>
    <t>MI_TML_CORR_ALLOW_NBR</t>
  </si>
  <si>
    <t>MI_TML_MATER_TYPE_CHR</t>
  </si>
  <si>
    <t>MI_TML_MAT_GRADE_CHR</t>
  </si>
  <si>
    <t>MI_TML_OUTSD_DIAM_NBR</t>
  </si>
  <si>
    <t>MI_TML_INSD_DIAM_NBR</t>
  </si>
  <si>
    <t>MI_TML_DSGN_PRESS_NBR</t>
  </si>
  <si>
    <t>MI_TML_DSGN_TEMP_NBR</t>
  </si>
  <si>
    <t>MI_TML_JOINT_EFF_NBR</t>
  </si>
  <si>
    <t>MI_TML_VESSEL_TYPE_C</t>
  </si>
  <si>
    <t>MI_TML_INSIDE_RADIUS_N</t>
  </si>
  <si>
    <t>MI_TML_OUTSIDE_RADIUS_N</t>
  </si>
  <si>
    <t>MI_TML_APEX_ANGLE_N</t>
  </si>
  <si>
    <t>MI_THICK_MEASU_LOCAT_Z_RADIU_CURV_THE_CENTE_NBR</t>
  </si>
  <si>
    <t>MI_THICK_MEAS_LOC_OUTER_DIAM_OF_TRANS_LARG_NBR</t>
  </si>
  <si>
    <t>MI_THICK_MEASU_LOCAT_Z_OUTER_DIAME_TRANS_SMALL_CHR</t>
  </si>
  <si>
    <t>MI_THICK_MEASU_LOCAT_Z_TRANS_LENGT_NBR</t>
  </si>
  <si>
    <t>MI_THICK_MEASU_LOCAT_Z_INNER_RADIU_NBR</t>
  </si>
  <si>
    <t>MI_THICK_MEASU_LOCAT_Z_WIDTH_OF_GASKE_NBR</t>
  </si>
  <si>
    <t>MI_THICK_MEASU_LOCAT_Z_DIST_BETWE_CENTR_HAIRP_NBR</t>
  </si>
  <si>
    <t>MI_THICK_MEASU_LOCAT_Z_NOMIN_THICK_NBR</t>
  </si>
  <si>
    <t>MI_THICK_MEASU_LOCAT_Z_ROUND_RADIU_OF_THE_NBR</t>
  </si>
  <si>
    <t>MI_THICK_MEASU_LOCAT_Z_TFIT_ELEME_TYPE_CHR</t>
  </si>
  <si>
    <t>Номер_точки</t>
  </si>
  <si>
    <t>S_отбраковки_мин_мм</t>
  </si>
  <si>
    <t>S_расчетная_мм</t>
  </si>
  <si>
    <t>Марка_материала</t>
  </si>
  <si>
    <t>D_(диаметр)_наружний_мм</t>
  </si>
  <si>
    <t>D_(диаметр)_внутренний_мм</t>
  </si>
  <si>
    <t>Расчетное_давление_Мпа</t>
  </si>
  <si>
    <t>Расчетная_температура_С</t>
  </si>
  <si>
    <t>Коэффициент_стыка</t>
  </si>
  <si>
    <t>Геометрия_днища</t>
  </si>
  <si>
    <t>Внутренний_радиус_днища_при_вершине_мм</t>
  </si>
  <si>
    <t>Внутр_радиус_в_вершине_днища_мм</t>
  </si>
  <si>
    <t>Угол_при_вершине_С</t>
  </si>
  <si>
    <t>Радиус_кривизны_осевой_линии_отвода_мм</t>
  </si>
  <si>
    <t>Наружный_диаметр_перехода_со_стороны_большего_диаметра_мм</t>
  </si>
  <si>
    <t>Наружный_диаметр_перехода_со_стороны_меньшего_диаметра_мм</t>
  </si>
  <si>
    <t>Длина_перехода_мм</t>
  </si>
  <si>
    <t>Внутренний_радиус_мм</t>
  </si>
  <si>
    <t>Ширина_уплотнительной_прокладки_мм</t>
  </si>
  <si>
    <t>Расстояние_между_центральными_осями_шпилек_мм</t>
  </si>
  <si>
    <t>Номинальная_толщина_тройниковых_соединений_мм</t>
  </si>
  <si>
    <t>Радиус_круглой_торцевой_заглушки_мм</t>
  </si>
  <si>
    <t>Тип_элемента_тройника_мм</t>
  </si>
  <si>
    <t>Назначение элемента с точки зрения технологии. Пишется в произвольной форме. Для трубопроводов заполняется при необходимости.</t>
  </si>
  <si>
    <t>Заносятся по толщинометрии.</t>
  </si>
  <si>
    <t>Номинальная (исполнительная) толщина элемента.</t>
  </si>
  <si>
    <t>Описание</t>
  </si>
  <si>
    <t>Номин. Толщина</t>
  </si>
  <si>
    <t>MI_TMLGROUP_DESCR_C</t>
  </si>
  <si>
    <t>Описание_элемента</t>
  </si>
  <si>
    <t>Дата_измерения</t>
  </si>
  <si>
    <t>Значение_измерения</t>
  </si>
  <si>
    <t>Лицо_производящее_замер</t>
  </si>
  <si>
    <t>S_исполнительная_толщина_мм</t>
  </si>
  <si>
    <t>Существует в Меридиуме</t>
  </si>
  <si>
    <t>идентификационный номер SAP. Заполняется для сосудов аппаратов.</t>
  </si>
  <si>
    <t>идентификационный номер SAP. Заполняется для трубопроводов</t>
  </si>
  <si>
    <t>TML ID</t>
  </si>
  <si>
    <t>Дата измерения</t>
  </si>
  <si>
    <t>значение измерения</t>
  </si>
  <si>
    <t>Измерения выполненные пользователем</t>
  </si>
  <si>
    <t>Датчик измерительного прибора</t>
  </si>
  <si>
    <t>MI_DP_MEAS_TAKEN_DT</t>
  </si>
  <si>
    <t>MI_THICK_MEAS_VAL_NBR</t>
  </si>
  <si>
    <t>MI_DP_MEAS_TAKEN_BY_CHR</t>
  </si>
  <si>
    <t>MI_DP_MEAS_INSTR_ID_CHR</t>
  </si>
  <si>
    <t>MI_THICK_MEASU_NOMINAL_FLG</t>
  </si>
  <si>
    <t>Тип_элемента</t>
  </si>
  <si>
    <t>Идентификационный номер элемента по чертежу</t>
  </si>
  <si>
    <t xml:space="preserve">Дата последней замены элемента. </t>
  </si>
  <si>
    <t xml:space="preserve"> Применение термообработки</t>
  </si>
  <si>
    <t>Наличие плакирующего слоя.</t>
  </si>
  <si>
    <t>Толщина плакирующего слоя</t>
  </si>
  <si>
    <t>Заполняется для элементов, для которых применимо понятие. (Вылет штуцеров, длины участков и т.д.)</t>
  </si>
  <si>
    <t>Рабочее давление</t>
  </si>
  <si>
    <t>Рабочая температура</t>
  </si>
  <si>
    <t>Давление Гидроиспытания</t>
  </si>
  <si>
    <t>Для теплообменных аппаратов.</t>
  </si>
  <si>
    <t>Для плоских днищ</t>
  </si>
  <si>
    <t>Для тороконических и торосферических днищ</t>
  </si>
  <si>
    <t>Высота днища  - для эллиптических днищ (1/4 внутреннего диаметра), для остальных не заполнять</t>
  </si>
  <si>
    <t>Системный тип</t>
  </si>
  <si>
    <t>Группа коррозии</t>
  </si>
  <si>
    <t>Да/Нет</t>
  </si>
  <si>
    <t>Заполняется в случае наличия плакировки.</t>
  </si>
  <si>
    <t>Заполняется в случае наличия плакировки. Формат:  20</t>
  </si>
  <si>
    <t>Группа TML</t>
  </si>
  <si>
    <t>Коэффициент конструкции плоских днищ и крышек (К)</t>
  </si>
  <si>
    <t>MI_TMLGROUP_SYSTE_TYPE_C</t>
  </si>
  <si>
    <t>MI_TMLGROUP_CORRO_GROUP_C</t>
  </si>
  <si>
    <t>MI_TMLGROUP_DATE_REPL_ELEM_DT</t>
  </si>
  <si>
    <t>MI_TMLGROUP_APPL_HEAT_TREAT_FLG</t>
  </si>
  <si>
    <t>MI_TMLGROUP_PLATING_FLG</t>
  </si>
  <si>
    <t>MI_TMLGROUP_MATER_OF_PLATI_CHR</t>
  </si>
  <si>
    <t>MI_TMLGROUP_TYPE_OF_PLATI_MATER_CHR</t>
  </si>
  <si>
    <t>MI_TMLGROUP_PLATI_THIKN_NBR</t>
  </si>
  <si>
    <t>MI_TMLGROUP_LENGT_ELEME_NBR</t>
  </si>
  <si>
    <t>MI_TMLGROUP_FLANG_SERIE_CHR</t>
  </si>
  <si>
    <t>MI_TMLGROUP_WORK_PRESS_NBR</t>
  </si>
  <si>
    <t>MI_TMLGROUP_WORK_TEMPE_NBR</t>
  </si>
  <si>
    <t>MI_TMLGROUP_HYDRA_TEST_PRESS_NBR</t>
  </si>
  <si>
    <t>MI_TMLGROUP_NUMBE_OF_PIPES_NBR</t>
  </si>
  <si>
    <t>MI_TMLGROUP_NUMBE_OF_MOVES_NBR</t>
  </si>
  <si>
    <t>MI_TMLGROUP_NUM_PLUGG_TUBES_NBR</t>
  </si>
  <si>
    <t>MI_TMLGROUP_CONNE_RATIO_CHR</t>
  </si>
  <si>
    <t>MI_TMLGROUP_OUTER_FLANG_RAD_NBR</t>
  </si>
  <si>
    <t>MI_TMLGROUP_HLF_HEIGH_MINOR_NBR</t>
  </si>
  <si>
    <t>Шифр_по_паспорту</t>
  </si>
  <si>
    <t>Дата_ввода_в_эксплуатацию_элемента</t>
  </si>
  <si>
    <t>Термообработка</t>
  </si>
  <si>
    <t>Плакировка</t>
  </si>
  <si>
    <t>Марка_материала_плакировки</t>
  </si>
  <si>
    <t>Тип_материала_плакировки</t>
  </si>
  <si>
    <t>Толщина_плакировки_мм</t>
  </si>
  <si>
    <t>Длина_элемента_мм</t>
  </si>
  <si>
    <t>Серия_фланца_МПа</t>
  </si>
  <si>
    <t>Рабочее_давление_Мпа</t>
  </si>
  <si>
    <t>Рабочая_температура_С</t>
  </si>
  <si>
    <t>Давление_ГИ_Мпа</t>
  </si>
  <si>
    <t>Число_труб</t>
  </si>
  <si>
    <t>Число_ходов</t>
  </si>
  <si>
    <t>Число_заглушенных_труб</t>
  </si>
  <si>
    <t>Коэффициент_соединения</t>
  </si>
  <si>
    <t>Наружный_радиус_отбортовки_мм</t>
  </si>
  <si>
    <t>1/2_высоты_малой_оси_мм</t>
  </si>
  <si>
    <t>Тип_элемента_трубопровода</t>
  </si>
  <si>
    <t xml:space="preserve">Только для трубопроводов. Выбирается из выпадающего списка.
</t>
  </si>
  <si>
    <t>Тип элемента трубопровода</t>
  </si>
  <si>
    <t>MI_THICK_MEASU_LOCAT_Z_TYPE_PIPEL_ELEME_CHR</t>
  </si>
  <si>
    <t>53
Номинальная толщина</t>
  </si>
  <si>
    <t>54
Дата измерения</t>
  </si>
  <si>
    <t>55
Измерения</t>
  </si>
  <si>
    <t>56
Лицо</t>
  </si>
  <si>
    <t>Да</t>
  </si>
  <si>
    <t>Заполнить вручную</t>
  </si>
  <si>
    <r>
      <t xml:space="preserve">Для работы с VISIO (Спецификация)
</t>
    </r>
    <r>
      <rPr>
        <u/>
        <sz val="14"/>
        <color theme="1"/>
        <rFont val="Calibri"/>
        <family val="2"/>
        <charset val="204"/>
        <scheme val="minor"/>
      </rPr>
      <t>протянуть перед заполнением 
(столбец №1, 2, 3)</t>
    </r>
  </si>
  <si>
    <t>Для закрашивания 2,4 столбцов</t>
  </si>
  <si>
    <t>ID_оборудования_SAP</t>
  </si>
  <si>
    <t>Описание оборудования SAP</t>
  </si>
  <si>
    <t>ID_Тех_место</t>
  </si>
  <si>
    <t>Наименование_ТМ</t>
  </si>
  <si>
    <t>Код организации</t>
  </si>
  <si>
    <t>Наименование</t>
  </si>
  <si>
    <t>Назначение</t>
  </si>
  <si>
    <t>Регистрационный_номер</t>
  </si>
  <si>
    <t>Место_учета</t>
  </si>
  <si>
    <t>Заводской_номер</t>
  </si>
  <si>
    <t>Дата_ввода_в_эксплуатацию</t>
  </si>
  <si>
    <t>Дата_изготовления</t>
  </si>
  <si>
    <t>Количества_циклов_нагрузки_оборудования</t>
  </si>
  <si>
    <t>Изготовитель</t>
  </si>
  <si>
    <t>Нормативный_срок_службы</t>
  </si>
  <si>
    <t>Категория_оборудования_ТР_ТС_032_2013</t>
  </si>
  <si>
    <t>Режим_эксплуатации</t>
  </si>
  <si>
    <t>Объем_м3</t>
  </si>
  <si>
    <t>Расположение_Ориентация</t>
  </si>
  <si>
    <t>Длина_мм</t>
  </si>
  <si>
    <t>Высота_мм</t>
  </si>
  <si>
    <t>Тип_теплоизоляции</t>
  </si>
  <si>
    <t>Наличие_футеровки</t>
  </si>
  <si>
    <t>Антикоррозионное_покрытие_внутренне</t>
  </si>
  <si>
    <t>Антикоррозионное_покрытие_внешнее</t>
  </si>
  <si>
    <t>Антикоррозионные_мероприятия</t>
  </si>
  <si>
    <t>Наличие_внутренних_устройств</t>
  </si>
  <si>
    <t>Масса_пустого_сосуда_кг</t>
  </si>
  <si>
    <t>Пространственное_расположение_секций</t>
  </si>
  <si>
    <t>Количество_теплообменных_секций</t>
  </si>
  <si>
    <t>Поверхность_теплообмена_м2</t>
  </si>
  <si>
    <t>Нормативная_СК_мм_год</t>
  </si>
  <si>
    <t>Среда</t>
  </si>
  <si>
    <t>Среда_по_справочнику</t>
  </si>
  <si>
    <t>Класс_опасности</t>
  </si>
  <si>
    <t>Взрывопожароопасность</t>
  </si>
  <si>
    <t>Рабочее_давление_МПа</t>
  </si>
  <si>
    <t>Рабочая_температура_⁰С</t>
  </si>
  <si>
    <t>Разрешенное_давление_МПа</t>
  </si>
  <si>
    <t>Разрешенная_температура_С</t>
  </si>
  <si>
    <t>Расчетное_давление_МПа</t>
  </si>
  <si>
    <t>Расчетная_температура_⁰С</t>
  </si>
  <si>
    <t>Пробное_давление_ГИ_МПа</t>
  </si>
  <si>
    <t>Пробное_давление_ПИ_МПа</t>
  </si>
  <si>
    <t>Находится_под_вакуумом</t>
  </si>
  <si>
    <t>Межремонтный_интервал_КР</t>
  </si>
  <si>
    <t>Дата_проведения_КТС_в_КР</t>
  </si>
  <si>
    <t>Дата_следующего_проведения_КТС_КР</t>
  </si>
  <si>
    <t>Дата_проведения_последнего_ЭПБ</t>
  </si>
  <si>
    <t>Дата_следующего_ЭПБ</t>
  </si>
  <si>
    <t>Разрешенный_срок_эксплуатации</t>
  </si>
  <si>
    <t>Остаточный_срок_службы_по_фактической_скорости_коррозии</t>
  </si>
  <si>
    <t>Количество методов контроля</t>
  </si>
  <si>
    <t>Единица</t>
  </si>
  <si>
    <t>Описание единицы</t>
  </si>
  <si>
    <t>MI_SITE_NAME</t>
  </si>
  <si>
    <t>Z_PAS_TECH_NUMBE_CHR</t>
  </si>
  <si>
    <t>Z_PAS_NAME_CHR</t>
  </si>
  <si>
    <t>Z_PAS_PURPO_CHR</t>
  </si>
  <si>
    <t>Z_PAS_REGIS_NUMBE_CHR</t>
  </si>
  <si>
    <t>Z_PAS_ACCOU_IN_RTN_CHR</t>
  </si>
  <si>
    <t>Z_PAS_PLANT_NUMBE_CHR</t>
  </si>
  <si>
    <t>Z_PAS_COMMI_DATE_DT</t>
  </si>
  <si>
    <t>Z_PAS_DATE_OF_MANUF_DT</t>
  </si>
  <si>
    <t>Z_PAS_THE_NUMBE_OF_CYCLE_OF_LOAD_EQUIP_NBR</t>
  </si>
  <si>
    <t>Z_PAS_MANUF_CHR</t>
  </si>
  <si>
    <t>Z_PAS_STAND_LIFE_NBR</t>
  </si>
  <si>
    <t>Z_PAS_EQUIP_CATEG__032_NBR</t>
  </si>
  <si>
    <t>Z_PAS_EXPLO_MODE_CHR</t>
  </si>
  <si>
    <t>Z_PAS_VOLUM_NBR</t>
  </si>
  <si>
    <t>Z_PAS_LOCAT_CHR</t>
  </si>
  <si>
    <t>Z_PAS_LENGT_NBR</t>
  </si>
  <si>
    <t>Z_PAS_HEIGH_NBR</t>
  </si>
  <si>
    <t>Z_PAS_INSUL_TYPE_CHR</t>
  </si>
  <si>
    <t>Z_PAS_PRESE_OF_LININ_FLG</t>
  </si>
  <si>
    <t>Z_PAS_ANTIC_COATI_INTE_CHR</t>
  </si>
  <si>
    <t>Z_PAS_ANTIC_COATI_EXTE_CHR</t>
  </si>
  <si>
    <t>Z_PAS_ANTIC_MEASU_CHR</t>
  </si>
  <si>
    <t>Z_PAS_THE_PRESE_OF_INTER_DEVIC_CHR</t>
  </si>
  <si>
    <t>Z_PAS_EMPTY_VESSE_WEIGH_NBR</t>
  </si>
  <si>
    <t>Z_PAS_SPATI_ARRAN_OF_SECTI_CHR</t>
  </si>
  <si>
    <t>Z_PAS_NUMBE_OF_HEAT_EXCHA_SECTI_NBR</t>
  </si>
  <si>
    <t>Z_PAS_HEAT_EXCHA_SURFA_NBR</t>
  </si>
  <si>
    <t>Z_PAS_REGUL_SC_NBR</t>
  </si>
  <si>
    <t>Z_PAS_WORKI_ENVIR_CHR</t>
  </si>
  <si>
    <t>Z_PAS_ENVIR_DIREC_CHR</t>
  </si>
  <si>
    <t>Z_PAS_HAZAR_CLASS_CHR</t>
  </si>
  <si>
    <t>Z_PAS_FIRE_AND_EXPLO_HAZAR_CHR</t>
  </si>
  <si>
    <t>Z_PAS_OPERA_PRESS_NBR</t>
  </si>
  <si>
    <t>Z_PAS_OPERA_TEMPE_NBR</t>
  </si>
  <si>
    <t>Z_PAS_PERMI_PRESS_NBR</t>
  </si>
  <si>
    <t>Z_PAS_ALLOW_TEMPE_NBR</t>
  </si>
  <si>
    <t>Z_PAS_Z_PA_NBR</t>
  </si>
  <si>
    <t>Z_PAS_DESIG_TEMPE_NBR</t>
  </si>
  <si>
    <t>Z_PAS_TEST_PRESS_GI_NBR</t>
  </si>
  <si>
    <t>Z_PAS_TEST_PRESS_PI_NBR</t>
  </si>
  <si>
    <t>Z_PAS_IS_UNDER_VACUU_FLG</t>
  </si>
  <si>
    <t>Z_PAS_MTBR_NBR</t>
  </si>
  <si>
    <t>Z_PAS_DATE_OF_THE_KTS_KR_DT</t>
  </si>
  <si>
    <t>Z_PAS_DATE_OF_THE_NEXT_CTS_KR_DT</t>
  </si>
  <si>
    <t>Z_PAS_DATE_OF_THE_LAST_ESB_DT</t>
  </si>
  <si>
    <t>Z_PAS_NEXT_EAB_DATE_DT</t>
  </si>
  <si>
    <t>Z_PAS_PERMI_USEFU_LIFE_NBR</t>
  </si>
  <si>
    <t>Z_PAS_RESID_SERVI_LIFE_AT_ACTUA_CORRO_RATE_NBR</t>
  </si>
  <si>
    <t>Z_PAS_NUMBE_OF_CONTR_METHO_NBR</t>
  </si>
  <si>
    <t>Z_PAS_UNIT_CHR</t>
  </si>
  <si>
    <t>Z_PAS_UNIT_DESCR_CHR</t>
  </si>
  <si>
    <t>Коэффициент, учитывающий антикоррозионные мероприятия (Kам)</t>
  </si>
  <si>
    <t>Изменения в процессе эксплуатации</t>
  </si>
  <si>
    <t>Продолжительность эксплуатации</t>
  </si>
  <si>
    <t>Поправочный коэффициент (Ψ)</t>
  </si>
  <si>
    <t>Фактор выявленных дефектов</t>
  </si>
  <si>
    <t>RANKI_EQUIP_ACCOR_ICTE_EQUIP_CHR</t>
  </si>
  <si>
    <t>RANKI_EQUIP_ACCOR_ICTE_EQUIP_DESCR_CHR</t>
  </si>
  <si>
    <t>RANKI_EQUIP_ACCOR_ICTE_FUNCT_LOCAT_CHR</t>
  </si>
  <si>
    <t>RANKI_EQUIP_ACCOR_ICTE_FUNCT_LOCAT_DESCR_CHR</t>
  </si>
  <si>
    <t>RANKI_EQUIP_ACCOR_ICTE_ANTIC_FACTO_NBR</t>
  </si>
  <si>
    <t>RANKI_EQUIP_ACCOR_ICTE_HANGE_FACTO_NBR</t>
  </si>
  <si>
    <t>RANKI_EQUIP_ACCOR_ICTE_DURAT_FACTO_NBR</t>
  </si>
  <si>
    <t>RANKI_EQUIP_ACCOR_ICTE_CORRE_FACTO_NBR</t>
  </si>
  <si>
    <t>RANKI_EQUIP_ACCOR_ICTE_DEFEC_FACTO_NBR</t>
  </si>
  <si>
    <t>Ранжирование/ID Оборудования</t>
  </si>
  <si>
    <t>Ранжирование/Техническое место</t>
  </si>
  <si>
    <t>ICTE Вид коррозии</t>
  </si>
  <si>
    <t>Ки</t>
  </si>
  <si>
    <t>RANKI_EQUIP_ACCOR_ICTE|RANKI_EQUIP_ACCOR_ICTE_EQUIP_CHR</t>
  </si>
  <si>
    <t>RANKI_EQUIP_ACCOR_ICTE|RANKI_EQUIP_ACCOR_ICTE_FUNCT_LOCAT_CHR</t>
  </si>
  <si>
    <t>Неучтенные компоненты среды</t>
  </si>
  <si>
    <t>Kc</t>
  </si>
  <si>
    <t>ICTE_UNACC_COMPO|ICTE_UNACC_COMPO_CHR</t>
  </si>
  <si>
    <t>ICTE_UNACC_COMPO|ICTE_UNACC_COMPO_KC_NBR</t>
  </si>
  <si>
    <t>Шаблон загрузки результатов измерения толщин</t>
  </si>
  <si>
    <t>Поле сортировки SAP (номер трубопровода)</t>
  </si>
  <si>
    <t>Техническое место SAP</t>
  </si>
  <si>
    <t>Группа точек измерения</t>
  </si>
  <si>
    <t>Описание компонента</t>
  </si>
  <si>
    <t>Дата ввода в эксплуатацию компонента</t>
  </si>
  <si>
    <t>Номер точки измерения</t>
  </si>
  <si>
    <t>Отбраковаочная толщина</t>
  </si>
  <si>
    <t>Показания</t>
  </si>
  <si>
    <t>Лицо производящее замер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</si>
  <si>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</si>
  <si>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</si>
  <si>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</si>
  <si>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</si>
  <si>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</si>
  <si>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</si>
  <si>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</si>
  <si>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</si>
  <si>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</si>
  <si>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</si>
  <si>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</si>
  <si>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</si>
  <si>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</si>
  <si>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57
Сварной стык</t>
  </si>
  <si>
    <t>58
Номер по спецификации</t>
  </si>
  <si>
    <t>Тип элемента из классификатора. Использовать справочник классификации.</t>
  </si>
  <si>
    <t>При заполнении использовать справочник.</t>
  </si>
  <si>
    <t>Давление, на которое рассчитаны фланцевые соединения.</t>
  </si>
  <si>
    <t>ICTE_CORROSION_TYPE|ICTE_CORROSION_TYPE_CHR</t>
  </si>
  <si>
    <t>ICTE_CORROSION_TYPE|ICTE_CORROSION_TYPE_FACT_KI_NBR</t>
  </si>
  <si>
    <t>Общая равномерная</t>
  </si>
  <si>
    <t>Высокотемпературная водородная коррозия</t>
  </si>
  <si>
    <t>Высокотемпературная сероводородная (ВТСК)</t>
  </si>
  <si>
    <t>Азотистые соединения (аммиак, амины)</t>
  </si>
  <si>
    <t>Необходимо протянуть на</t>
  </si>
  <si>
    <t>Столбец1</t>
  </si>
  <si>
    <t>Кол-во</t>
  </si>
  <si>
    <t>Тех. Место</t>
  </si>
  <si>
    <t>Тип_кор №1</t>
  </si>
  <si>
    <t>Тип_кор №2</t>
  </si>
  <si>
    <t>Тип_кор №3</t>
  </si>
  <si>
    <t>Тип_кор №4</t>
  </si>
  <si>
    <t>Тип_кор №5</t>
  </si>
  <si>
    <t>Тип_кор №6</t>
  </si>
  <si>
    <t>Тип_кор №7</t>
  </si>
  <si>
    <t>Тип_кор №8</t>
  </si>
  <si>
    <t>Тип_кор №9</t>
  </si>
  <si>
    <t>Тип_кор №10</t>
  </si>
  <si>
    <t>Атмосферная</t>
  </si>
  <si>
    <t>Газовая</t>
  </si>
  <si>
    <t>Карбонильная</t>
  </si>
  <si>
    <t>Неуч_комп_среды №1</t>
  </si>
  <si>
    <t>Неуч_комп_среды №2</t>
  </si>
  <si>
    <t>Неуч_комп_среды №3</t>
  </si>
  <si>
    <t>Неуч_комп_среды №4</t>
  </si>
  <si>
    <t>Неуч_комп_среды №5</t>
  </si>
  <si>
    <t>Неуч_комп_среды №6</t>
  </si>
  <si>
    <t>Неуч_комп_среды №7</t>
  </si>
  <si>
    <t>Неуч_комп_среды №8</t>
  </si>
  <si>
    <t>Неуч_комп_среды №9</t>
  </si>
  <si>
    <t>Неуч_комп_среды №10</t>
  </si>
  <si>
    <t>Соли</t>
  </si>
  <si>
    <t>Кислород и кислородсодержащие вещества (смолистые соединения, карбоновые, нафтеновые кислоты и т.д.)</t>
  </si>
  <si>
    <t>Оксиды углерода</t>
  </si>
  <si>
    <t>Водород</t>
  </si>
  <si>
    <t>Контактная</t>
  </si>
  <si>
    <t>Коррозионная кавитация</t>
  </si>
  <si>
    <t>Коррозионная эрозия</t>
  </si>
  <si>
    <t>Коррозионное растрескивание</t>
  </si>
  <si>
    <t>Коррозия под напряжением</t>
  </si>
  <si>
    <t>Нитевидная</t>
  </si>
  <si>
    <t>Ножевая</t>
  </si>
  <si>
    <t>Общая неравномерная</t>
  </si>
  <si>
    <t>Питтинговая</t>
  </si>
  <si>
    <t>Подповерхностная</t>
  </si>
  <si>
    <t>Щелевая</t>
  </si>
  <si>
    <t>Щелочное растрескивание</t>
  </si>
  <si>
    <t>Язвенная</t>
  </si>
  <si>
    <t>Кс</t>
  </si>
  <si>
    <t>Сульфиды, дисульфиды, полисульфиды</t>
  </si>
  <si>
    <t>Меркаптаны</t>
  </si>
  <si>
    <t>0,5</t>
  </si>
  <si>
    <t>Сульфаты</t>
  </si>
  <si>
    <t>0,6</t>
  </si>
  <si>
    <t>Сероводород</t>
  </si>
  <si>
    <t>Хлорсодержащие соединения</t>
  </si>
  <si>
    <t>Минеральные примеси</t>
  </si>
  <si>
    <t>Механические примеси</t>
  </si>
  <si>
    <t>Тех. Поле</t>
  </si>
  <si>
    <t>Техническое место</t>
  </si>
  <si>
    <t>SAP система</t>
  </si>
  <si>
    <t>MI_FNCLOC00|MI_FNCLOC00_FNC_LOC_C</t>
  </si>
  <si>
    <t>MI_FNCLOC00|MI_FNCLOC00_SAP_SYSTEM_C</t>
  </si>
  <si>
    <t>Z_Passport|Z_PAS_UNIT_CHR</t>
  </si>
  <si>
    <t>ID Оборудования</t>
  </si>
  <si>
    <t>MI_EQUIP000|MI_EQUIP000_EQUIP_ID_C</t>
  </si>
  <si>
    <t>MI_EQUIP000|MI_EQUIP000_SAP_SYSTEM_C</t>
  </si>
  <si>
    <t>Скорость коррозии</t>
  </si>
  <si>
    <t>Рабочая среда</t>
  </si>
  <si>
    <t>Столбец2</t>
  </si>
  <si>
    <t>Антикоррозионые_мероприятия</t>
  </si>
  <si>
    <t>Без мероприятий</t>
  </si>
  <si>
    <t>Термообработка частичная</t>
  </si>
  <si>
    <t>0,9</t>
  </si>
  <si>
    <t>Термообработка полная</t>
  </si>
  <si>
    <t>0,8</t>
  </si>
  <si>
    <t>Применение ингибиторов, пассивация</t>
  </si>
  <si>
    <t>0,7</t>
  </si>
  <si>
    <t>Антикоррозионное покрытие</t>
  </si>
  <si>
    <t>Плакирование</t>
  </si>
  <si>
    <t>Применение биметаллов</t>
  </si>
  <si>
    <t>0,4</t>
  </si>
  <si>
    <t>Кам</t>
  </si>
  <si>
    <t>Изменение_условий_эксплуатации</t>
  </si>
  <si>
    <t>Изменение условий эксплуатации - Отсутствие изменений.(IV)</t>
  </si>
  <si>
    <t>Изменение условий эксплуатации - Увеличение параметров технологического режима, наличие документированного обоснования.(III)</t>
  </si>
  <si>
    <t>Изменение условий эксплуатации - Увеличение параметров технологического режима, отсутствие документированного обоснования.(I)</t>
  </si>
  <si>
    <t>Изменение в конструкции - Отсутствие изменений, частичное изменения не в соответствии с НТД.(II)</t>
  </si>
  <si>
    <t>Изменение в конструкции - Отсутствие изменений, частичное изменения в соответствии с НТД.(IV)</t>
  </si>
  <si>
    <t>Консервация (расконсервация) - С нарушением НТД.(III)</t>
  </si>
  <si>
    <t>Консервация (расконсервация) - Вывод из эксплуатацию без снятия с учата и консервации.(II)</t>
  </si>
  <si>
    <t>Консервация (расконсервация) - С соблюдением НТД.(IV)</t>
  </si>
  <si>
    <t>Консервация (расконсервация) - Эксплуатация после перерыва более 12 месяцев без соблюдения НТД.(II)</t>
  </si>
  <si>
    <t>Результаты расчета на прочность - Расчеты , требуемые НТД, отсутствуют.(II)</t>
  </si>
  <si>
    <t>Изменение прочностных характеристик и свойств материалов - Соответствуют НТД.(IV)</t>
  </si>
  <si>
    <t>Изменение прочностных характеристик и свойств материалов - Не соответствуют НТД, данные  характеристики свойств материалов отсутствуют.(II)</t>
  </si>
  <si>
    <t>Не выработавшее срок службы - ТО проводится с отступлением от НТД.(II)</t>
  </si>
  <si>
    <t>Не выработавшее срок службы - в эксплуатации менее 3 лет.(III)</t>
  </si>
  <si>
    <t>Не выработавшее срок службы - в эксплуатации более 3 лет.(IV)</t>
  </si>
  <si>
    <t>Выработавшее срок службы - Без ЭПБ, запрет на эксплуатацию или остаточный ресурс меньше периодичности кап. ремонтов.(I)</t>
  </si>
  <si>
    <t>Выработавшее срок службы - кол-во методов контроля при диагностировании от 0 до 2.(II)</t>
  </si>
  <si>
    <t>Выработавшее срок службы - кол-во методов контроля при диагностировании от 3 до 5.(III)</t>
  </si>
  <si>
    <t>Выработавшее срок службы - кол-во методов контроля при диагностировании более 5.(IV)</t>
  </si>
  <si>
    <t>Фактор_продолжительности</t>
  </si>
  <si>
    <t>Не превышает</t>
  </si>
  <si>
    <t>0 – 0,05</t>
  </si>
  <si>
    <t>0,006 – 0,01</t>
  </si>
  <si>
    <t>0,011 – 0,1</t>
  </si>
  <si>
    <t>0,11 –  0,5</t>
  </si>
  <si>
    <t>0,51 – 1,0</t>
  </si>
  <si>
    <t>1,01 – 1,5</t>
  </si>
  <si>
    <t>1,51 – 3,0</t>
  </si>
  <si>
    <t>Более 3,0</t>
  </si>
  <si>
    <t>Вид_дефектов</t>
  </si>
  <si>
    <t>Не склонные к развитию (дефекты, развитие которых при нормальном течении технологического процесса маловероятно, либо скорость его развития пренебрежимо мала и допускается возможность эксплуатации технологического оборудования до следующей плановой остановки на ремонт) — дефект неустранимый (устранение которого технически невозможно или экономически нецелесообразно).(II)</t>
  </si>
  <si>
    <t>Не склонные к развитию (дефекты, развитие которых при нормальном течении технологического процесса маловероятно, либо скорость его развития пренебрежимо мала и допускается возможность эксплуатации технологического оборудования до следующей плановой остановки на ремонт) —дефект устранимый (устранение которого технически возможно и экономически целесообразно), не устранен (дефект не устраненный после обнаружения, либо устраненный с нарушениями требований НТД).(III)</t>
  </si>
  <si>
    <t>Не склонные к развитию (дефекты, развитие которых при нормальном течении технологического процесса маловероятно, либо скорость его развития пренебрежимо мала и допускается возможность эксплуатации технологического оборудования до следующей плановой остановки на ремонт) —дефект устранен (устраненный после проведения ремонта, в соответствии с НТД, с последующим 100 % контролем дефектного участка).(IV)</t>
  </si>
  <si>
    <t>Склонные к развитию (дефекты, скорость развития которых является показателем для оценки возможности эксплуатации до следующей плановой остановки на ремонт) — дефект неустранимый.(I)</t>
  </si>
  <si>
    <t>Склонные к развитию (дефекты, скорость развития которых является показателем для оценки возможности эксплуатации до следующей плановой остановки на ремонт) — дефект устранимый, не устранен.(II)</t>
  </si>
  <si>
    <t>Склонные к развитию (дефекты, скорость развития которых является показателем для оценки возможности эксплуатации до следующей плановой остановки на ремонт) — дефект устранен.(III)</t>
  </si>
  <si>
    <t>Критически опасные дефекты (при наличии которых эксплуатация технологического оборудования либо невозможно без введения ограничений, либо вовсе недопустима, к данной категории относятся дефекты, создающие угрозу аварии).(I)</t>
  </si>
  <si>
    <t>Дефекты не выявлены.(IV)</t>
  </si>
  <si>
    <t>При заполнении использовать справчник.</t>
  </si>
  <si>
    <t>Расчтеное давление</t>
  </si>
  <si>
    <t>Тип метериала</t>
  </si>
  <si>
    <t>Межцеховые коммуникации (МЦК)</t>
  </si>
  <si>
    <t>Тепловой контроль (ТК)</t>
  </si>
  <si>
    <t>Факельный трубопровод (ФТ)</t>
  </si>
  <si>
    <t>Категория Группа</t>
  </si>
  <si>
    <t>Z_PAS_MKC_FLG</t>
  </si>
  <si>
    <t>Z_PAS_TK_FLG</t>
  </si>
  <si>
    <t>Z_PAS_FLAR_PIPE_FLG</t>
  </si>
  <si>
    <t>Z_PAS_CATH_GROU_CHR</t>
  </si>
  <si>
    <t>Материал компонента</t>
  </si>
  <si>
    <t>Результаты расчета на прочность - Результаты расчетов неудовлетворительные. Требуется изменение параметров или вывод объекта из эксплуатации.(I)</t>
  </si>
  <si>
    <t>Результаты расчета на прочность - Расчеты частично удовлетворяют НТД.(III)</t>
  </si>
  <si>
    <t>Результаты расчета на прочность - Расчеты удовлетворяют НТД.(IV)</t>
  </si>
  <si>
    <t>Заносятся по толщинометрии</t>
  </si>
  <si>
    <t>Биокоррозия</t>
  </si>
  <si>
    <t>Ватер-линия</t>
  </si>
  <si>
    <t>Вибрация</t>
  </si>
  <si>
    <t>Высокотемпературная ванадиевая</t>
  </si>
  <si>
    <t>Высокотемпературная коррозия под действием диоксида углерода (СО2)</t>
  </si>
  <si>
    <t>Высокотемпературная коррозия под действием нафтеновых кислот</t>
  </si>
  <si>
    <t>Высокотемпературная коррозия под действием оксида углерода (СО)</t>
  </si>
  <si>
    <t>Высокотемпературная сернистая</t>
  </si>
  <si>
    <t>Высокотемпературная ползучесть металлов</t>
  </si>
  <si>
    <t>Графитизация</t>
  </si>
  <si>
    <t>Застойные зоны</t>
  </si>
  <si>
    <t>Избирательная коррозия</t>
  </si>
  <si>
    <t>Карбонильная коррозия</t>
  </si>
  <si>
    <t>Коррозионная усталость</t>
  </si>
  <si>
    <t>Коррозия по действием азотной кислоты</t>
  </si>
  <si>
    <t>Коррозия под действием азото-водородно-аммиачной смеси</t>
  </si>
  <si>
    <t>Коррозия под действием гликолей</t>
  </si>
  <si>
    <t>Коррозия под действием карбоновых кислот</t>
  </si>
  <si>
    <t>Коррозия под действием меркаптанов</t>
  </si>
  <si>
    <t>Коррозия под действием пара</t>
  </si>
  <si>
    <t>Коррозия под действием политионовых кислот</t>
  </si>
  <si>
    <t>Коррозия под действием растворенного кислорода</t>
  </si>
  <si>
    <t>Коррозия под действием серной и сернистой кислот</t>
  </si>
  <si>
    <t>Коррозия под действием угольной кислоты</t>
  </si>
  <si>
    <t>Коррозия под действием хлороводородной кислоты</t>
  </si>
  <si>
    <t>Коррозия под действием щелочи</t>
  </si>
  <si>
    <t>Коррозия под действием элементарной серы</t>
  </si>
  <si>
    <t>Механическая усталость</t>
  </si>
  <si>
    <t>Наличие источника эрозии</t>
  </si>
  <si>
    <t>Низкотемпературная сероводородная и сероводородное коррозионное растрескивание</t>
  </si>
  <si>
    <t>Окисление под действием O2 при высоких температурах</t>
  </si>
  <si>
    <t>Охрупчивание сигма-фазой</t>
  </si>
  <si>
    <t>Подземная коррозия</t>
  </si>
  <si>
    <t>Сфероидизация перлита</t>
  </si>
  <si>
    <t>Тепловая хрупкость</t>
  </si>
  <si>
    <t>Термическая усталость</t>
  </si>
  <si>
    <t>Межкристаллитная и межкристаллитное растрескивание</t>
  </si>
  <si>
    <t>Фретинг-коррозия</t>
  </si>
  <si>
    <t>Хлористо-водородно-сероводородная</t>
  </si>
  <si>
    <t>Высокотемпературная водородная коррозия и водородное растрескивание</t>
  </si>
  <si>
    <t>Монолитный пенобетон</t>
  </si>
  <si>
    <t>Минераловатные изделия</t>
  </si>
  <si>
    <t>Пенополистирол</t>
  </si>
  <si>
    <t>Пенополиуретан</t>
  </si>
  <si>
    <t>Полиизоцианурат (PIR)</t>
  </si>
  <si>
    <t>Эковата</t>
  </si>
  <si>
    <t>Вспененный каучук</t>
  </si>
  <si>
    <t>Вспененный полиэтилен (НПЭ, ППЭ)</t>
  </si>
  <si>
    <t>Вакуумная изоляция</t>
  </si>
  <si>
    <t>Жидкая теплоизоляция</t>
  </si>
  <si>
    <t>Не изолирован</t>
  </si>
  <si>
    <t>Monolithic foam concrete</t>
  </si>
  <si>
    <t>Mineral wool</t>
  </si>
  <si>
    <t>Expanded polystyrene</t>
  </si>
  <si>
    <t>Polyurethane foam</t>
  </si>
  <si>
    <t>PIR</t>
  </si>
  <si>
    <t>Ecowool</t>
  </si>
  <si>
    <t>Foamed rubber</t>
  </si>
  <si>
    <t>Foamed polyethylene (NPE, PPE)</t>
  </si>
  <si>
    <t>Vacuum insulation</t>
  </si>
  <si>
    <t>Liquid insulation</t>
  </si>
  <si>
    <t>Not isolated</t>
  </si>
  <si>
    <t>Тип теплоизоляции</t>
  </si>
  <si>
    <t>Тип теплоизоляции (англ.)</t>
  </si>
  <si>
    <t>Нет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</si>
</sst>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30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0"/>
      <name val="MS Sans Serif"/>
      <family val="2"/>
      <charset val="204"/>
    </font>
    <font>
      <b/>
      <sz val="14"/>
      <color theme="1"/>
      <name val="Calibri"/>
      <family val="2"/>
      <charset val="204"/>
      <scheme val="minor"/>
    </font>
    <font>
      <u/>
      <sz val="14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MS Sans Serif"/>
    </font>
    <font>
      <sz val="11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0"/>
      <name val="Arial"/>
      <family val="2"/>
      <charset val="204"/>
    </font>
    <font>
      <sz val="10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color theme="1"/>
      <name val="Arial"/>
      <family val="2"/>
      <charset val="204"/>
    </font>
    <font>
      <sz val="8"/>
      <name val="Arial"/>
      <family val="2"/>
      <charset val="204"/>
    </font>
    <font>
      <b/>
      <sz val="11"/>
      <name val="Arial"/>
      <family val="2"/>
      <charset val="204"/>
    </font>
    <font>
      <sz val="11"/>
      <color rgb="FF9C0006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Caibri"/>
      <charset val="204"/>
    </font>
    <font>
      <sz val="10"/>
      <color theme="1"/>
      <name val="Caibri"/>
      <charset val="204"/>
    </font>
    <font>
      <sz val="11"/>
      <color rgb="FF1F4E78"/>
      <name val="Calibri"/>
      <family val="2"/>
      <charset val="204"/>
      <scheme val="minor"/>
    </font>
    <font>
      <sz val="10"/>
      <color rgb="FF000000"/>
      <name val="Calibri"/>
      <family val="2"/>
      <charset val="204"/>
      <scheme val="minor"/>
    </font>
    <font>
      <sz val="11"/>
      <color rgb="FF9C0006"/>
      <name val="Calibri "/>
      <charset val="204"/>
    </font>
    <font>
      <sz val="10"/>
      <color rgb="FF9C0006"/>
      <name val="Arial"/>
      <family val="2"/>
    </font>
    <font>
      <b/>
      <sz val="11"/>
      <name val="Calibri "/>
      <charset val="204"/>
    </font>
    <font>
      <sz val="11"/>
      <name val="Calibri "/>
      <charset val="204"/>
    </font>
    <font>
      <sz val="10"/>
      <color rgb="FF323E4F"/>
      <name val="Arial"/>
      <family val="2"/>
      <charset val="204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8">
    <xf numFmtId="0" fontId="0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8" fillId="0" borderId="0"/>
    <xf numFmtId="0" fontId="9" fillId="0" borderId="0"/>
    <xf numFmtId="0" fontId="3" fillId="0" borderId="0"/>
  </cellStyleXfs>
  <cellXfs count="240">
    <xf numFmtId="0" fontId="0" fillId="0" borderId="0" xfId="0"/>
    <xf numFmtId="0" fontId="2" fillId="0" borderId="1" xfId="0" quotePrefix="1" applyNumberFormat="1" applyFont="1" applyFill="1" applyBorder="1" applyAlignment="1" applyProtection="1">
      <alignment horizontal="center" vertical="center" wrapText="1"/>
      <protection locked="0"/>
    </xf>
    <xf numFmtId="49" fontId="2" fillId="0" borderId="1" xfId="0" quotePrefix="1" applyNumberFormat="1" applyFont="1" applyFill="1" applyBorder="1" applyAlignment="1" applyProtection="1">
      <alignment horizontal="center" vertical="center" wrapText="1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4" fillId="2" borderId="1" xfId="0" quotePrefix="1" applyNumberFormat="1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2" fillId="3" borderId="1" xfId="0" quotePrefix="1" applyNumberFormat="1" applyFont="1" applyFill="1" applyBorder="1" applyAlignment="1" applyProtection="1">
      <alignment horizontal="center" vertical="center" wrapText="1"/>
      <protection locked="0"/>
    </xf>
    <xf numFmtId="0" fontId="4" fillId="4" borderId="1" xfId="0" applyFont="1" applyFill="1" applyBorder="1" applyAlignment="1" applyProtection="1">
      <alignment horizontal="center" vertical="center" wrapText="1"/>
      <protection locked="0"/>
    </xf>
    <xf numFmtId="0" fontId="4" fillId="5" borderId="1" xfId="0" applyFont="1" applyFill="1" applyBorder="1" applyAlignment="1" applyProtection="1">
      <alignment horizontal="center" vertical="center" wrapText="1"/>
      <protection locked="0"/>
    </xf>
    <xf numFmtId="0" fontId="4" fillId="6" borderId="1" xfId="0" applyFont="1" applyFill="1" applyBorder="1" applyAlignment="1" applyProtection="1">
      <alignment horizontal="center" vertical="center" wrapText="1"/>
      <protection locked="0"/>
    </xf>
    <xf numFmtId="0" fontId="4" fillId="7" borderId="1" xfId="0" applyFont="1" applyFill="1" applyBorder="1" applyAlignment="1" applyProtection="1">
      <alignment horizontal="center" vertical="center" wrapText="1"/>
      <protection locked="0"/>
    </xf>
    <xf numFmtId="0" fontId="4" fillId="8" borderId="1" xfId="0" applyFont="1" applyFill="1" applyBorder="1" applyAlignment="1" applyProtection="1">
      <alignment horizontal="center" vertical="center" wrapText="1"/>
      <protection locked="0"/>
    </xf>
    <xf numFmtId="49" fontId="4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applyFont="1" applyFill="1"/>
    <xf numFmtId="0" fontId="0" fillId="0" borderId="0" xfId="0" applyBorder="1"/>
    <xf numFmtId="0" fontId="0" fillId="0" borderId="0" xfId="0" applyAlignment="1">
      <alignment horizontal="center" vertical="center"/>
    </xf>
    <xf numFmtId="0" fontId="2" fillId="0" borderId="5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14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4" fontId="4" fillId="8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wrapText="1"/>
    </xf>
    <xf numFmtId="0" fontId="3" fillId="0" borderId="0" xfId="1" applyFill="1" applyAlignment="1">
      <alignment vertical="center"/>
    </xf>
    <xf numFmtId="0" fontId="3" fillId="0" borderId="0" xfId="1" applyFont="1" applyFill="1" applyAlignment="1">
      <alignment vertical="center"/>
    </xf>
    <xf numFmtId="0" fontId="3" fillId="0" borderId="0" xfId="1" applyFill="1" applyAlignment="1">
      <alignment horizontal="left" vertical="center"/>
    </xf>
    <xf numFmtId="0" fontId="3" fillId="0" borderId="0" xfId="1" applyNumberFormat="1" applyFill="1" applyAlignment="1">
      <alignment vertical="center"/>
    </xf>
    <xf numFmtId="14" fontId="3" fillId="0" borderId="0" xfId="1" applyNumberFormat="1" applyFont="1" applyFill="1" applyBorder="1" applyAlignment="1">
      <alignment horizontal="center" vertical="center"/>
    </xf>
    <xf numFmtId="0" fontId="3" fillId="0" borderId="0" xfId="1" applyFill="1" applyBorder="1" applyAlignment="1">
      <alignment vertical="center"/>
    </xf>
    <xf numFmtId="49" fontId="3" fillId="0" borderId="0" xfId="1" applyNumberFormat="1" applyFill="1" applyBorder="1" applyAlignment="1">
      <alignment vertical="center"/>
    </xf>
    <xf numFmtId="0" fontId="11" fillId="0" borderId="0" xfId="1" applyFont="1" applyFill="1" applyBorder="1" applyAlignment="1">
      <alignment vertical="center"/>
    </xf>
    <xf numFmtId="0" fontId="3" fillId="0" borderId="0" xfId="1" applyFill="1" applyBorder="1" applyAlignment="1">
      <alignment horizontal="center" vertical="center" wrapText="1"/>
    </xf>
    <xf numFmtId="0" fontId="10" fillId="0" borderId="0" xfId="1" applyFont="1" applyFill="1" applyAlignment="1">
      <alignment horizontal="center" vertical="center"/>
    </xf>
    <xf numFmtId="0" fontId="10" fillId="0" borderId="0" xfId="1" applyFont="1" applyFill="1" applyBorder="1" applyAlignment="1">
      <alignment horizontal="center" vertical="center"/>
    </xf>
    <xf numFmtId="0" fontId="10" fillId="0" borderId="0" xfId="1" applyFont="1" applyFill="1" applyBorder="1" applyAlignment="1">
      <alignment horizontal="center" vertical="center" wrapText="1"/>
    </xf>
    <xf numFmtId="14" fontId="10" fillId="0" borderId="0" xfId="1" applyNumberFormat="1" applyFont="1" applyFill="1" applyBorder="1" applyAlignment="1">
      <alignment horizontal="center" vertical="center" wrapText="1"/>
    </xf>
    <xf numFmtId="49" fontId="10" fillId="0" borderId="0" xfId="1" applyNumberFormat="1" applyFont="1" applyFill="1" applyBorder="1" applyAlignment="1">
      <alignment horizontal="center" vertical="center"/>
    </xf>
    <xf numFmtId="0" fontId="13" fillId="0" borderId="1" xfId="1" applyNumberFormat="1" applyFont="1" applyFill="1" applyBorder="1" applyAlignment="1">
      <alignment horizontal="center" vertical="center"/>
    </xf>
    <xf numFmtId="49" fontId="3" fillId="0" borderId="0" xfId="1" applyNumberFormat="1" applyFill="1" applyAlignment="1">
      <alignment vertical="center"/>
    </xf>
    <xf numFmtId="2" fontId="3" fillId="0" borderId="0" xfId="1" applyNumberFormat="1" applyFont="1" applyFill="1" applyBorder="1" applyAlignment="1">
      <alignment horizontal="center" vertical="center"/>
    </xf>
    <xf numFmtId="0" fontId="13" fillId="0" borderId="13" xfId="1" applyNumberFormat="1" applyFont="1" applyFill="1" applyBorder="1" applyAlignment="1">
      <alignment horizontal="center" vertical="center"/>
    </xf>
    <xf numFmtId="0" fontId="13" fillId="0" borderId="1" xfId="1" quotePrefix="1" applyNumberFormat="1" applyFont="1" applyFill="1" applyBorder="1" applyAlignment="1">
      <alignment horizontal="left" vertical="center" wrapText="1"/>
    </xf>
    <xf numFmtId="0" fontId="13" fillId="0" borderId="1" xfId="1" applyNumberFormat="1" applyFont="1" applyFill="1" applyBorder="1" applyAlignment="1">
      <alignment horizontal="center" vertical="center" wrapText="1"/>
    </xf>
    <xf numFmtId="14" fontId="13" fillId="0" borderId="1" xfId="1" applyNumberFormat="1" applyFont="1" applyFill="1" applyBorder="1" applyAlignment="1">
      <alignment horizontal="center" vertical="center"/>
    </xf>
    <xf numFmtId="0" fontId="13" fillId="0" borderId="3" xfId="1" applyNumberFormat="1" applyFont="1" applyFill="1" applyBorder="1" applyAlignment="1">
      <alignment horizontal="center" vertical="center" wrapText="1"/>
    </xf>
    <xf numFmtId="0" fontId="13" fillId="0" borderId="13" xfId="1" quotePrefix="1" applyNumberFormat="1" applyFont="1" applyFill="1" applyBorder="1" applyAlignment="1">
      <alignment horizontal="left" vertical="center" wrapText="1"/>
    </xf>
    <xf numFmtId="0" fontId="13" fillId="0" borderId="13" xfId="1" applyNumberFormat="1" applyFont="1" applyFill="1" applyBorder="1" applyAlignment="1">
      <alignment horizontal="center" vertical="center" wrapText="1"/>
    </xf>
    <xf numFmtId="14" fontId="13" fillId="0" borderId="13" xfId="1" applyNumberFormat="1" applyFont="1" applyFill="1" applyBorder="1" applyAlignment="1">
      <alignment horizontal="center" vertical="center"/>
    </xf>
    <xf numFmtId="0" fontId="13" fillId="0" borderId="14" xfId="1" applyNumberFormat="1" applyFont="1" applyFill="1" applyBorder="1" applyAlignment="1">
      <alignment horizontal="center" vertical="center" wrapText="1"/>
    </xf>
    <xf numFmtId="14" fontId="13" fillId="0" borderId="1" xfId="1" applyNumberFormat="1" applyFont="1" applyFill="1" applyBorder="1" applyAlignment="1">
      <alignment horizontal="center" vertical="center" wrapText="1"/>
    </xf>
    <xf numFmtId="14" fontId="13" fillId="0" borderId="13" xfId="1" applyNumberFormat="1" applyFont="1" applyFill="1" applyBorder="1" applyAlignment="1">
      <alignment horizontal="center" vertical="center" wrapText="1"/>
    </xf>
    <xf numFmtId="0" fontId="2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Alignment="1">
      <alignment horizontal="center" vertical="center"/>
    </xf>
    <xf numFmtId="0" fontId="9" fillId="0" borderId="0" xfId="6"/>
    <xf numFmtId="0" fontId="12" fillId="0" borderId="15" xfId="0" applyFont="1" applyFill="1" applyBorder="1" applyAlignment="1">
      <alignment horizontal="center" vertical="center" wrapText="1"/>
    </xf>
    <xf numFmtId="0" fontId="12" fillId="0" borderId="11" xfId="0" applyFont="1" applyFill="1" applyBorder="1" applyAlignment="1">
      <alignment horizontal="center" vertical="center" wrapText="1"/>
    </xf>
    <xf numFmtId="0" fontId="14" fillId="0" borderId="2" xfId="0" applyFont="1" applyFill="1" applyBorder="1" applyAlignment="1">
      <alignment horizontal="center" vertical="center" wrapText="1"/>
    </xf>
    <xf numFmtId="0" fontId="14" fillId="0" borderId="3" xfId="0" applyFont="1" applyFill="1" applyBorder="1" applyAlignment="1">
      <alignment horizontal="center" vertical="center" wrapText="1"/>
    </xf>
    <xf numFmtId="0" fontId="14" fillId="0" borderId="16" xfId="0" applyFont="1" applyFill="1" applyBorder="1" applyAlignment="1">
      <alignment horizontal="center" vertical="center" wrapText="1"/>
    </xf>
    <xf numFmtId="0" fontId="14" fillId="0" borderId="14" xfId="0" applyFont="1" applyFill="1" applyBorder="1" applyAlignment="1">
      <alignment horizontal="center" vertical="center" wrapText="1"/>
    </xf>
    <xf numFmtId="0" fontId="16" fillId="0" borderId="1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/>
    </xf>
    <xf numFmtId="0" fontId="16" fillId="0" borderId="18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13" fillId="0" borderId="17" xfId="0" applyFont="1" applyFill="1" applyBorder="1" applyAlignment="1">
      <alignment horizontal="center" vertical="center" wrapText="1"/>
    </xf>
    <xf numFmtId="0" fontId="13" fillId="0" borderId="18" xfId="0" applyFont="1" applyFill="1" applyBorder="1" applyAlignment="1">
      <alignment horizontal="center" vertical="center" wrapText="1"/>
    </xf>
    <xf numFmtId="0" fontId="17" fillId="0" borderId="8" xfId="0" applyFont="1" applyFill="1" applyBorder="1" applyAlignment="1">
      <alignment horizontal="center" vertical="center"/>
    </xf>
    <xf numFmtId="0" fontId="14" fillId="0" borderId="17" xfId="6" applyNumberFormat="1" applyFont="1" applyFill="1" applyBorder="1" applyAlignment="1">
      <alignment horizontal="center" vertical="center"/>
    </xf>
    <xf numFmtId="0" fontId="14" fillId="0" borderId="18" xfId="6" applyNumberFormat="1" applyFont="1" applyFill="1" applyBorder="1" applyAlignment="1">
      <alignment horizontal="center" vertical="center"/>
    </xf>
    <xf numFmtId="0" fontId="14" fillId="0" borderId="17" xfId="6" applyNumberFormat="1" applyFont="1" applyFill="1" applyBorder="1" applyAlignment="1">
      <alignment horizontal="center" vertical="center" wrapText="1"/>
    </xf>
    <xf numFmtId="0" fontId="12" fillId="0" borderId="8" xfId="6" applyNumberFormat="1" applyFont="1" applyFill="1" applyBorder="1" applyAlignment="1">
      <alignment horizontal="center" vertical="center"/>
    </xf>
    <xf numFmtId="0" fontId="14" fillId="0" borderId="18" xfId="6" applyNumberFormat="1" applyFont="1" applyFill="1" applyBorder="1" applyAlignment="1">
      <alignment horizontal="center" vertical="center" wrapText="1"/>
    </xf>
    <xf numFmtId="0" fontId="0" fillId="0" borderId="0" xfId="0" applyNumberFormat="1" applyFont="1" applyAlignment="1">
      <alignment horizontal="center" vertical="center"/>
    </xf>
    <xf numFmtId="14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4" xfId="0" applyNumberFormat="1" applyFont="1" applyBorder="1" applyAlignment="1">
      <alignment horizontal="center" vertical="center" wrapText="1"/>
    </xf>
    <xf numFmtId="14" fontId="0" fillId="0" borderId="0" xfId="0" applyNumberFormat="1" applyFont="1" applyAlignment="1">
      <alignment horizontal="center" vertical="center" wrapText="1"/>
    </xf>
    <xf numFmtId="0" fontId="0" fillId="0" borderId="0" xfId="0" applyNumberFormat="1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0" fillId="0" borderId="0" xfId="0" applyNumberFormat="1" applyFont="1" applyFill="1" applyBorder="1" applyAlignment="1">
      <alignment horizontal="center" vertical="center"/>
    </xf>
    <xf numFmtId="14" fontId="20" fillId="0" borderId="0" xfId="0" applyNumberFormat="1" applyFont="1" applyFill="1" applyAlignment="1">
      <alignment horizontal="center" vertical="center" wrapText="1"/>
    </xf>
    <xf numFmtId="0" fontId="20" fillId="0" borderId="0" xfId="0" applyNumberFormat="1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14" fontId="20" fillId="0" borderId="0" xfId="0" applyNumberFormat="1" applyFont="1" applyFill="1" applyAlignment="1">
      <alignment horizontal="center" vertical="center"/>
    </xf>
    <xf numFmtId="14" fontId="20" fillId="0" borderId="0" xfId="0" applyNumberFormat="1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49" fontId="20" fillId="0" borderId="0" xfId="0" applyNumberFormat="1" applyFont="1" applyFill="1" applyBorder="1" applyAlignment="1">
      <alignment horizontal="center" vertical="center"/>
    </xf>
    <xf numFmtId="0" fontId="21" fillId="0" borderId="1" xfId="3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20" fillId="0" borderId="1" xfId="0" applyFont="1" applyBorder="1"/>
    <xf numFmtId="0" fontId="13" fillId="9" borderId="1" xfId="0" applyFont="1" applyFill="1" applyBorder="1" applyAlignment="1">
      <alignment horizontal="center" vertical="center" wrapText="1"/>
    </xf>
    <xf numFmtId="14" fontId="13" fillId="9" borderId="1" xfId="0" applyNumberFormat="1" applyFont="1" applyFill="1" applyBorder="1" applyAlignment="1">
      <alignment horizontal="center" vertical="center" wrapText="1"/>
    </xf>
    <xf numFmtId="164" fontId="13" fillId="0" borderId="1" xfId="3" applyNumberFormat="1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/>
    </xf>
    <xf numFmtId="0" fontId="20" fillId="0" borderId="0" xfId="0" applyFont="1"/>
    <xf numFmtId="0" fontId="18" fillId="10" borderId="6" xfId="5" applyNumberFormat="1" applyFont="1" applyFill="1" applyBorder="1" applyAlignment="1">
      <alignment horizontal="center" vertical="center" wrapText="1"/>
    </xf>
    <xf numFmtId="0" fontId="23" fillId="11" borderId="6" xfId="6" applyNumberFormat="1" applyFont="1" applyFill="1" applyBorder="1" applyAlignment="1">
      <alignment horizontal="center" vertical="center" wrapText="1"/>
    </xf>
    <xf numFmtId="0" fontId="10" fillId="0" borderId="0" xfId="0" applyFont="1"/>
    <xf numFmtId="0" fontId="4" fillId="0" borderId="0" xfId="6" applyFont="1" applyAlignment="1">
      <alignment horizontal="center" vertical="center"/>
    </xf>
    <xf numFmtId="0" fontId="4" fillId="0" borderId="0" xfId="6" applyFont="1" applyAlignment="1">
      <alignment horizontal="left" vertical="center"/>
    </xf>
    <xf numFmtId="0" fontId="4" fillId="0" borderId="0" xfId="6" applyFont="1"/>
    <xf numFmtId="0" fontId="18" fillId="10" borderId="7" xfId="5" applyNumberFormat="1" applyFont="1" applyFill="1" applyBorder="1" applyAlignment="1">
      <alignment horizontal="center" vertical="center"/>
    </xf>
    <xf numFmtId="0" fontId="23" fillId="11" borderId="7" xfId="6" applyNumberFormat="1" applyFont="1" applyFill="1" applyBorder="1" applyAlignment="1">
      <alignment horizontal="center" vertical="center" wrapText="1"/>
    </xf>
    <xf numFmtId="0" fontId="4" fillId="0" borderId="0" xfId="6" applyFont="1" applyBorder="1" applyAlignment="1">
      <alignment horizontal="center" vertical="center"/>
    </xf>
    <xf numFmtId="0" fontId="4" fillId="0" borderId="0" xfId="6" applyFont="1" applyBorder="1" applyAlignment="1">
      <alignment horizontal="center" vertical="center" wrapText="1"/>
    </xf>
    <xf numFmtId="0" fontId="4" fillId="0" borderId="0" xfId="6" applyFont="1" applyFill="1" applyAlignment="1">
      <alignment horizontal="center" vertical="center"/>
    </xf>
    <xf numFmtId="0" fontId="19" fillId="14" borderId="0" xfId="6" applyFont="1" applyFill="1" applyBorder="1" applyAlignment="1">
      <alignment horizontal="center" vertical="center"/>
    </xf>
    <xf numFmtId="0" fontId="19" fillId="14" borderId="0" xfId="6" applyFont="1" applyFill="1" applyBorder="1" applyAlignment="1">
      <alignment horizontal="center" vertical="center" wrapText="1"/>
    </xf>
    <xf numFmtId="0" fontId="20" fillId="0" borderId="0" xfId="0" applyNumberFormat="1" applyFont="1"/>
    <xf numFmtId="14" fontId="20" fillId="0" borderId="0" xfId="0" applyNumberFormat="1" applyFont="1"/>
    <xf numFmtId="0" fontId="13" fillId="0" borderId="0" xfId="6" applyFont="1" applyBorder="1" applyAlignment="1">
      <alignment horizontal="center" vertical="center"/>
    </xf>
    <xf numFmtId="0" fontId="13" fillId="0" borderId="0" xfId="6" applyFont="1" applyBorder="1" applyAlignment="1">
      <alignment horizontal="left" vertical="center"/>
    </xf>
    <xf numFmtId="0" fontId="13" fillId="0" borderId="0" xfId="6" applyFont="1" applyFill="1" applyAlignment="1">
      <alignment horizontal="center" vertical="center"/>
    </xf>
    <xf numFmtId="0" fontId="20" fillId="0" borderId="0" xfId="6" applyFont="1" applyBorder="1" applyAlignment="1">
      <alignment horizontal="center" vertical="center"/>
    </xf>
    <xf numFmtId="0" fontId="13" fillId="0" borderId="0" xfId="6" applyNumberFormat="1" applyFont="1" applyFill="1" applyAlignment="1">
      <alignment horizontal="center" vertical="center"/>
    </xf>
    <xf numFmtId="0" fontId="13" fillId="0" borderId="0" xfId="6" applyNumberFormat="1" applyFont="1" applyFill="1" applyAlignment="1">
      <alignment horizontal="left" vertical="center"/>
    </xf>
    <xf numFmtId="0" fontId="20" fillId="0" borderId="0" xfId="0" applyFont="1" applyAlignment="1">
      <alignment horizontal="center"/>
    </xf>
    <xf numFmtId="0" fontId="13" fillId="0" borderId="0" xfId="6" applyFont="1"/>
    <xf numFmtId="0" fontId="13" fillId="0" borderId="0" xfId="6" applyFont="1" applyAlignment="1">
      <alignment horizontal="center" vertical="center"/>
    </xf>
    <xf numFmtId="0" fontId="18" fillId="10" borderId="6" xfId="6" quotePrefix="1" applyFont="1" applyFill="1" applyBorder="1" applyAlignment="1">
      <alignment horizontal="left" vertical="center" wrapText="1"/>
    </xf>
    <xf numFmtId="0" fontId="23" fillId="11" borderId="6" xfId="6" applyFont="1" applyFill="1" applyBorder="1" applyAlignment="1">
      <alignment horizontal="left" vertical="center" wrapText="1"/>
    </xf>
    <xf numFmtId="0" fontId="18" fillId="10" borderId="6" xfId="6" applyFont="1" applyFill="1" applyBorder="1" applyAlignment="1">
      <alignment horizontal="left" vertical="center" wrapText="1"/>
    </xf>
    <xf numFmtId="0" fontId="23" fillId="11" borderId="6" xfId="6" quotePrefix="1" applyFont="1" applyFill="1" applyBorder="1" applyAlignment="1">
      <alignment horizontal="left" vertical="center" wrapText="1"/>
    </xf>
    <xf numFmtId="49" fontId="18" fillId="10" borderId="6" xfId="6" quotePrefix="1" applyNumberFormat="1" applyFont="1" applyFill="1" applyBorder="1" applyAlignment="1">
      <alignment horizontal="left" vertical="center" wrapText="1"/>
    </xf>
    <xf numFmtId="49" fontId="18" fillId="10" borderId="7" xfId="6" quotePrefix="1" applyNumberFormat="1" applyFont="1" applyFill="1" applyBorder="1" applyAlignment="1">
      <alignment horizontal="left" vertical="center" wrapText="1"/>
    </xf>
    <xf numFmtId="0" fontId="23" fillId="11" borderId="7" xfId="6" quotePrefix="1" applyFont="1" applyFill="1" applyBorder="1" applyAlignment="1">
      <alignment horizontal="left" vertical="center" wrapText="1"/>
    </xf>
    <xf numFmtId="0" fontId="13" fillId="0" borderId="0" xfId="6" applyNumberFormat="1" applyFont="1" applyFill="1" applyBorder="1" applyAlignment="1"/>
    <xf numFmtId="0" fontId="20" fillId="0" borderId="0" xfId="1" applyNumberFormat="1" applyFont="1" applyFill="1" applyBorder="1" applyAlignment="1"/>
    <xf numFmtId="0" fontId="20" fillId="0" borderId="0" xfId="1" quotePrefix="1" applyNumberFormat="1" applyFont="1" applyFill="1" applyBorder="1" applyAlignment="1"/>
    <xf numFmtId="0" fontId="13" fillId="0" borderId="0" xfId="6" applyNumberFormat="1" applyFont="1" applyAlignment="1"/>
    <xf numFmtId="0" fontId="23" fillId="11" borderId="1" xfId="6" applyFont="1" applyFill="1" applyBorder="1" applyAlignment="1">
      <alignment horizontal="center" vertical="center" wrapText="1"/>
    </xf>
    <xf numFmtId="0" fontId="23" fillId="12" borderId="1" xfId="6" applyFont="1" applyFill="1" applyBorder="1" applyAlignment="1">
      <alignment horizontal="center" vertical="center" wrapText="1"/>
    </xf>
    <xf numFmtId="49" fontId="18" fillId="10" borderId="1" xfId="5" applyNumberFormat="1" applyFont="1" applyFill="1" applyBorder="1" applyAlignment="1">
      <alignment horizontal="center" vertical="center" wrapText="1"/>
    </xf>
    <xf numFmtId="0" fontId="25" fillId="10" borderId="1" xfId="6" quotePrefix="1" applyNumberFormat="1" applyFont="1" applyFill="1" applyBorder="1" applyAlignment="1">
      <alignment horizontal="center" vertical="center" wrapText="1"/>
    </xf>
    <xf numFmtId="49" fontId="25" fillId="10" borderId="1" xfId="6" quotePrefix="1" applyNumberFormat="1" applyFont="1" applyFill="1" applyBorder="1" applyAlignment="1">
      <alignment horizontal="center" vertical="center" wrapText="1"/>
    </xf>
    <xf numFmtId="49" fontId="25" fillId="10" borderId="3" xfId="6" quotePrefix="1" applyNumberFormat="1" applyFont="1" applyFill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49" fontId="18" fillId="10" borderId="7" xfId="6" quotePrefix="1" applyNumberFormat="1" applyFont="1" applyFill="1" applyBorder="1" applyAlignment="1">
      <alignment horizontal="center" vertical="center" wrapText="1"/>
    </xf>
    <xf numFmtId="49" fontId="18" fillId="10" borderId="7" xfId="6" applyNumberFormat="1" applyFont="1" applyFill="1" applyBorder="1" applyAlignment="1">
      <alignment horizontal="center" vertical="center" wrapText="1"/>
    </xf>
    <xf numFmtId="49" fontId="18" fillId="10" borderId="1" xfId="6" quotePrefix="1" applyNumberFormat="1" applyFont="1" applyFill="1" applyBorder="1" applyAlignment="1">
      <alignment horizontal="center" vertical="center" wrapText="1"/>
    </xf>
    <xf numFmtId="49" fontId="18" fillId="10" borderId="3" xfId="6" quotePrefix="1" applyNumberFormat="1" applyFont="1" applyFill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13" fillId="0" borderId="9" xfId="1" applyFont="1" applyFill="1" applyBorder="1" applyAlignment="1">
      <alignment horizontal="center" vertical="center"/>
    </xf>
    <xf numFmtId="0" fontId="13" fillId="0" borderId="10" xfId="1" applyFont="1" applyFill="1" applyBorder="1" applyAlignment="1">
      <alignment horizontal="center" vertical="center"/>
    </xf>
    <xf numFmtId="0" fontId="13" fillId="0" borderId="10" xfId="1" applyFont="1" applyFill="1" applyBorder="1" applyAlignment="1">
      <alignment horizontal="left" vertical="center"/>
    </xf>
    <xf numFmtId="0" fontId="20" fillId="0" borderId="10" xfId="1" applyNumberFormat="1" applyFont="1" applyFill="1" applyBorder="1" applyAlignment="1">
      <alignment horizontal="center" vertical="center"/>
    </xf>
    <xf numFmtId="0" fontId="13" fillId="0" borderId="12" xfId="1" applyFont="1" applyFill="1" applyBorder="1" applyAlignment="1">
      <alignment horizontal="center" vertical="center"/>
    </xf>
    <xf numFmtId="0" fontId="13" fillId="0" borderId="5" xfId="1" applyFont="1" applyFill="1" applyBorder="1" applyAlignment="1">
      <alignment horizontal="center" vertical="center"/>
    </xf>
    <xf numFmtId="0" fontId="13" fillId="0" borderId="5" xfId="1" applyFont="1" applyFill="1" applyBorder="1" applyAlignment="1">
      <alignment horizontal="left" vertical="center"/>
    </xf>
    <xf numFmtId="0" fontId="20" fillId="0" borderId="5" xfId="1" applyNumberFormat="1" applyFont="1" applyFill="1" applyBorder="1" applyAlignment="1">
      <alignment horizontal="center" vertical="center"/>
    </xf>
    <xf numFmtId="0" fontId="2" fillId="13" borderId="1" xfId="1" quotePrefix="1" applyNumberFormat="1" applyFont="1" applyFill="1" applyBorder="1" applyAlignment="1" applyProtection="1">
      <alignment horizontal="center" vertical="center"/>
      <protection locked="0"/>
    </xf>
    <xf numFmtId="0" fontId="2" fillId="13" borderId="1" xfId="1" quotePrefix="1" applyNumberFormat="1" applyFont="1" applyFill="1" applyBorder="1" applyAlignment="1" applyProtection="1">
      <alignment horizontal="center" vertical="center" wrapText="1"/>
      <protection locked="0"/>
    </xf>
    <xf numFmtId="0" fontId="2" fillId="13" borderId="1" xfId="1" quotePrefix="1" applyNumberFormat="1" applyFont="1" applyFill="1" applyBorder="1" applyAlignment="1">
      <alignment horizontal="center" vertical="center" wrapText="1"/>
    </xf>
    <xf numFmtId="0" fontId="2" fillId="13" borderId="1" xfId="1" quotePrefix="1" applyNumberFormat="1" applyFont="1" applyFill="1" applyBorder="1" applyAlignment="1">
      <alignment horizontal="left" vertical="center" wrapText="1"/>
    </xf>
    <xf numFmtId="0" fontId="2" fillId="13" borderId="1" xfId="1" applyNumberFormat="1" applyFont="1" applyFill="1" applyBorder="1" applyAlignment="1">
      <alignment horizontal="center" vertical="center" wrapText="1"/>
    </xf>
    <xf numFmtId="14" fontId="2" fillId="3" borderId="1" xfId="1" applyNumberFormat="1" applyFont="1" applyFill="1" applyBorder="1" applyAlignment="1">
      <alignment horizontal="center" vertical="center" wrapText="1"/>
    </xf>
    <xf numFmtId="0" fontId="2" fillId="3" borderId="1" xfId="1" applyNumberFormat="1" applyFont="1" applyFill="1" applyBorder="1" applyAlignment="1">
      <alignment horizontal="center" vertical="center"/>
    </xf>
    <xf numFmtId="0" fontId="2" fillId="3" borderId="1" xfId="1" applyNumberFormat="1" applyFont="1" applyFill="1" applyBorder="1" applyAlignment="1">
      <alignment horizontal="center" vertical="center" wrapText="1"/>
    </xf>
    <xf numFmtId="0" fontId="4" fillId="13" borderId="10" xfId="1" quotePrefix="1" applyNumberFormat="1" applyFont="1" applyFill="1" applyBorder="1" applyAlignment="1" applyProtection="1">
      <alignment horizontal="center" vertical="center"/>
      <protection locked="0"/>
    </xf>
    <xf numFmtId="0" fontId="4" fillId="13" borderId="10" xfId="1" quotePrefix="1" applyNumberFormat="1" applyFont="1" applyFill="1" applyBorder="1" applyAlignment="1" applyProtection="1">
      <alignment horizontal="center" vertical="center" wrapText="1"/>
      <protection locked="0"/>
    </xf>
    <xf numFmtId="0" fontId="4" fillId="13" borderId="10" xfId="1" quotePrefix="1" applyNumberFormat="1" applyFont="1" applyFill="1" applyBorder="1" applyAlignment="1">
      <alignment horizontal="center" vertical="center"/>
    </xf>
    <xf numFmtId="0" fontId="4" fillId="13" borderId="10" xfId="1" quotePrefix="1" applyNumberFormat="1" applyFont="1" applyFill="1" applyBorder="1" applyAlignment="1">
      <alignment horizontal="center" vertical="center" wrapText="1"/>
    </xf>
    <xf numFmtId="0" fontId="4" fillId="13" borderId="10" xfId="1" applyNumberFormat="1" applyFont="1" applyFill="1" applyBorder="1" applyAlignment="1">
      <alignment horizontal="center" vertical="center" wrapText="1"/>
    </xf>
    <xf numFmtId="0" fontId="4" fillId="13" borderId="10" xfId="1" applyNumberFormat="1" applyFont="1" applyFill="1" applyBorder="1" applyAlignment="1">
      <alignment horizontal="center" vertical="center"/>
    </xf>
    <xf numFmtId="0" fontId="4" fillId="3" borderId="10" xfId="1" applyNumberFormat="1" applyFont="1" applyFill="1" applyBorder="1" applyAlignment="1">
      <alignment horizontal="center" vertical="center"/>
    </xf>
    <xf numFmtId="0" fontId="4" fillId="3" borderId="11" xfId="1" applyNumberFormat="1" applyFont="1" applyFill="1" applyBorder="1" applyAlignment="1">
      <alignment horizontal="center" vertical="center" wrapText="1"/>
    </xf>
    <xf numFmtId="0" fontId="20" fillId="0" borderId="0" xfId="0" applyFont="1" applyFill="1" applyBorder="1" applyAlignment="1">
      <alignment horizontal="center"/>
    </xf>
    <xf numFmtId="49" fontId="20" fillId="0" borderId="19" xfId="0" applyNumberFormat="1" applyFont="1" applyFill="1" applyBorder="1" applyAlignment="1">
      <alignment horizontal="center" vertical="center"/>
    </xf>
    <xf numFmtId="0" fontId="13" fillId="0" borderId="19" xfId="0" applyFont="1" applyFill="1" applyBorder="1" applyAlignment="1">
      <alignment horizontal="center" vertical="center" wrapText="1"/>
    </xf>
    <xf numFmtId="49" fontId="13" fillId="0" borderId="19" xfId="0" applyNumberFormat="1" applyFont="1" applyFill="1" applyBorder="1" applyAlignment="1">
      <alignment horizontal="center" vertical="center" wrapText="1"/>
    </xf>
    <xf numFmtId="0" fontId="20" fillId="0" borderId="19" xfId="0" applyFont="1" applyFill="1" applyBorder="1" applyAlignment="1">
      <alignment horizontal="center" vertical="center"/>
    </xf>
    <xf numFmtId="0" fontId="20" fillId="0" borderId="19" xfId="0" applyFont="1" applyFill="1" applyBorder="1" applyAlignment="1">
      <alignment horizontal="center" vertical="center" wrapText="1"/>
    </xf>
    <xf numFmtId="0" fontId="20" fillId="0" borderId="0" xfId="0" applyFont="1" applyFill="1" applyBorder="1"/>
    <xf numFmtId="0" fontId="20" fillId="0" borderId="0" xfId="0" applyNumberFormat="1" applyFont="1" applyFill="1" applyBorder="1" applyAlignment="1">
      <alignment horizontal="center"/>
    </xf>
    <xf numFmtId="0" fontId="21" fillId="0" borderId="1" xfId="0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/>
    </xf>
    <xf numFmtId="14" fontId="21" fillId="0" borderId="1" xfId="0" applyNumberFormat="1" applyFont="1" applyFill="1" applyBorder="1" applyAlignment="1">
      <alignment horizontal="center" vertical="center" wrapText="1"/>
    </xf>
    <xf numFmtId="0" fontId="24" fillId="0" borderId="0" xfId="0" applyNumberFormat="1" applyFont="1"/>
    <xf numFmtId="0" fontId="18" fillId="10" borderId="6" xfId="5" applyNumberFormat="1" applyFont="1" applyFill="1" applyBorder="1" applyAlignment="1">
      <alignment horizontal="center" vertical="center"/>
    </xf>
    <xf numFmtId="0" fontId="18" fillId="10" borderId="7" xfId="5" applyNumberFormat="1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14" fontId="2" fillId="0" borderId="1" xfId="0" quotePrefix="1" applyNumberFormat="1" applyFont="1" applyFill="1" applyBorder="1" applyAlignment="1" applyProtection="1">
      <alignment horizontal="center" vertical="center" wrapText="1"/>
      <protection locked="0"/>
    </xf>
    <xf numFmtId="0" fontId="0" fillId="0" borderId="1" xfId="0" applyBorder="1"/>
    <xf numFmtId="49" fontId="2" fillId="0" borderId="13" xfId="0" quotePrefix="1" applyNumberFormat="1" applyFont="1" applyFill="1" applyBorder="1" applyAlignment="1" applyProtection="1">
      <alignment horizontal="center" vertical="center" wrapText="1"/>
      <protection locked="0"/>
    </xf>
    <xf numFmtId="0" fontId="2" fillId="0" borderId="13" xfId="0" quotePrefix="1" applyNumberFormat="1" applyFont="1" applyFill="1" applyBorder="1" applyAlignment="1" applyProtection="1">
      <alignment horizontal="center" vertical="center" wrapText="1"/>
      <protection locked="0"/>
    </xf>
    <xf numFmtId="0" fontId="2" fillId="3" borderId="13" xfId="0" quotePrefix="1" applyNumberFormat="1" applyFont="1" applyFill="1" applyBorder="1" applyAlignment="1" applyProtection="1">
      <alignment horizontal="center" vertical="center" wrapText="1"/>
      <protection locked="0"/>
    </xf>
    <xf numFmtId="14" fontId="2" fillId="3" borderId="13" xfId="0" quotePrefix="1" applyNumberFormat="1" applyFont="1" applyFill="1" applyBorder="1" applyAlignment="1" applyProtection="1">
      <alignment horizontal="center" vertical="center" wrapText="1"/>
      <protection locked="0"/>
    </xf>
    <xf numFmtId="0" fontId="2" fillId="3" borderId="13" xfId="0" applyFont="1" applyFill="1" applyBorder="1" applyAlignment="1" applyProtection="1">
      <alignment horizontal="center" vertical="center" wrapText="1"/>
      <protection locked="0"/>
    </xf>
    <xf numFmtId="0" fontId="1" fillId="3" borderId="13" xfId="0" applyFont="1" applyFill="1" applyBorder="1" applyAlignment="1" applyProtection="1">
      <alignment horizontal="center" vertical="center" wrapText="1"/>
      <protection locked="0"/>
    </xf>
    <xf numFmtId="49" fontId="2" fillId="3" borderId="13" xfId="0" quotePrefix="1" applyNumberFormat="1" applyFont="1" applyFill="1" applyBorder="1" applyAlignment="1" applyProtection="1">
      <alignment horizontal="center" vertical="center" wrapText="1"/>
      <protection locked="0"/>
    </xf>
    <xf numFmtId="0" fontId="2" fillId="2" borderId="13" xfId="0" quotePrefix="1" applyNumberFormat="1" applyFont="1" applyFill="1" applyBorder="1" applyAlignment="1" applyProtection="1">
      <alignment horizontal="center" vertical="center" wrapText="1"/>
      <protection locked="0"/>
    </xf>
    <xf numFmtId="0" fontId="1" fillId="0" borderId="13" xfId="0" applyFont="1" applyFill="1" applyBorder="1" applyAlignment="1" applyProtection="1">
      <alignment horizontal="center" vertical="center" wrapText="1"/>
      <protection locked="0"/>
    </xf>
    <xf numFmtId="14" fontId="13" fillId="0" borderId="19" xfId="0" quotePrefix="1" applyNumberFormat="1" applyFont="1" applyFill="1" applyBorder="1" applyAlignment="1">
      <alignment horizontal="center" vertical="center" wrapText="1"/>
    </xf>
    <xf numFmtId="0" fontId="0" fillId="0" borderId="1" xfId="0" applyNumberFormat="1" applyBorder="1" applyAlignment="1">
      <alignment horizontal="center" vertical="center"/>
    </xf>
    <xf numFmtId="0" fontId="13" fillId="0" borderId="19" xfId="0" quotePrefix="1" applyFont="1" applyFill="1" applyBorder="1" applyAlignment="1">
      <alignment horizontal="center" vertical="center" wrapText="1"/>
    </xf>
    <xf numFmtId="0" fontId="20" fillId="0" borderId="19" xfId="0" quotePrefix="1" applyFont="1" applyFill="1" applyBorder="1" applyAlignment="1">
      <alignment horizontal="center" vertical="center"/>
    </xf>
    <xf numFmtId="0" fontId="0" fillId="0" borderId="16" xfId="0" applyBorder="1"/>
    <xf numFmtId="0" fontId="0" fillId="0" borderId="14" xfId="0" applyBorder="1"/>
    <xf numFmtId="0" fontId="2" fillId="15" borderId="8" xfId="0" applyFont="1" applyFill="1" applyBorder="1" applyAlignment="1">
      <alignment horizontal="center" vertical="center" wrapText="1"/>
    </xf>
    <xf numFmtId="0" fontId="2" fillId="15" borderId="8" xfId="0" applyFont="1" applyFill="1" applyBorder="1" applyAlignment="1">
      <alignment horizontal="center" vertical="center"/>
    </xf>
    <xf numFmtId="0" fontId="2" fillId="15" borderId="15" xfId="0" applyFont="1" applyFill="1" applyBorder="1" applyAlignment="1">
      <alignment horizontal="center" vertical="center" wrapText="1"/>
    </xf>
    <xf numFmtId="0" fontId="2" fillId="15" borderId="11" xfId="0" applyFont="1" applyFill="1" applyBorder="1" applyAlignment="1">
      <alignment horizontal="center" vertical="center" wrapText="1"/>
    </xf>
    <xf numFmtId="0" fontId="27" fillId="15" borderId="8" xfId="0" applyFont="1" applyFill="1" applyBorder="1" applyAlignment="1">
      <alignment horizontal="center" vertical="center"/>
    </xf>
    <xf numFmtId="0" fontId="2" fillId="15" borderId="8" xfId="6" applyNumberFormat="1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left" vertical="center" wrapText="1"/>
    </xf>
    <xf numFmtId="0" fontId="4" fillId="0" borderId="18" xfId="0" applyFont="1" applyFill="1" applyBorder="1" applyAlignment="1">
      <alignment horizontal="left" vertical="center" wrapText="1"/>
    </xf>
    <xf numFmtId="0" fontId="4" fillId="0" borderId="2" xfId="0" applyFont="1" applyFill="1" applyBorder="1" applyAlignment="1">
      <alignment horizontal="left" vertical="center" wrapText="1"/>
    </xf>
    <xf numFmtId="0" fontId="4" fillId="0" borderId="16" xfId="0" applyFont="1" applyFill="1" applyBorder="1" applyAlignment="1">
      <alignment horizontal="left" vertical="center" wrapText="1"/>
    </xf>
    <xf numFmtId="0" fontId="28" fillId="0" borderId="17" xfId="0" applyFont="1" applyFill="1" applyBorder="1" applyAlignment="1">
      <alignment horizontal="left" vertical="center" wrapText="1"/>
    </xf>
    <xf numFmtId="0" fontId="28" fillId="0" borderId="18" xfId="0" applyFont="1" applyFill="1" applyBorder="1" applyAlignment="1">
      <alignment horizontal="left" vertical="center" wrapText="1"/>
    </xf>
    <xf numFmtId="0" fontId="4" fillId="0" borderId="17" xfId="6" applyNumberFormat="1" applyFont="1" applyFill="1" applyBorder="1" applyAlignment="1">
      <alignment horizontal="left" vertical="center" wrapText="1"/>
    </xf>
    <xf numFmtId="0" fontId="4" fillId="0" borderId="18" xfId="6" applyNumberFormat="1" applyFont="1" applyFill="1" applyBorder="1" applyAlignment="1">
      <alignment horizontal="left" vertical="center" wrapText="1"/>
    </xf>
    <xf numFmtId="2" fontId="4" fillId="0" borderId="3" xfId="0" applyNumberFormat="1" applyFont="1" applyFill="1" applyBorder="1" applyAlignment="1">
      <alignment horizontal="right" vertical="center" wrapText="1"/>
    </xf>
    <xf numFmtId="2" fontId="4" fillId="0" borderId="14" xfId="0" applyNumberFormat="1" applyFont="1" applyFill="1" applyBorder="1" applyAlignment="1">
      <alignment horizontal="right" vertical="center" wrapText="1"/>
    </xf>
    <xf numFmtId="49" fontId="26" fillId="10" borderId="15" xfId="0" quotePrefix="1" applyNumberFormat="1" applyFont="1" applyFill="1" applyBorder="1" applyAlignment="1">
      <alignment wrapText="1"/>
    </xf>
    <xf numFmtId="49" fontId="26" fillId="10" borderId="11" xfId="0" quotePrefix="1" applyNumberFormat="1" applyFont="1" applyFill="1" applyBorder="1" applyAlignment="1">
      <alignment wrapText="1"/>
    </xf>
    <xf numFmtId="0" fontId="0" fillId="0" borderId="2" xfId="0" applyFill="1" applyBorder="1"/>
    <xf numFmtId="0" fontId="0" fillId="0" borderId="3" xfId="0" applyFill="1" applyBorder="1"/>
    <xf numFmtId="0" fontId="0" fillId="0" borderId="16" xfId="0" applyFill="1" applyBorder="1"/>
    <xf numFmtId="0" fontId="0" fillId="0" borderId="14" xfId="0" applyFill="1" applyBorder="1"/>
    <xf numFmtId="0" fontId="0" fillId="0" borderId="2" xfId="0" applyBorder="1"/>
    <xf numFmtId="0" fontId="0" fillId="0" borderId="3" xfId="0" applyBorder="1"/>
    <xf numFmtId="0" fontId="29" fillId="0" borderId="3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11" fillId="0" borderId="8" xfId="1" applyFont="1" applyFill="1" applyBorder="1" applyAlignment="1">
      <alignment horizontal="center" vertical="center"/>
    </xf>
    <xf numFmtId="0" fontId="3" fillId="0" borderId="0" xfId="1" applyFill="1" applyBorder="1" applyAlignment="1">
      <alignment horizontal="center" vertical="center" wrapText="1"/>
    </xf>
  </cellXfs>
  <cellStyles count="8">
    <cellStyle name="Normal 2" xfId="5"/>
    <cellStyle name="Обычный" xfId="0" builtinId="0"/>
    <cellStyle name="Обычный 2" xfId="1"/>
    <cellStyle name="Обычный 2 2" xfId="3"/>
    <cellStyle name="Обычный 2 3" xfId="7"/>
    <cellStyle name="Обычный 3" xfId="2"/>
    <cellStyle name="Обычный 3 2" xfId="4"/>
    <cellStyle name="Обычный 7" xfId="6"/>
  </cellStyles>
  <dxfs count="15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23E4F"/>
        <name val="Arial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9C0006"/>
        <name val="Arial"/>
        <scheme val="none"/>
      </font>
      <numFmt numFmtId="30" formatCode="@"/>
      <fill>
        <patternFill patternType="solid">
          <fgColor indexed="64"/>
          <bgColor rgb="FFFFC7CE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9C0006"/>
        <name val="Arial"/>
        <scheme val="none"/>
      </font>
      <numFmt numFmtId="30" formatCode="@"/>
      <fill>
        <patternFill patternType="solid">
          <fgColor indexed="64"/>
          <bgColor rgb="FFFFC7CE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alignment horizontal="center" vertical="center" textRotation="0" indent="0" justifyLastLine="0" shrinkToFit="0" readingOrder="0"/>
      <border outline="0">
        <right style="thin">
          <color indexed="64"/>
        </right>
      </border>
    </dxf>
    <dxf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30" formatCode="@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9C0006"/>
        <name val="Arial"/>
        <scheme val="none"/>
      </font>
      <numFmt numFmtId="30" formatCode="@"/>
      <fill>
        <patternFill patternType="solid">
          <fgColor indexed="64"/>
          <bgColor rgb="FFFFC7C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alignment horizontal="center" vertical="center" textRotation="0" indent="0" justifyLastLine="0" shrinkToFit="0" readingOrder="0"/>
      <border outline="0">
        <right style="thin">
          <color indexed="64"/>
        </right>
      </border>
    </dxf>
    <dxf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30" formatCode="@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9C0006"/>
        <name val="Arial"/>
        <scheme val="none"/>
      </font>
      <numFmt numFmtId="30" formatCode="@"/>
      <fill>
        <patternFill patternType="solid">
          <fgColor indexed="64"/>
          <bgColor rgb="FFFFC7C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40821</xdr:colOff>
      <xdr:row>0</xdr:row>
      <xdr:rowOff>40821</xdr:rowOff>
    </xdr:from>
    <xdr:to>
      <xdr:col>3</xdr:col>
      <xdr:colOff>2068285</xdr:colOff>
      <xdr:row>0</xdr:row>
      <xdr:rowOff>557893</xdr:rowOff>
    </xdr:to>
    <xdr:sp macro="[0]!ultra_main_execute" textlink="">
      <xdr:nvSpPr>
        <xdr:cNvPr id="2" name="Прямоугольник 1"/>
        <xdr:cNvSpPr/>
      </xdr:nvSpPr>
      <xdr:spPr>
        <a:xfrm>
          <a:off x="4669971" y="40821"/>
          <a:ext cx="2027464" cy="517072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 i="0">
              <a:solidFill>
                <a:schemeClr val="bg1"/>
              </a:solidFill>
            </a:rPr>
            <a:t>Начать</a:t>
          </a:r>
          <a:r>
            <a:rPr lang="ru-RU" sz="1400" i="0" baseline="0">
              <a:solidFill>
                <a:schemeClr val="bg1"/>
              </a:solidFill>
            </a:rPr>
            <a:t> работу</a:t>
          </a:r>
          <a:endParaRPr lang="ru-RU" sz="1400" i="0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S02-MPOL01\ThiknessMonitoring\Users\Andrianov.NSe\Documents\&#1050;&#1086;&#1087;&#1080;&#1103;%20&#1064;&#1072;&#1073;&#1083;&#1086;&#1085;&#1099;%20&#1079;&#1072;&#1075;&#1088;&#1091;&#1079;&#1082;&#1080;%20&#1090;&#1086;&#1083;&#1097;&#1080;&#1085;&#1086;&#1084;&#1077;&#1090;&#1088;&#1080;&#1103;_New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zprom-neft\dfs\Users\Lenchak.P\Desktop\&#1057;-300%20&#1050;&#1055;&#1040;%20&#1090;&#1086;&#1083;&#1097;&#1080;&#1085;&#1086;&#1084;&#1077;&#1090;&#1088;&#1080;&#1103;%20(&#1058;&#1088;&#1091;&#1073;&#1086;&#1087;&#1088;&#1086;&#1074;&#1086;&#1076;&#1099;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zprom-neft.local\dfs\Users\mezhulis.SV\Desktop\&#1053;&#1072;%20&#1044;&#1054;&#1052;\ICTE%20-%20&#1088;&#1072;&#1073;&#1086;&#1095;&#1072;&#1103;%20&#1075;&#1088;&#1091;&#1087;&#1087;&#1072;\&#1064;&#1072;&#1073;&#1083;&#1086;&#1085;&#1099;%20&#1076;&#1083;&#1103;%20&#1043;&#1048;&#1040;&#1055;\&#1064;&#1072;&#1073;&#1083;&#1086;&#1085;%20&#1069;&#1083;&#1077;&#1084;&#1077;&#1085;&#1090;%20&#1080;%20&#1058;&#1086;&#1083;&#1097;&#1080;&#1085;&#1086;&#1084;&#1077;&#1090;&#1088;&#1080;&#1103;%20&#1076;&#1083;&#1103;%20&#1079;&#1072;&#1075;&#1088;&#1091;&#1079;&#1082;&#1080;%20&#1074;%20&#1052;&#1045;&#1056;%20v.2%20(&#1045;-6)%2000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аспорт"/>
      <sheetName val="Элементы сосуды"/>
      <sheetName val="Элементы трубопроводы"/>
      <sheetName val="Шаблон загрузки измерений"/>
      <sheetName val="Шаблон загрузки КТС"/>
      <sheetName val="Справочники"/>
      <sheetName val="Копия Шаблоны загрузки толщином"/>
    </sheetNames>
    <sheetDataSet>
      <sheetData sheetId="0"/>
      <sheetData sheetId="1"/>
      <sheetData sheetId="2"/>
      <sheetData sheetId="3"/>
      <sheetData sheetId="4"/>
      <sheetData sheetId="5">
        <row r="2">
          <cell r="X2" t="str">
            <v>08</v>
          </cell>
        </row>
        <row r="3">
          <cell r="X3" t="str">
            <v>10</v>
          </cell>
        </row>
        <row r="4">
          <cell r="X4" t="str">
            <v>20</v>
          </cell>
        </row>
        <row r="5">
          <cell r="X5" t="str">
            <v>25</v>
          </cell>
        </row>
        <row r="6">
          <cell r="X6" t="str">
            <v>30</v>
          </cell>
        </row>
        <row r="7">
          <cell r="X7" t="str">
            <v>35</v>
          </cell>
        </row>
        <row r="8">
          <cell r="X8" t="str">
            <v>02Х8Н22С6</v>
          </cell>
        </row>
        <row r="9">
          <cell r="X9" t="str">
            <v>03Х17Р14М3</v>
          </cell>
        </row>
        <row r="10">
          <cell r="X10" t="str">
            <v>03Х18Н11</v>
          </cell>
        </row>
        <row r="11">
          <cell r="X11" t="str">
            <v>03Х21Н21М4ГБ</v>
          </cell>
        </row>
        <row r="12">
          <cell r="X12" t="str">
            <v>03ХН28МДТ</v>
          </cell>
        </row>
        <row r="13">
          <cell r="X13" t="str">
            <v>04Х18Н10Т</v>
          </cell>
        </row>
        <row r="14">
          <cell r="X14" t="str">
            <v>06ХН28МДТ</v>
          </cell>
        </row>
        <row r="15">
          <cell r="X15" t="str">
            <v>07Х13 (А120)</v>
          </cell>
        </row>
        <row r="16">
          <cell r="X16" t="str">
            <v>07Х13АГ20</v>
          </cell>
        </row>
        <row r="17">
          <cell r="X17" t="str">
            <v>08X18H10</v>
          </cell>
        </row>
        <row r="18">
          <cell r="X18" t="str">
            <v>08Г2С</v>
          </cell>
        </row>
        <row r="19">
          <cell r="X19" t="str">
            <v>08Х13</v>
          </cell>
        </row>
        <row r="20">
          <cell r="X20" t="str">
            <v>08Х17Н13М2Т</v>
          </cell>
        </row>
        <row r="21">
          <cell r="X21" t="str">
            <v>08Х17Н13М2Т (0Х17Н13М2Т)</v>
          </cell>
        </row>
        <row r="22">
          <cell r="X22" t="str">
            <v>08Х17Н15М3Т</v>
          </cell>
        </row>
        <row r="23">
          <cell r="X23" t="str">
            <v>08Х17Н15М3Т (0Х17Н16М3Т; ЭИ580)</v>
          </cell>
        </row>
        <row r="24">
          <cell r="X24" t="str">
            <v>08Х18Г8Н2Т</v>
          </cell>
        </row>
        <row r="25">
          <cell r="X25" t="str">
            <v>08Х18Н10Т</v>
          </cell>
        </row>
        <row r="26">
          <cell r="X26" t="str">
            <v>08Х18Н12Т</v>
          </cell>
        </row>
        <row r="27">
          <cell r="X27" t="str">
            <v>08Х18Н9Т</v>
          </cell>
        </row>
        <row r="28">
          <cell r="X28" t="str">
            <v>08Х21Н6М2Т</v>
          </cell>
        </row>
        <row r="29">
          <cell r="X29" t="str">
            <v>08Х22Н6Т</v>
          </cell>
        </row>
        <row r="30">
          <cell r="X30" t="str">
            <v>09GS13</v>
          </cell>
        </row>
        <row r="31">
          <cell r="X31" t="str">
            <v>09Г2</v>
          </cell>
        </row>
        <row r="32">
          <cell r="X32" t="str">
            <v>09Г2ДТ</v>
          </cell>
        </row>
        <row r="33">
          <cell r="X33" t="str">
            <v>09Г2С</v>
          </cell>
        </row>
        <row r="34">
          <cell r="X34" t="str">
            <v>09Г2С &lt;=32mm</v>
          </cell>
        </row>
        <row r="35">
          <cell r="X35" t="str">
            <v>09Г2С &gt;32mm</v>
          </cell>
        </row>
        <row r="36">
          <cell r="X36" t="str">
            <v>09Г2С15</v>
          </cell>
        </row>
        <row r="37">
          <cell r="X37" t="str">
            <v>09Г2ФБ</v>
          </cell>
        </row>
        <row r="38">
          <cell r="X38" t="str">
            <v>09ГС2</v>
          </cell>
        </row>
        <row r="39">
          <cell r="X39" t="str">
            <v>09ГС2С</v>
          </cell>
        </row>
        <row r="40">
          <cell r="X40" t="str">
            <v>0Х13</v>
          </cell>
        </row>
        <row r="41">
          <cell r="X41" t="str">
            <v>10X17H13M2T</v>
          </cell>
        </row>
        <row r="42">
          <cell r="X42" t="str">
            <v>10Г2</v>
          </cell>
        </row>
        <row r="43">
          <cell r="X43" t="str">
            <v>10Г2С</v>
          </cell>
        </row>
        <row r="44">
          <cell r="X44" t="str">
            <v>10ГА</v>
          </cell>
        </row>
        <row r="45">
          <cell r="X45" t="str">
            <v>10Х14Г14Н4Т</v>
          </cell>
        </row>
        <row r="46">
          <cell r="X46" t="str">
            <v>10Х17Н13М2Т</v>
          </cell>
        </row>
        <row r="47">
          <cell r="X47" t="str">
            <v>10Х17Н13М3Т</v>
          </cell>
        </row>
        <row r="48">
          <cell r="X48" t="str">
            <v>10Х18Н10Т</v>
          </cell>
        </row>
        <row r="49">
          <cell r="X49" t="str">
            <v>10Х18Н9Т</v>
          </cell>
        </row>
        <row r="50">
          <cell r="X50" t="str">
            <v>10Х2М1</v>
          </cell>
        </row>
        <row r="51">
          <cell r="X51" t="str">
            <v>10Х2М1А-А</v>
          </cell>
        </row>
        <row r="52">
          <cell r="X52" t="str">
            <v>12Г2С</v>
          </cell>
        </row>
        <row r="53">
          <cell r="X53" t="str">
            <v>12К</v>
          </cell>
        </row>
        <row r="54">
          <cell r="X54" t="str">
            <v>12МХ</v>
          </cell>
        </row>
        <row r="55">
          <cell r="X55" t="str">
            <v>12Сr Мо 2,5</v>
          </cell>
        </row>
        <row r="56">
          <cell r="X56" t="str">
            <v>12Х13</v>
          </cell>
        </row>
        <row r="57">
          <cell r="X57" t="str">
            <v>12Х18Н10Т</v>
          </cell>
        </row>
        <row r="58">
          <cell r="X58" t="str">
            <v>12Х18Н12Т</v>
          </cell>
        </row>
        <row r="59">
          <cell r="X59" t="str">
            <v>12Х18Н9Т</v>
          </cell>
        </row>
        <row r="60">
          <cell r="X60" t="str">
            <v>12Х8</v>
          </cell>
        </row>
        <row r="61">
          <cell r="X61" t="str">
            <v>12Х8ВФ</v>
          </cell>
        </row>
        <row r="62">
          <cell r="X62" t="str">
            <v>12ХМ</v>
          </cell>
        </row>
        <row r="63">
          <cell r="X63" t="str">
            <v>12ХМ1</v>
          </cell>
        </row>
        <row r="64">
          <cell r="X64" t="str">
            <v>12ХМ1Ф</v>
          </cell>
        </row>
        <row r="65">
          <cell r="X65" t="str">
            <v>12ХМФ</v>
          </cell>
        </row>
        <row r="66">
          <cell r="X66" t="str">
            <v>13CrMo44 (12ХМ)</v>
          </cell>
        </row>
        <row r="67">
          <cell r="X67" t="str">
            <v>13ГС</v>
          </cell>
        </row>
        <row r="68">
          <cell r="X68" t="str">
            <v>15Г2СФ</v>
          </cell>
        </row>
        <row r="69">
          <cell r="X69" t="str">
            <v>15ГС</v>
          </cell>
        </row>
        <row r="70">
          <cell r="X70" t="str">
            <v>15К</v>
          </cell>
        </row>
        <row r="71">
          <cell r="X71" t="str">
            <v>15Н2МFА</v>
          </cell>
        </row>
        <row r="72">
          <cell r="X72" t="str">
            <v>15Х18Н12С4ТЮ</v>
          </cell>
        </row>
        <row r="73">
          <cell r="X73" t="str">
            <v>15Х1М1Ф</v>
          </cell>
        </row>
        <row r="74">
          <cell r="X74" t="str">
            <v>15Х5ВФ</v>
          </cell>
        </row>
        <row r="75">
          <cell r="X75" t="str">
            <v>15Х5М</v>
          </cell>
        </row>
        <row r="76">
          <cell r="X76" t="str">
            <v>15Х5М-У</v>
          </cell>
        </row>
        <row r="77">
          <cell r="X77" t="str">
            <v>15ХМ</v>
          </cell>
        </row>
        <row r="78">
          <cell r="X78" t="str">
            <v>15ХФ</v>
          </cell>
        </row>
        <row r="79">
          <cell r="X79" t="str">
            <v>16ГА</v>
          </cell>
        </row>
        <row r="80">
          <cell r="X80" t="str">
            <v>16ГС</v>
          </cell>
        </row>
        <row r="81">
          <cell r="X81" t="str">
            <v>16ГС &lt;=32mm</v>
          </cell>
        </row>
        <row r="82">
          <cell r="X82" t="str">
            <v>16ГС &gt;32mm</v>
          </cell>
        </row>
        <row r="83">
          <cell r="X83" t="str">
            <v>16ГТ</v>
          </cell>
        </row>
        <row r="84">
          <cell r="X84" t="str">
            <v>16К</v>
          </cell>
        </row>
        <row r="85">
          <cell r="X85" t="str">
            <v>17102.2 (15Х5М)</v>
          </cell>
        </row>
        <row r="86">
          <cell r="X86" t="str">
            <v>17Г10</v>
          </cell>
        </row>
        <row r="87">
          <cell r="X87" t="str">
            <v>17Г1С</v>
          </cell>
        </row>
        <row r="88">
          <cell r="X88" t="str">
            <v>17Г1СУ</v>
          </cell>
        </row>
        <row r="89">
          <cell r="X89" t="str">
            <v>17Г2СФ</v>
          </cell>
        </row>
        <row r="90">
          <cell r="X90" t="str">
            <v>17ГА</v>
          </cell>
        </row>
        <row r="91">
          <cell r="X91" t="str">
            <v>17ГС</v>
          </cell>
        </row>
        <row r="92">
          <cell r="X92" t="str">
            <v>17ГС1С</v>
          </cell>
        </row>
        <row r="93">
          <cell r="X93" t="str">
            <v>17ПС</v>
          </cell>
        </row>
        <row r="94">
          <cell r="X94" t="str">
            <v>17ПС</v>
          </cell>
        </row>
        <row r="95">
          <cell r="X95" t="str">
            <v>18G2F</v>
          </cell>
        </row>
        <row r="96">
          <cell r="X96" t="str">
            <v>18К</v>
          </cell>
        </row>
        <row r="97">
          <cell r="X97" t="str">
            <v>19Г2С</v>
          </cell>
        </row>
        <row r="98">
          <cell r="X98" t="str">
            <v>1Х18Н10Т</v>
          </cell>
        </row>
        <row r="99">
          <cell r="X99" t="str">
            <v>1Х18Н9Т</v>
          </cell>
        </row>
        <row r="100">
          <cell r="X100" t="str">
            <v>1Х2М1</v>
          </cell>
        </row>
        <row r="101">
          <cell r="X101" t="str">
            <v>20К</v>
          </cell>
        </row>
        <row r="102">
          <cell r="X102" t="str">
            <v>20Л</v>
          </cell>
        </row>
        <row r="103">
          <cell r="X103" t="str">
            <v>20ХМ</v>
          </cell>
        </row>
        <row r="104">
          <cell r="X104" t="str">
            <v>20ХМЛ</v>
          </cell>
        </row>
        <row r="105">
          <cell r="X105" t="str">
            <v>22К</v>
          </cell>
        </row>
        <row r="106">
          <cell r="X106" t="str">
            <v>30Л</v>
          </cell>
        </row>
        <row r="107">
          <cell r="X107" t="str">
            <v>30ХМА</v>
          </cell>
        </row>
        <row r="108">
          <cell r="X108" t="str">
            <v>316L SS</v>
          </cell>
        </row>
        <row r="109">
          <cell r="X109" t="str">
            <v>316Ti</v>
          </cell>
        </row>
        <row r="110">
          <cell r="X110" t="str">
            <v>8Х18Н10Т</v>
          </cell>
        </row>
        <row r="111">
          <cell r="X111" t="str">
            <v>9Г2Д</v>
          </cell>
        </row>
        <row r="112">
          <cell r="X112" t="str">
            <v>9Г2С</v>
          </cell>
        </row>
        <row r="113">
          <cell r="X113" t="str">
            <v>A312</v>
          </cell>
        </row>
        <row r="114">
          <cell r="X114" t="str">
            <v>A350LF2</v>
          </cell>
        </row>
        <row r="115">
          <cell r="X115" t="str">
            <v>A387</v>
          </cell>
        </row>
        <row r="116">
          <cell r="X116" t="str">
            <v>A516Gr60</v>
          </cell>
        </row>
        <row r="117">
          <cell r="X117" t="str">
            <v>A516Gr70</v>
          </cell>
        </row>
        <row r="118">
          <cell r="X118" t="str">
            <v>Cт3 &lt;=20mm</v>
          </cell>
        </row>
        <row r="119">
          <cell r="X119" t="str">
            <v>Cт3 &gt;20mm</v>
          </cell>
        </row>
        <row r="120">
          <cell r="X120" t="str">
            <v>DIN17155</v>
          </cell>
        </row>
        <row r="121">
          <cell r="X121" t="str">
            <v>F321</v>
          </cell>
        </row>
        <row r="122">
          <cell r="X122" t="str">
            <v>Gr60</v>
          </cell>
        </row>
        <row r="123">
          <cell r="X123" t="str">
            <v>LB-52A</v>
          </cell>
        </row>
        <row r="124">
          <cell r="X124" t="str">
            <v>Mb16</v>
          </cell>
        </row>
        <row r="125">
          <cell r="X125" t="str">
            <v>Mb16 N/3B</v>
          </cell>
        </row>
        <row r="126">
          <cell r="X126" t="str">
            <v>P265GH</v>
          </cell>
        </row>
        <row r="127">
          <cell r="X127" t="str">
            <v>P265GH (16K)</v>
          </cell>
        </row>
        <row r="128">
          <cell r="X128" t="str">
            <v>P355NL1 (16ГС)</v>
          </cell>
        </row>
        <row r="129">
          <cell r="X129" t="str">
            <v>R52-7b (16ГС)</v>
          </cell>
        </row>
        <row r="130">
          <cell r="X130" t="str">
            <v>RSt 37-2 DIN EN 10025/91</v>
          </cell>
        </row>
        <row r="131">
          <cell r="X131" t="str">
            <v>SA106(10ГС)</v>
          </cell>
        </row>
        <row r="132">
          <cell r="X132" t="str">
            <v>SA333 Gr6</v>
          </cell>
        </row>
        <row r="133">
          <cell r="X133" t="str">
            <v>SA387 (15Х1М1Ф)</v>
          </cell>
        </row>
        <row r="134">
          <cell r="X134" t="str">
            <v>SA387 GR22 CI1</v>
          </cell>
        </row>
        <row r="135">
          <cell r="X135" t="str">
            <v>SA387Gr11CL2</v>
          </cell>
        </row>
        <row r="136">
          <cell r="X136" t="str">
            <v>SA387M Gr,22 CI,2</v>
          </cell>
        </row>
        <row r="137">
          <cell r="X137" t="str">
            <v>SA387M GR22</v>
          </cell>
        </row>
        <row r="138">
          <cell r="X138" t="str">
            <v>SA516</v>
          </cell>
        </row>
        <row r="139">
          <cell r="X139" t="str">
            <v>SA516 GR60</v>
          </cell>
        </row>
        <row r="140">
          <cell r="X140" t="str">
            <v>SA-516-60</v>
          </cell>
        </row>
        <row r="141">
          <cell r="X141" t="str">
            <v>SA-516-61</v>
          </cell>
        </row>
        <row r="142">
          <cell r="X142" t="str">
            <v>SA516-70</v>
          </cell>
        </row>
        <row r="143">
          <cell r="X143" t="str">
            <v>SA516-70 (16ГС)</v>
          </cell>
        </row>
        <row r="144">
          <cell r="X144" t="str">
            <v>SA516-70N (09Г2С)</v>
          </cell>
        </row>
        <row r="145">
          <cell r="X145" t="str">
            <v>SA516Cr60</v>
          </cell>
        </row>
        <row r="146">
          <cell r="X146" t="str">
            <v>SA516Gr70</v>
          </cell>
        </row>
        <row r="147">
          <cell r="X147" t="str">
            <v>SA516M GR415 ASME VIII DIV1</v>
          </cell>
        </row>
        <row r="148">
          <cell r="X148" t="str">
            <v>SB127M UNS N04400</v>
          </cell>
        </row>
        <row r="149">
          <cell r="X149" t="str">
            <v>SS304</v>
          </cell>
        </row>
        <row r="150">
          <cell r="X150" t="str">
            <v>St 32-7</v>
          </cell>
        </row>
        <row r="151">
          <cell r="X151" t="str">
            <v>St 358  / DIN 17175</v>
          </cell>
        </row>
        <row r="152">
          <cell r="X152" t="str">
            <v>St 358 / DIN 17176</v>
          </cell>
        </row>
        <row r="153">
          <cell r="X153" t="str">
            <v>St 37,2</v>
          </cell>
        </row>
        <row r="154">
          <cell r="X154" t="str">
            <v>St 38 b-2</v>
          </cell>
        </row>
        <row r="155">
          <cell r="X155" t="str">
            <v>St3581</v>
          </cell>
        </row>
        <row r="156">
          <cell r="X156" t="str">
            <v>St362</v>
          </cell>
        </row>
        <row r="157">
          <cell r="X157" t="str">
            <v>St52-3</v>
          </cell>
        </row>
        <row r="158">
          <cell r="X158" t="str">
            <v>St52-3N/3A</v>
          </cell>
        </row>
        <row r="159">
          <cell r="X159" t="str">
            <v>X10CrNiTi189</v>
          </cell>
        </row>
        <row r="160">
          <cell r="X160" t="str">
            <v>X8CrNiTi18,10</v>
          </cell>
        </row>
        <row r="161">
          <cell r="X161" t="str">
            <v>А106 GrB</v>
          </cell>
        </row>
        <row r="162">
          <cell r="X162" t="str">
            <v>А160Gr,B</v>
          </cell>
        </row>
        <row r="163">
          <cell r="X163" t="str">
            <v>А182</v>
          </cell>
        </row>
        <row r="164">
          <cell r="X164" t="str">
            <v>А240</v>
          </cell>
        </row>
        <row r="165">
          <cell r="X165" t="str">
            <v>А312</v>
          </cell>
        </row>
        <row r="166">
          <cell r="X166" t="str">
            <v>А333Gr6</v>
          </cell>
        </row>
        <row r="167">
          <cell r="X167" t="str">
            <v>А355</v>
          </cell>
        </row>
        <row r="168">
          <cell r="X168" t="str">
            <v>А516 Gr60</v>
          </cell>
        </row>
        <row r="169">
          <cell r="X169" t="str">
            <v>А516 Gr70</v>
          </cell>
        </row>
        <row r="170">
          <cell r="X170" t="str">
            <v>ВМСт3</v>
          </cell>
        </row>
        <row r="171">
          <cell r="X171" t="str">
            <v>ЛАМш77-02-0,05</v>
          </cell>
        </row>
        <row r="172">
          <cell r="X172" t="str">
            <v>НМЖМц28-2,5-1,5</v>
          </cell>
        </row>
        <row r="173">
          <cell r="X173" t="str">
            <v>С245</v>
          </cell>
        </row>
        <row r="174">
          <cell r="X174" t="str">
            <v>СS</v>
          </cell>
        </row>
        <row r="175">
          <cell r="X175" t="str">
            <v>Ст2кп</v>
          </cell>
        </row>
        <row r="176">
          <cell r="X176" t="str">
            <v>Ст2пс</v>
          </cell>
        </row>
        <row r="177">
          <cell r="X177" t="str">
            <v>Ст2сп</v>
          </cell>
        </row>
        <row r="178">
          <cell r="X178" t="str">
            <v>Ст37-2</v>
          </cell>
        </row>
        <row r="179">
          <cell r="X179" t="str">
            <v>Ст3Гпс</v>
          </cell>
        </row>
        <row r="180">
          <cell r="X180" t="str">
            <v>Ст3кп</v>
          </cell>
        </row>
        <row r="181">
          <cell r="X181" t="str">
            <v>Ст3Н &gt;32mm</v>
          </cell>
        </row>
        <row r="182">
          <cell r="X182" t="str">
            <v>Ст3пс</v>
          </cell>
        </row>
        <row r="183">
          <cell r="X183" t="str">
            <v>Ст3сп</v>
          </cell>
        </row>
        <row r="184">
          <cell r="X184" t="str">
            <v>Ст4</v>
          </cell>
        </row>
        <row r="185">
          <cell r="X185" t="str">
            <v>Ст4пс</v>
          </cell>
        </row>
        <row r="186">
          <cell r="X186" t="str">
            <v>Ст4сп</v>
          </cell>
        </row>
        <row r="187">
          <cell r="X187" t="str">
            <v>Ст5</v>
          </cell>
        </row>
        <row r="188">
          <cell r="X188" t="str">
            <v>СЧ 18-36</v>
          </cell>
        </row>
        <row r="189">
          <cell r="X189" t="str">
            <v>торкретбетон</v>
          </cell>
        </row>
        <row r="190">
          <cell r="X190" t="str">
            <v>Х11</v>
          </cell>
        </row>
        <row r="191">
          <cell r="X191" t="str">
            <v>Х13</v>
          </cell>
        </row>
        <row r="192">
          <cell r="X192" t="str">
            <v>Х17Н13М2Т</v>
          </cell>
        </row>
        <row r="193">
          <cell r="X193" t="str">
            <v>Х18Н10Т</v>
          </cell>
        </row>
        <row r="194">
          <cell r="X194" t="str">
            <v>Х18Н9Т</v>
          </cell>
        </row>
        <row r="195">
          <cell r="X195" t="str">
            <v>Х20 Cr13</v>
          </cell>
        </row>
        <row r="196">
          <cell r="X196" t="str">
            <v>Х23Н13</v>
          </cell>
        </row>
        <row r="197">
          <cell r="X197" t="str">
            <v>Х2М1</v>
          </cell>
        </row>
        <row r="198">
          <cell r="X198" t="str">
            <v>Х5</v>
          </cell>
        </row>
        <row r="199">
          <cell r="X199" t="str">
            <v>Х5МЛ</v>
          </cell>
        </row>
        <row r="200">
          <cell r="X200" t="str">
            <v>Х8</v>
          </cell>
        </row>
        <row r="201">
          <cell r="X201" t="str">
            <v>Х9М</v>
          </cell>
        </row>
        <row r="202">
          <cell r="X202" t="str">
            <v>Х9М1</v>
          </cell>
        </row>
        <row r="203">
          <cell r="X203" t="str">
            <v>ХН32Т</v>
          </cell>
        </row>
        <row r="204">
          <cell r="X204" t="str">
            <v>ЧС-46</v>
          </cell>
        </row>
        <row r="205">
          <cell r="X205" t="str">
            <v>ЭА2</v>
          </cell>
        </row>
        <row r="206">
          <cell r="X206" t="str">
            <v>ЭИ496 (08Х13)</v>
          </cell>
        </row>
        <row r="207">
          <cell r="X207" t="str">
            <v>ЭИ-654</v>
          </cell>
        </row>
        <row r="208">
          <cell r="X208" t="str">
            <v>ЭП-794</v>
          </cell>
        </row>
      </sheetData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ТЧЁТ ТОЛЩИНОМЕТРИИ"/>
      <sheetName val="Физ. параметры компонентов"/>
      <sheetName val="Т3"/>
      <sheetName val="Перечень"/>
      <sheetName val="Данные для автозаплонения"/>
      <sheetName val="Т2"/>
      <sheetName val="Лист2"/>
      <sheetName val="Лист4"/>
    </sheetNames>
    <sheetDataSet>
      <sheetData sheetId="0" refreshError="1"/>
      <sheetData sheetId="1" refreshError="1"/>
      <sheetData sheetId="2"/>
      <sheetData sheetId="3"/>
      <sheetData sheetId="4" refreshError="1"/>
      <sheetData sheetId="5" refreshError="1"/>
      <sheetData sheetId="6" refreshError="1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2-ЭЛЕМЕНТ"/>
      <sheetName val="Лист4-Толщинометрия"/>
      <sheetName val="Расчеты"/>
      <sheetName val="Справочники"/>
    </sheetNames>
    <sheetDataSet>
      <sheetData sheetId="0"/>
      <sheetData sheetId="1"/>
      <sheetData sheetId="2"/>
      <sheetData sheetId="3">
        <row r="2">
          <cell r="D2" t="str">
            <v>Труба</v>
          </cell>
        </row>
        <row r="3">
          <cell r="D3" t="str">
            <v>Отвод</v>
          </cell>
        </row>
        <row r="4">
          <cell r="D4" t="str">
            <v>Концентрический переход</v>
          </cell>
        </row>
        <row r="5">
          <cell r="D5" t="str">
            <v>Эксцентрический переход</v>
          </cell>
        </row>
        <row r="6">
          <cell r="D6" t="str">
            <v>Сварной тройник</v>
          </cell>
        </row>
        <row r="7">
          <cell r="D7" t="str">
            <v>Штампованный тройник</v>
          </cell>
        </row>
        <row r="8">
          <cell r="D8" t="str">
            <v>Внутритрубная заглушка</v>
          </cell>
        </row>
        <row r="9">
          <cell r="D9" t="str">
            <v>Торцевая заглушка</v>
          </cell>
        </row>
        <row r="10">
          <cell r="D10" t="str">
            <v>Межфланцевая заглушка</v>
          </cell>
        </row>
        <row r="11">
          <cell r="D11" t="str">
            <v>Днище</v>
          </cell>
        </row>
        <row r="12">
          <cell r="D12" t="str">
            <v>Обечайка</v>
          </cell>
        </row>
        <row r="13">
          <cell r="D13" t="str">
            <v>Штуцер</v>
          </cell>
        </row>
        <row r="14">
          <cell r="D14" t="str">
            <v>Трубный пучок</v>
          </cell>
        </row>
      </sheetData>
    </sheetDataSet>
  </externalBook>
</externalLink>
</file>

<file path=xl/tables/table1.xml><?xml version="1.0" encoding="utf-8"?>
<table xmlns="http://schemas.openxmlformats.org/spreadsheetml/2006/main" id="8" name="таблСпециф" displayName="таблСпециф" ref="M4:R20" totalsRowShown="0">
  <autoFilter ref="M4:R20"/>
  <tableColumns count="6">
    <tableColumn id="1" name="1">
      <calculatedColumnFormula>CONCATENATE('Лист2-ЭЛЕМЕНТ'!D5," ",'Лист2-ЭЛЕМЕНТ'!F5, " ",'Лист2-ЭЛЕМЕНТ'!AF5)</calculatedColumnFormula>
    </tableColumn>
    <tableColumn id="2" name="2" dataDxfId="155">
      <calculatedColumnFormula>'Лист2-ЭЛЕМЕНТ'!D5</calculatedColumnFormula>
    </tableColumn>
    <tableColumn id="3" name="3" dataDxfId="154">
      <calculatedColumnFormula>'Лист2-ЭЛЕМЕНТ'!F5</calculatedColumnFormula>
    </tableColumn>
    <tableColumn id="4" name="Заполнить вручную" dataDxfId="153"/>
    <tableColumn id="5" name="Столбец1" dataDxfId="152">
      <calculatedColumnFormula>IF(M5&lt;&gt;0, VLOOKUP(M5,таблСпециф[[1]:[Заполнить вручную]],4,FALSE), "Не-а")</calculatedColumnFormula>
    </tableColumn>
    <tableColumn id="6" name="Для закрашивания 2,4 столбцов">
      <calculatedColumnFormula>IF(N5&lt;&gt;N4,"ИСТИНА","ЛОЖЬ")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таблКоррозия" displayName="таблКоррозия" ref="BJ2:BZ50" totalsRowShown="0" headerRowDxfId="151" dataDxfId="150" headerRowCellStyle="Обычный 7" dataCellStyle="Обычный 7">
  <autoFilter ref="BJ2:BZ50"/>
  <tableColumns count="17">
    <tableColumn id="1" name="Столбец1" dataDxfId="149" dataCellStyle="Обычный 7">
      <calculatedColumnFormula>SUM($BK$2:BK2)+ROW($BK$3)</calculatedColumnFormula>
    </tableColumn>
    <tableColumn id="7" name="Кол-во" dataDxfId="148" dataCellStyle="Обычный 7">
      <calculatedColumnFormula>IF(таблКоррозия[[#This Row],[Тех. Место]]&lt;&gt;"",IF(COUNTA(таблКоррозия[[#This Row],[Тип_кор №1]:[Тип_кор №10]])=0,"",COUNTA(таблКоррозия[[#This Row],[Тип_кор №1]:[Тип_кор №10]])),"")</calculatedColumnFormula>
    </tableColumn>
    <tableColumn id="6" name="Позиция" dataDxfId="147" dataCellStyle="Обычный 7">
      <calculatedColumnFormula>CONCATENATE(F3)</calculatedColumnFormula>
    </tableColumn>
    <tableColumn id="17" name="Столбец2" dataDxfId="146" dataCellStyle="Обычный 7">
      <calculatedColumnFormula>IF(таблКоррозия[[#This Row],[Тех. Место]]&lt;&gt;"",IF(A3&lt;&gt;"","ID","Тех. место"),"")</calculatedColumnFormula>
    </tableColumn>
    <tableColumn id="8" name="Тех. Место" dataDxfId="145" dataCellStyle="Обычный 7">
      <calculatedColumnFormula>IF(A3&lt;&gt;"",CONCATENATE(A3),CONCATENATE(C3))</calculatedColumnFormula>
    </tableColumn>
    <tableColumn id="15" name="Скорость коррозии" dataDxfId="144" dataCellStyle="Обычный 7">
      <calculatedColumnFormula>CONCATENATE(AG3)</calculatedColumnFormula>
    </tableColumn>
    <tableColumn id="16" name="Рабочая среда" dataDxfId="143" dataCellStyle="Обычный 7">
      <calculatedColumnFormula>CONCATENATE(AH3)</calculatedColumnFormula>
    </tableColumn>
    <tableColumn id="2" name="Тип_кор №1" dataDxfId="142" dataCellStyle="Обычный 7"/>
    <tableColumn id="3" name="Тип_кор №2" dataDxfId="141" dataCellStyle="Обычный 7"/>
    <tableColumn id="4" name="Тип_кор №3" dataDxfId="140" dataCellStyle="Обычный 7"/>
    <tableColumn id="5" name="Тип_кор №4" dataDxfId="139" dataCellStyle="Обычный 7"/>
    <tableColumn id="9" name="Тип_кор №5" dataDxfId="138" dataCellStyle="Обычный 7"/>
    <tableColumn id="10" name="Тип_кор №6" dataDxfId="137" dataCellStyle="Обычный 7"/>
    <tableColumn id="11" name="Тип_кор №7" dataDxfId="136" dataCellStyle="Обычный 7"/>
    <tableColumn id="12" name="Тип_кор №8" dataDxfId="135" dataCellStyle="Обычный 7"/>
    <tableColumn id="13" name="Тип_кор №9" dataDxfId="134" dataCellStyle="Обычный 7"/>
    <tableColumn id="14" name="Тип_кор №10" dataDxfId="133" dataCellStyle="Обычный 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НКС" displayName="таблНКС" ref="CB2:CR50" totalsRowShown="0" headerRowDxfId="132" dataDxfId="131" headerRowCellStyle="Обычный 7" dataCellStyle="Обычный 7">
  <autoFilter ref="CB2:CR50"/>
  <tableColumns count="17">
    <tableColumn id="1" name="Столбец1" dataDxfId="130" dataCellStyle="Обычный 7">
      <calculatedColumnFormula>SUM($CC$2:CC2)+ROW($CC$3)</calculatedColumnFormula>
    </tableColumn>
    <tableColumn id="7" name="Кол-во" dataDxfId="129" dataCellStyle="Обычный 7">
      <calculatedColumnFormula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calculatedColumnFormula>
    </tableColumn>
    <tableColumn id="6" name="Позиция" dataDxfId="128" dataCellStyle="Обычный 7">
      <calculatedColumnFormula>CONCATENATE(F3)</calculatedColumnFormula>
    </tableColumn>
    <tableColumn id="17" name="Столбец2" dataDxfId="127" dataCellStyle="Обычный 7">
      <calculatedColumnFormula>IF(таблНКС[[#This Row],[Тех. Место]]&lt;&gt;"",IF(A3&lt;&gt;"","ID","Тех. место"),"")</calculatedColumnFormula>
    </tableColumn>
    <tableColumn id="8" name="Тех. Место" dataDxfId="126" dataCellStyle="Обычный 7">
      <calculatedColumnFormula>IF(A3&lt;&gt;"",CONCATENATE(A3),CONCATENATE(C3))</calculatedColumnFormula>
    </tableColumn>
    <tableColumn id="15" name="Скорость коррозии" dataDxfId="125" dataCellStyle="Обычный 7">
      <calculatedColumnFormula>CONCATENATE(AG3)</calculatedColumnFormula>
    </tableColumn>
    <tableColumn id="16" name="Рабочая среда" dataDxfId="124" dataCellStyle="Обычный 7">
      <calculatedColumnFormula>CONCATENATE(AH3)</calculatedColumnFormula>
    </tableColumn>
    <tableColumn id="2" name="Неуч_комп_среды №1" dataDxfId="123" dataCellStyle="Обычный 7"/>
    <tableColumn id="3" name="Неуч_комп_среды №2" dataDxfId="122" dataCellStyle="Обычный 7"/>
    <tableColumn id="4" name="Неуч_комп_среды №3" dataDxfId="121" dataCellStyle="Обычный 7"/>
    <tableColumn id="5" name="Неуч_комп_среды №4" dataDxfId="120" dataCellStyle="Обычный 7"/>
    <tableColumn id="9" name="Неуч_комп_среды №5" dataDxfId="119" dataCellStyle="Обычный 7"/>
    <tableColumn id="10" name="Неуч_комп_среды №6" dataDxfId="118" dataCellStyle="Обычный 7"/>
    <tableColumn id="11" name="Неуч_комп_среды №7" dataDxfId="117" dataCellStyle="Обычный 7"/>
    <tableColumn id="12" name="Неуч_комп_среды №8" dataDxfId="116" dataCellStyle="Обычный 7"/>
    <tableColumn id="13" name="Неуч_комп_среды №9" dataDxfId="115" dataCellStyle="Обычный 7"/>
    <tableColumn id="14" name="Неуч_комп_среды №10" dataDxfId="114" dataCellStyle="Обычный 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Таблица9" displayName="Таблица9" ref="A1:B8" totalsRowShown="0" headerRowDxfId="113" dataDxfId="111" headerRowBorderDxfId="112" tableBorderDxfId="110" totalsRowBorderDxfId="109">
  <autoFilter ref="A1:B8"/>
  <tableColumns count="2">
    <tableColumn id="1" name="Антикоррозионые_мероприятия" dataDxfId="108"/>
    <tableColumn id="2" name="Кам" dataDxfId="107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0" name="Таблица10" displayName="Таблица10" ref="A10:A25" totalsRowShown="0" headerRowDxfId="106" dataDxfId="104" headerRowBorderDxfId="105" tableBorderDxfId="103" totalsRowBorderDxfId="102">
  <autoFilter ref="A10:A25"/>
  <tableColumns count="1">
    <tableColumn id="1" name="Изменение_условий_эксплуатации" dataDxfId="101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11" name="Таблица11" displayName="Таблица11" ref="D1:D8" totalsRowShown="0" headerRowDxfId="100" dataDxfId="98" headerRowBorderDxfId="99" tableBorderDxfId="97" totalsRowBorderDxfId="96">
  <autoFilter ref="D1:D8"/>
  <tableColumns count="1">
    <tableColumn id="1" name="Фактор_продолжительности" dataDxfId="95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id="12" name="Таблица12" displayName="Таблица12" ref="F1:F10" totalsRowShown="0" headerRowDxfId="94" dataDxfId="92" headerRowBorderDxfId="93" tableBorderDxfId="91" totalsRowBorderDxfId="90" dataCellStyle="Обычный 7">
  <autoFilter ref="F1:F10"/>
  <tableColumns count="1">
    <tableColumn id="1" name="Поправочный коэффициент (Ψ)" dataDxfId="89" dataCellStyle="Обычный 7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id="13" name="Таблица13" displayName="Таблица13" ref="D10:D18" totalsRowShown="0" headerRowDxfId="88" dataDxfId="86" headerRowBorderDxfId="87" tableBorderDxfId="85" totalsRowBorderDxfId="84" headerRowCellStyle="Обычный 7" dataCellStyle="Обычный 7">
  <autoFilter ref="D10:D18"/>
  <tableColumns count="1">
    <tableColumn id="1" name="Вид_дефектов" dataDxfId="83" dataCellStyle="Обычный 7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id="6" name="таблICTEhasCorrosionType" displayName="таблICTEhasCorrosionType" ref="A2:E36" totalsRowShown="0" headerRowDxfId="82" dataDxfId="81" tableBorderDxfId="80" headerRowCellStyle="Обычный 7">
  <autoFilter ref="A2:E36"/>
  <tableColumns count="5">
    <tableColumn id="1" name="Тех. Поле" dataDxfId="79">
      <calculatedColumnFormula>IF(ROW()&gt;Passport!$BO$1,"",IF(B3&lt;&gt;"",IF(B3&lt;&gt;B2,4,A2+1),IF(C3&lt;&gt;C2,4,A2+1)))</calculatedColumnFormula>
    </tableColumn>
    <tableColumn id="2" name="RANKI_EQUIP_ACCOR_ICTE|RANKI_EQUIP_ACCOR_ICTE_EQUIP_CHR" dataDxfId="78">
      <calculatedColumnFormula>IF(VLOOKUP(ROW(),таблКоррозия[],4,TRUE)="ID",IF(ROW()&gt;MAX(таблКоррозия[Столбец1]),"",
                            VLOOKUP(ROW(),таблКоррозия[],5,TRUE)),"")</calculatedColumnFormula>
    </tableColumn>
    <tableColumn id="3" name="RANKI_EQUIP_ACCOR_ICTE|RANKI_EQUIP_ACCOR_ICTE_FUNCT_LOCAT_CHR" dataDxfId="77">
      <calculatedColumnFormula>IF(VLOOKUP(ROW(),таблКоррозия[],4,TRUE)="Тех. место",IF(ROW()&gt;MAX(таблКоррозия[Столбец1]),"",
                            VLOOKUP(ROW(),таблКоррозия[],5,TRUE)),"")</calculatedColumnFormula>
    </tableColumn>
    <tableColumn id="4" name="ICTE_CORROSION_TYPE|ICTE_CORROSION_TYPE_CHR" dataDxfId="76">
      <calculatedColumnFormula>IF(таблICTEhasCorrosionType[[#This Row],[Тех. Поле]]&lt;&gt;"",IF(B3="",VLOOKUP(C3,таблКоррозия[[Тех. Место]:[Тип_кор №10]],A3,FALSE),
               VLOOKUP(B3,таблКоррозия[[Тех. Место]:[Тип_кор №10]],A3,FALSE)),"")</calculatedColumnFormula>
    </tableColumn>
    <tableColumn id="5" name="ICTE_CORROSION_TYPE|ICTE_CORROSION_TYPE_FACT_KI_NBR" dataDxfId="75">
      <calculatedColumnFormula>IF(D3&lt;&gt;"",VLOOKUP(D3,таблВидКор[],2,FALSE),"")</calculatedColumnFormula>
    </tableColumn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id="7" name="таблICTEhasUnaccountedComp" displayName="таблICTEhasUnaccountedComp" ref="A2:E36" totalsRowShown="0" headerRowDxfId="74" dataDxfId="73" tableBorderDxfId="72" headerRowCellStyle="Обычный 7">
  <autoFilter ref="A2:E36"/>
  <tableColumns count="5">
    <tableColumn id="1" name="Тех. Поле" dataDxfId="71">
      <calculatedColumnFormula>IF(ROW()&gt;Passport!$CG$1,"",IF(B3&lt;&gt;"",IF(B3&lt;&gt;B2,4,A2+1),IF(C3&lt;&gt;C2,4,A2+1)))</calculatedColumnFormula>
    </tableColumn>
    <tableColumn id="2" name="RANKI_EQUIP_ACCOR_ICTE|RANKI_EQUIP_ACCOR_ICTE_EQUIP_CHR" dataDxfId="70">
      <calculatedColumnFormula>IF(VLOOKUP(ROW(),таблНКС[],4,TRUE)="ID",IF(ROW()&gt;MAX(таблНКС[Столбец1]),"",
                            VLOOKUP(ROW(),таблНКС[],5,TRUE)),"")</calculatedColumnFormula>
    </tableColumn>
    <tableColumn id="3" name="RANKI_EQUIP_ACCOR_ICTE|RANKI_EQUIP_ACCOR_ICTE_FUNCT_LOCAT_CHR" dataDxfId="69">
      <calculatedColumnFormula>IF(VLOOKUP(ROW(),таблНКС[],4,TRUE)="Тех. место",IF(ROW()&gt;MAX(таблНКС[Столбец1]),"",
                            VLOOKUP(ROW(),таблНКС[],5,TRUE)),"")</calculatedColumnFormula>
    </tableColumn>
    <tableColumn id="4" name="ICTE_UNACC_COMPO|ICTE_UNACC_COMPO_CHR" dataDxfId="68">
      <calculatedColumnFormula>IF(таблICTEhasUnaccountedComp[[#This Row],[Тех. Поле]]&lt;&gt;"",IF(B3="",VLOOKUP(C3,таблНКС[[Тех. Место]:[Неуч_комп_среды №10]],A3,FALSE),
               VLOOKUP(B3,таблНКС[[Тех. Место]:[Неуч_комп_среды №10]],A3,FALSE)),"")</calculatedColumnFormula>
    </tableColumn>
    <tableColumn id="5" name="ICTE_UNACC_COMPO|ICTE_UNACC_COMPO_KC_NBR" dataDxfId="67">
      <calculatedColumnFormula>IF(таблICTEhasUnaccountedComp[[#This Row],[ICTE_UNACC_COMPO|ICTE_UNACC_COMPO_CHR]]&lt;&gt;"",VLOOKUP(таблICTEhasUnaccountedComp[[#This Row],[ICTE_UNACC_COMPO|ICTE_UNACC_COMPO_CHR]],таблНеучтКомпСр[],2,FALSE),"")</calculatedColumnFormula>
    </tableColumn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id="14" name="таблАнтиКорМер" displayName="таблАнтиКорМер" ref="A1:B8" totalsRowShown="0" headerRowDxfId="66" dataDxfId="64" headerRowBorderDxfId="65" tableBorderDxfId="63" totalsRowBorderDxfId="62">
  <autoFilter ref="A1:B8"/>
  <tableColumns count="2">
    <tableColumn id="1" name="Антикоррозионые_мероприятия" dataDxfId="61"/>
    <tableColumn id="2" name="Кам" dataDxfId="60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id="15" name="таблФактПрод" displayName="таблФактПрод" ref="D1:D8" totalsRowShown="0" headerRowDxfId="59" dataDxfId="57" headerRowBorderDxfId="58" tableBorderDxfId="56" totalsRowBorderDxfId="55">
  <autoFilter ref="D1:D8"/>
  <tableColumns count="1">
    <tableColumn id="1" name="Фактор_продолжительности" dataDxfId="54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id="16" name="таблПопрКоэф" displayName="таблПопрКоэф" ref="F1:F10" totalsRowShown="0" headerRowDxfId="53" dataDxfId="51" headerRowBorderDxfId="52" tableBorderDxfId="50" totalsRowBorderDxfId="49" dataCellStyle="Обычный 7">
  <autoFilter ref="F1:F10"/>
  <tableColumns count="1">
    <tableColumn id="1" name="Поправочный коэффициент (Ψ)" dataDxfId="48" dataCellStyle="Обычный 7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id="17" name="таблИзмУлсЭкспл" displayName="таблИзмУлсЭкспл" ref="H1:H16" totalsRowShown="0" headerRowDxfId="47" dataDxfId="45" headerRowBorderDxfId="46" tableBorderDxfId="44" totalsRowBorderDxfId="43">
  <autoFilter ref="H1:H16"/>
  <tableColumns count="1">
    <tableColumn id="1" name="Изменение_условий_эксплуатации" dataDxfId="42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id="18" name="таблВидДеф" displayName="таблВидДеф" ref="J1:J9" totalsRowShown="0" headerRowDxfId="41" dataDxfId="39" headerRowBorderDxfId="40" tableBorderDxfId="38" totalsRowBorderDxfId="37" headerRowCellStyle="Обычный 7" dataCellStyle="Обычный 7">
  <autoFilter ref="J1:J9"/>
  <tableColumns count="1">
    <tableColumn id="1" name="Вид_дефектов" dataDxfId="36" dataCellStyle="Обычный 7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id="19" name="таблНеучтКомпСр" displayName="таблНеучтКомпСр" ref="D18:E30" totalsRowShown="0" headerRowDxfId="35" dataDxfId="33" headerRowBorderDxfId="34" tableBorderDxfId="32" totalsRowBorderDxfId="31">
  <autoFilter ref="D18:E30"/>
  <tableColumns count="2">
    <tableColumn id="1" name="Неучтенные компоненты среды" dataDxfId="30"/>
    <tableColumn id="2" name="Кс" dataDxfId="29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id="20" name="таблВидКор" displayName="таблВидКор" ref="A18:B78" totalsRowShown="0" headerRowDxfId="28" headerRowBorderDxfId="27" tableBorderDxfId="26" totalsRowBorderDxfId="25">
  <autoFilter ref="A18:B78"/>
  <tableColumns count="2">
    <tableColumn id="1" name="ICTE Вид коррозии" dataDxfId="24"/>
    <tableColumn id="2" name="Ки" dataDxfId="23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id="21" name="таблТипИзол" displayName="таблТипИзол" ref="G18:H29" totalsRowShown="0" headerRowDxfId="22" headerRowBorderDxfId="21" tableBorderDxfId="20" totalsRowBorderDxfId="19">
  <autoFilter ref="G18:H29"/>
  <tableColumns count="2">
    <tableColumn id="1" name="Тип теплоизоляции" dataDxfId="18"/>
    <tableColumn id="2" name="Тип теплоизоляции (англ.)" dataDxfId="17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id="1" name="Таблица1" displayName="Таблица1" ref="A6:M50" totalsRowShown="0" headerRowDxfId="16" dataDxfId="14" headerRowBorderDxfId="15" tableBorderDxfId="13">
  <autoFilter ref="A6:M50"/>
  <tableColumns count="13">
    <tableColumn id="1" name="1" dataDxfId="12" dataCellStyle="Обычный 2"/>
    <tableColumn id="2" name="2" dataDxfId="11" dataCellStyle="Обычный 2"/>
    <tableColumn id="3" name="3" dataDxfId="10" dataCellStyle="Обычный 2"/>
    <tableColumn id="4" name="4" dataDxfId="9" dataCellStyle="Обычный 2"/>
    <tableColumn id="5" name="5" dataDxfId="8" dataCellStyle="Обычный 2"/>
    <tableColumn id="6" name="6" dataDxfId="7" dataCellStyle="Обычный 2"/>
    <tableColumn id="7" name="7" dataDxfId="6" dataCellStyle="Обычный 2"/>
    <tableColumn id="8" name="8" dataDxfId="5" dataCellStyle="Обычный 2"/>
    <tableColumn id="9" name="9" dataDxfId="4" dataCellStyle="Обычный 2"/>
    <tableColumn id="10" name="10" dataDxfId="3" dataCellStyle="Обычный 2"/>
    <tableColumn id="11" name="11" dataDxfId="2" dataCellStyle="Обычный 2"/>
    <tableColumn id="12" name="12" dataDxfId="1" dataCellStyle="Обычный 2"/>
    <tableColumn id="13" name="13" dataDxfId="0" dataCellStyle="Обычный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table" Target="../tables/table12.xml"/><Relationship Id="rId7" Type="http://schemas.openxmlformats.org/officeDocument/2006/relationships/table" Target="../tables/table16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Relationship Id="rId9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BF20"/>
  <sheetViews>
    <sheetView tabSelected="1" zoomScale="70" zoomScaleNormal="70" workbookViewId="0">
      <selection activeCell="D1" sqref="D1"/>
    </sheetView>
  </sheetViews>
  <sheetFormatPr defaultRowHeight="15"/>
  <cols>
    <col min="1" max="1" width="24.5703125" style="94" bestFit="1" customWidth="1"/>
    <col min="2" max="2" width="35.42578125" style="95" bestFit="1" customWidth="1"/>
    <col min="3" max="3" width="46.5703125" style="94" bestFit="1" customWidth="1"/>
    <col min="4" max="4" width="53.7109375" style="95" bestFit="1" customWidth="1"/>
    <col min="5" max="5" width="56.28515625" style="94" bestFit="1" customWidth="1"/>
    <col min="6" max="6" width="56.5703125" style="94" bestFit="1" customWidth="1"/>
    <col min="7" max="7" width="46.85546875" style="94" bestFit="1" customWidth="1"/>
    <col min="8" max="8" width="21.7109375" style="93" customWidth="1"/>
    <col min="9" max="9" width="24.5703125" style="94" customWidth="1"/>
    <col min="10" max="10" width="34.42578125" style="94" customWidth="1"/>
    <col min="11" max="11" width="11.140625" style="94" customWidth="1"/>
    <col min="12" max="12" width="30.7109375" style="94" customWidth="1"/>
    <col min="13" max="13" width="9.140625" style="94" customWidth="1"/>
    <col min="14" max="14" width="17.42578125" style="94" customWidth="1"/>
    <col min="15" max="24" width="9.140625" style="94" customWidth="1"/>
    <col min="25" max="25" width="42" style="94" customWidth="1"/>
    <col min="26" max="26" width="39.42578125" style="94" customWidth="1"/>
    <col min="27" max="27" width="11.28515625" style="94" customWidth="1"/>
    <col min="28" max="28" width="9.140625" style="94" customWidth="1"/>
    <col min="29" max="29" width="14.5703125" style="94" customWidth="1"/>
    <col min="30" max="30" width="11.7109375" style="94" customWidth="1"/>
    <col min="31" max="31" width="28.42578125" style="94" customWidth="1"/>
    <col min="32" max="32" width="34.7109375" style="94" customWidth="1"/>
    <col min="33" max="33" width="11.28515625" style="94" customWidth="1"/>
    <col min="34" max="37" width="9.140625" style="94" customWidth="1"/>
    <col min="38" max="38" width="12.42578125" style="94" customWidth="1"/>
    <col min="39" max="43" width="9.140625" style="94" customWidth="1"/>
    <col min="44" max="44" width="13.85546875" style="94" customWidth="1"/>
    <col min="45" max="52" width="9.140625" style="94" customWidth="1"/>
    <col min="53" max="53" width="13.140625" style="88" customWidth="1"/>
    <col min="54" max="54" width="17.42578125" style="93" customWidth="1"/>
    <col min="55" max="55" width="13" style="88" customWidth="1"/>
    <col min="56" max="56" width="42.28515625" style="88" customWidth="1"/>
    <col min="57" max="57" width="29" style="94" customWidth="1"/>
    <col min="58" max="58" width="13.28515625" style="94" customWidth="1"/>
    <col min="59" max="16384" width="9.140625" style="20"/>
  </cols>
  <sheetData>
    <row r="1" spans="1:58" s="13" customFormat="1" ht="75.75" customHeight="1">
      <c r="A1" s="3" t="s">
        <v>114</v>
      </c>
      <c r="B1" s="12" t="s">
        <v>115</v>
      </c>
      <c r="C1" s="3" t="s">
        <v>116</v>
      </c>
      <c r="D1" s="3"/>
      <c r="E1" s="5" t="s">
        <v>353</v>
      </c>
      <c r="F1" s="5" t="s">
        <v>103</v>
      </c>
      <c r="G1" s="5" t="s">
        <v>128</v>
      </c>
      <c r="H1" s="27" t="s">
        <v>129</v>
      </c>
      <c r="I1" s="6" t="s">
        <v>130</v>
      </c>
      <c r="J1" s="5" t="s">
        <v>131</v>
      </c>
      <c r="K1" s="5" t="s">
        <v>354</v>
      </c>
      <c r="L1" s="5" t="s">
        <v>11</v>
      </c>
      <c r="M1" s="5" t="s">
        <v>132</v>
      </c>
      <c r="N1" s="5" t="s">
        <v>133</v>
      </c>
      <c r="O1" s="5" t="s">
        <v>355</v>
      </c>
      <c r="P1" s="5" t="s">
        <v>134</v>
      </c>
      <c r="Q1" s="5" t="s">
        <v>135</v>
      </c>
      <c r="R1" s="5" t="s">
        <v>136</v>
      </c>
      <c r="S1" s="5" t="s">
        <v>137</v>
      </c>
      <c r="T1" s="5" t="s">
        <v>137</v>
      </c>
      <c r="U1" s="5" t="s">
        <v>137</v>
      </c>
      <c r="V1" s="5" t="s">
        <v>138</v>
      </c>
      <c r="W1" s="5" t="s">
        <v>139</v>
      </c>
      <c r="X1" s="5" t="s">
        <v>140</v>
      </c>
      <c r="Y1" s="5" t="s">
        <v>5</v>
      </c>
      <c r="Z1" s="3" t="s">
        <v>6</v>
      </c>
      <c r="AA1" s="3" t="s">
        <v>7</v>
      </c>
      <c r="AB1" s="3" t="s">
        <v>8</v>
      </c>
      <c r="AC1" s="3" t="s">
        <v>9</v>
      </c>
      <c r="AD1" s="4" t="s">
        <v>10</v>
      </c>
      <c r="AE1" s="3" t="s">
        <v>480</v>
      </c>
      <c r="AF1" s="3" t="s">
        <v>11</v>
      </c>
      <c r="AG1" s="3" t="s">
        <v>12</v>
      </c>
      <c r="AH1" s="3" t="s">
        <v>13</v>
      </c>
      <c r="AI1" s="3" t="s">
        <v>481</v>
      </c>
      <c r="AJ1" s="3" t="s">
        <v>14</v>
      </c>
      <c r="AK1" s="3" t="s">
        <v>15</v>
      </c>
      <c r="AL1" s="3" t="s">
        <v>16</v>
      </c>
      <c r="AM1" s="3" t="s">
        <v>17</v>
      </c>
      <c r="AN1" s="3" t="s">
        <v>18</v>
      </c>
      <c r="AO1" s="3" t="s">
        <v>19</v>
      </c>
      <c r="AP1" s="3" t="s">
        <v>186</v>
      </c>
      <c r="AQ1" s="3" t="s">
        <v>20</v>
      </c>
      <c r="AR1" s="3" t="s">
        <v>21</v>
      </c>
      <c r="AS1" s="3" t="s">
        <v>21</v>
      </c>
      <c r="AT1" s="3" t="s">
        <v>21</v>
      </c>
      <c r="AU1" s="3" t="s">
        <v>22</v>
      </c>
      <c r="AV1" s="3" t="s">
        <v>23</v>
      </c>
      <c r="AW1" s="3" t="s">
        <v>24</v>
      </c>
      <c r="AX1" s="3" t="s">
        <v>25</v>
      </c>
      <c r="AY1" s="3" t="s">
        <v>26</v>
      </c>
      <c r="AZ1" s="3" t="s">
        <v>27</v>
      </c>
      <c r="BA1" s="79"/>
      <c r="BB1" s="80"/>
      <c r="BC1" s="79"/>
      <c r="BD1" s="79"/>
      <c r="BE1" s="81"/>
      <c r="BF1" s="86"/>
    </row>
    <row r="2" spans="1:58" s="13" customFormat="1" ht="42" customHeight="1">
      <c r="A2" s="3"/>
      <c r="B2" s="12"/>
      <c r="C2" s="3"/>
      <c r="D2" s="3"/>
      <c r="E2" s="5" t="s">
        <v>141</v>
      </c>
      <c r="F2" s="5" t="s">
        <v>106</v>
      </c>
      <c r="G2" s="5" t="s">
        <v>142</v>
      </c>
      <c r="H2" s="27"/>
      <c r="I2" s="5" t="s">
        <v>143</v>
      </c>
      <c r="J2" s="5" t="s">
        <v>143</v>
      </c>
      <c r="K2" s="5" t="s">
        <v>144</v>
      </c>
      <c r="L2" s="5" t="s">
        <v>144</v>
      </c>
      <c r="M2" s="5" t="s">
        <v>145</v>
      </c>
      <c r="N2" s="5"/>
      <c r="O2" s="5"/>
      <c r="P2" s="5"/>
      <c r="Q2" s="5"/>
      <c r="R2" s="5"/>
      <c r="S2" s="5"/>
      <c r="T2" s="5"/>
      <c r="U2" s="5" t="s">
        <v>146</v>
      </c>
      <c r="V2" s="5" t="s">
        <v>147</v>
      </c>
      <c r="W2" s="5"/>
      <c r="X2" s="5"/>
      <c r="Y2" s="5" t="s">
        <v>28</v>
      </c>
      <c r="Z2" s="9" t="s">
        <v>29</v>
      </c>
      <c r="AA2" s="9" t="s">
        <v>30</v>
      </c>
      <c r="AB2" s="9" t="s">
        <v>31</v>
      </c>
      <c r="AC2" s="9" t="s">
        <v>32</v>
      </c>
      <c r="AD2" s="7" t="s">
        <v>33</v>
      </c>
      <c r="AE2" s="7" t="s">
        <v>482</v>
      </c>
      <c r="AF2" s="7" t="s">
        <v>34</v>
      </c>
      <c r="AG2" s="7" t="s">
        <v>35</v>
      </c>
      <c r="AH2" s="7" t="s">
        <v>36</v>
      </c>
      <c r="AI2" s="7" t="s">
        <v>37</v>
      </c>
      <c r="AJ2" s="7" t="s">
        <v>14</v>
      </c>
      <c r="AK2" s="7" t="s">
        <v>38</v>
      </c>
      <c r="AL2" s="8" t="s">
        <v>39</v>
      </c>
      <c r="AM2" s="8" t="s">
        <v>40</v>
      </c>
      <c r="AN2" s="8" t="s">
        <v>41</v>
      </c>
      <c r="AO2" s="8" t="s">
        <v>42</v>
      </c>
      <c r="AP2" s="10" t="s">
        <v>187</v>
      </c>
      <c r="AQ2" s="10" t="s">
        <v>43</v>
      </c>
      <c r="AR2" s="10" t="s">
        <v>44</v>
      </c>
      <c r="AS2" s="10" t="s">
        <v>45</v>
      </c>
      <c r="AT2" s="10" t="s">
        <v>46</v>
      </c>
      <c r="AU2" s="10" t="s">
        <v>47</v>
      </c>
      <c r="AV2" s="10" t="s">
        <v>48</v>
      </c>
      <c r="AW2" s="10" t="s">
        <v>49</v>
      </c>
      <c r="AX2" s="10" t="s">
        <v>50</v>
      </c>
      <c r="AY2" s="10" t="s">
        <v>51</v>
      </c>
      <c r="AZ2" s="10" t="s">
        <v>52</v>
      </c>
      <c r="BA2" s="79"/>
      <c r="BB2" s="80"/>
      <c r="BC2" s="79"/>
      <c r="BD2" s="79"/>
      <c r="BE2" s="81"/>
      <c r="BF2" s="86"/>
    </row>
    <row r="3" spans="1:58" s="13" customFormat="1" ht="36.75" customHeight="1">
      <c r="A3" s="3"/>
      <c r="B3" s="12"/>
      <c r="C3" s="3"/>
      <c r="D3" s="3"/>
      <c r="E3" s="5" t="s">
        <v>148</v>
      </c>
      <c r="F3" s="5" t="s">
        <v>108</v>
      </c>
      <c r="G3" s="5" t="s">
        <v>149</v>
      </c>
      <c r="H3" s="28" t="s">
        <v>150</v>
      </c>
      <c r="I3" s="11" t="s">
        <v>151</v>
      </c>
      <c r="J3" s="11" t="s">
        <v>152</v>
      </c>
      <c r="K3" s="11" t="s">
        <v>153</v>
      </c>
      <c r="L3" s="11" t="s">
        <v>154</v>
      </c>
      <c r="M3" s="11" t="s">
        <v>155</v>
      </c>
      <c r="N3" s="11" t="s">
        <v>156</v>
      </c>
      <c r="O3" s="11" t="s">
        <v>157</v>
      </c>
      <c r="P3" s="11" t="s">
        <v>158</v>
      </c>
      <c r="Q3" s="11" t="s">
        <v>159</v>
      </c>
      <c r="R3" s="11" t="s">
        <v>160</v>
      </c>
      <c r="S3" s="11" t="s">
        <v>161</v>
      </c>
      <c r="T3" s="11" t="s">
        <v>162</v>
      </c>
      <c r="U3" s="11" t="s">
        <v>163</v>
      </c>
      <c r="V3" s="11" t="s">
        <v>164</v>
      </c>
      <c r="W3" s="11" t="s">
        <v>165</v>
      </c>
      <c r="X3" s="11" t="s">
        <v>166</v>
      </c>
      <c r="Y3" s="5" t="s">
        <v>53</v>
      </c>
      <c r="Z3" s="9" t="s">
        <v>54</v>
      </c>
      <c r="AA3" s="9" t="s">
        <v>55</v>
      </c>
      <c r="AB3" s="9" t="s">
        <v>56</v>
      </c>
      <c r="AC3" s="9" t="s">
        <v>57</v>
      </c>
      <c r="AD3" s="7" t="s">
        <v>58</v>
      </c>
      <c r="AE3" s="7" t="s">
        <v>59</v>
      </c>
      <c r="AF3" s="7" t="s">
        <v>60</v>
      </c>
      <c r="AG3" s="7" t="s">
        <v>61</v>
      </c>
      <c r="AH3" s="7" t="s">
        <v>62</v>
      </c>
      <c r="AI3" s="7" t="s">
        <v>63</v>
      </c>
      <c r="AJ3" s="7" t="s">
        <v>64</v>
      </c>
      <c r="AK3" s="7" t="s">
        <v>65</v>
      </c>
      <c r="AL3" s="8" t="s">
        <v>66</v>
      </c>
      <c r="AM3" s="8" t="s">
        <v>67</v>
      </c>
      <c r="AN3" s="8" t="s">
        <v>68</v>
      </c>
      <c r="AO3" s="8" t="s">
        <v>69</v>
      </c>
      <c r="AP3" s="10" t="s">
        <v>188</v>
      </c>
      <c r="AQ3" s="10" t="s">
        <v>70</v>
      </c>
      <c r="AR3" s="10" t="s">
        <v>71</v>
      </c>
      <c r="AS3" s="10" t="s">
        <v>72</v>
      </c>
      <c r="AT3" s="10" t="s">
        <v>73</v>
      </c>
      <c r="AU3" s="10" t="s">
        <v>74</v>
      </c>
      <c r="AV3" s="10" t="s">
        <v>75</v>
      </c>
      <c r="AW3" s="10" t="s">
        <v>76</v>
      </c>
      <c r="AX3" s="10" t="s">
        <v>77</v>
      </c>
      <c r="AY3" s="10" t="s">
        <v>78</v>
      </c>
      <c r="AZ3" s="10" t="s">
        <v>79</v>
      </c>
      <c r="BA3" s="79">
        <f>COLUMN()</f>
        <v>53</v>
      </c>
      <c r="BB3" s="80"/>
      <c r="BC3" s="79"/>
      <c r="BD3" s="79"/>
      <c r="BE3" s="81"/>
      <c r="BF3" s="86"/>
    </row>
    <row r="4" spans="1:58" s="13" customFormat="1" ht="93.75" customHeight="1">
      <c r="A4" s="195" t="s">
        <v>0</v>
      </c>
      <c r="B4" s="195" t="s">
        <v>1</v>
      </c>
      <c r="C4" s="195" t="s">
        <v>2</v>
      </c>
      <c r="D4" s="196" t="s">
        <v>3</v>
      </c>
      <c r="E4" s="197" t="s">
        <v>127</v>
      </c>
      <c r="F4" s="197" t="s">
        <v>109</v>
      </c>
      <c r="G4" s="197" t="s">
        <v>167</v>
      </c>
      <c r="H4" s="198" t="s">
        <v>168</v>
      </c>
      <c r="I4" s="197" t="s">
        <v>169</v>
      </c>
      <c r="J4" s="197" t="s">
        <v>170</v>
      </c>
      <c r="K4" s="197" t="s">
        <v>171</v>
      </c>
      <c r="L4" s="197" t="s">
        <v>172</v>
      </c>
      <c r="M4" s="197" t="s">
        <v>173</v>
      </c>
      <c r="N4" s="197" t="s">
        <v>174</v>
      </c>
      <c r="O4" s="197" t="s">
        <v>175</v>
      </c>
      <c r="P4" s="197" t="s">
        <v>176</v>
      </c>
      <c r="Q4" s="197" t="s">
        <v>177</v>
      </c>
      <c r="R4" s="199" t="s">
        <v>178</v>
      </c>
      <c r="S4" s="197" t="s">
        <v>179</v>
      </c>
      <c r="T4" s="197" t="s">
        <v>180</v>
      </c>
      <c r="U4" s="197" t="s">
        <v>181</v>
      </c>
      <c r="V4" s="200" t="s">
        <v>182</v>
      </c>
      <c r="W4" s="200" t="s">
        <v>183</v>
      </c>
      <c r="X4" s="200" t="s">
        <v>184</v>
      </c>
      <c r="Y4" s="201"/>
      <c r="Z4" s="202"/>
      <c r="AA4" s="196" t="s">
        <v>80</v>
      </c>
      <c r="AB4" s="196" t="s">
        <v>81</v>
      </c>
      <c r="AC4" s="196" t="s">
        <v>82</v>
      </c>
      <c r="AD4" s="196" t="s">
        <v>10</v>
      </c>
      <c r="AE4" s="196" t="s">
        <v>83</v>
      </c>
      <c r="AF4" s="196" t="s">
        <v>4</v>
      </c>
      <c r="AG4" s="196" t="s">
        <v>84</v>
      </c>
      <c r="AH4" s="196" t="s">
        <v>85</v>
      </c>
      <c r="AI4" s="196" t="s">
        <v>86</v>
      </c>
      <c r="AJ4" s="196" t="s">
        <v>87</v>
      </c>
      <c r="AK4" s="196" t="s">
        <v>88</v>
      </c>
      <c r="AL4" s="203" t="s">
        <v>89</v>
      </c>
      <c r="AM4" s="203" t="s">
        <v>90</v>
      </c>
      <c r="AN4" s="203" t="s">
        <v>91</v>
      </c>
      <c r="AO4" s="203" t="s">
        <v>92</v>
      </c>
      <c r="AP4" s="196" t="s">
        <v>185</v>
      </c>
      <c r="AQ4" s="196" t="s">
        <v>93</v>
      </c>
      <c r="AR4" s="196" t="s">
        <v>94</v>
      </c>
      <c r="AS4" s="196" t="s">
        <v>95</v>
      </c>
      <c r="AT4" s="196" t="s">
        <v>96</v>
      </c>
      <c r="AU4" s="196" t="s">
        <v>97</v>
      </c>
      <c r="AV4" s="196" t="s">
        <v>98</v>
      </c>
      <c r="AW4" s="196" t="s">
        <v>99</v>
      </c>
      <c r="AX4" s="196" t="s">
        <v>100</v>
      </c>
      <c r="AY4" s="196" t="s">
        <v>101</v>
      </c>
      <c r="AZ4" s="196" t="s">
        <v>102</v>
      </c>
      <c r="BA4" s="82" t="s">
        <v>189</v>
      </c>
      <c r="BB4" s="83" t="s">
        <v>190</v>
      </c>
      <c r="BC4" s="84" t="s">
        <v>191</v>
      </c>
      <c r="BD4" s="84" t="s">
        <v>192</v>
      </c>
      <c r="BE4" s="85" t="s">
        <v>351</v>
      </c>
      <c r="BF4" s="87" t="s">
        <v>352</v>
      </c>
    </row>
    <row r="5" spans="1:58" s="15" customFormat="1">
      <c r="A5" s="178"/>
      <c r="B5" s="180"/>
      <c r="C5" s="180"/>
      <c r="D5" s="180"/>
      <c r="E5" s="206"/>
      <c r="F5" s="179"/>
      <c r="G5" s="179"/>
      <c r="H5" s="204"/>
      <c r="I5" s="179"/>
      <c r="J5" s="179"/>
      <c r="K5" s="179"/>
      <c r="L5" s="179"/>
      <c r="M5" s="179"/>
      <c r="N5" s="179"/>
      <c r="O5" s="179"/>
      <c r="P5" s="179"/>
      <c r="Q5" s="179"/>
      <c r="R5" s="179"/>
      <c r="S5" s="179"/>
      <c r="T5" s="179"/>
      <c r="U5" s="179"/>
      <c r="V5" s="181"/>
      <c r="W5" s="181"/>
      <c r="X5" s="181"/>
      <c r="Y5" s="179"/>
      <c r="Z5" s="179"/>
      <c r="AA5" s="182"/>
      <c r="AB5" s="182"/>
      <c r="AC5" s="181"/>
      <c r="AD5" s="181"/>
      <c r="AE5" s="181"/>
      <c r="AF5" s="181"/>
      <c r="AG5" s="181"/>
      <c r="AH5" s="181"/>
      <c r="AI5" s="181"/>
      <c r="AJ5" s="181"/>
      <c r="AK5" s="181"/>
      <c r="AL5" s="181"/>
      <c r="AM5" s="181"/>
      <c r="AN5" s="181"/>
      <c r="AO5" s="181"/>
      <c r="AP5" s="181"/>
      <c r="AQ5" s="181"/>
      <c r="AR5" s="181"/>
      <c r="AS5" s="181"/>
      <c r="AT5" s="181"/>
      <c r="AU5" s="181"/>
      <c r="AV5" s="181"/>
      <c r="AW5" s="181"/>
      <c r="AX5" s="181"/>
      <c r="AY5" s="181"/>
      <c r="AZ5" s="181"/>
      <c r="BA5" s="88"/>
      <c r="BB5" s="89"/>
      <c r="BC5" s="90"/>
      <c r="BD5" s="90"/>
      <c r="BE5" s="91"/>
      <c r="BF5" s="91"/>
    </row>
    <row r="6" spans="1:58" s="15" customFormat="1">
      <c r="A6" s="178"/>
      <c r="B6" s="180"/>
      <c r="C6" s="180"/>
      <c r="D6" s="180"/>
      <c r="E6" s="206"/>
      <c r="F6" s="179"/>
      <c r="G6" s="179"/>
      <c r="H6" s="204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81"/>
      <c r="W6" s="181"/>
      <c r="X6" s="181"/>
      <c r="Y6" s="179"/>
      <c r="Z6" s="179"/>
      <c r="AA6" s="181"/>
      <c r="AB6" s="181"/>
      <c r="AC6" s="181"/>
      <c r="AD6" s="181"/>
      <c r="AE6" s="181"/>
      <c r="AF6" s="181"/>
      <c r="AG6" s="181"/>
      <c r="AH6" s="181"/>
      <c r="AI6" s="181"/>
      <c r="AJ6" s="181"/>
      <c r="AK6" s="181"/>
      <c r="AL6" s="181"/>
      <c r="AM6" s="181"/>
      <c r="AN6" s="181"/>
      <c r="AO6" s="181"/>
      <c r="AP6" s="181"/>
      <c r="AQ6" s="181"/>
      <c r="AR6" s="181"/>
      <c r="AS6" s="181"/>
      <c r="AT6" s="181"/>
      <c r="AU6" s="181"/>
      <c r="AV6" s="181"/>
      <c r="AW6" s="181"/>
      <c r="AX6" s="181"/>
      <c r="AY6" s="181"/>
      <c r="AZ6" s="181"/>
      <c r="BA6" s="88"/>
      <c r="BB6" s="92"/>
      <c r="BC6" s="90"/>
      <c r="BD6" s="90"/>
      <c r="BE6" s="91"/>
      <c r="BF6" s="91"/>
    </row>
    <row r="7" spans="1:58" s="15" customFormat="1">
      <c r="A7" s="178"/>
      <c r="B7" s="180"/>
      <c r="C7" s="180"/>
      <c r="D7" s="180"/>
      <c r="E7" s="206"/>
      <c r="F7" s="179"/>
      <c r="G7" s="179"/>
      <c r="H7" s="204"/>
      <c r="I7" s="179"/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  <c r="V7" s="181"/>
      <c r="W7" s="181"/>
      <c r="X7" s="181"/>
      <c r="Y7" s="179"/>
      <c r="Z7" s="179"/>
      <c r="AA7" s="181"/>
      <c r="AB7" s="181"/>
      <c r="AC7" s="181"/>
      <c r="AD7" s="181"/>
      <c r="AE7" s="181"/>
      <c r="AF7" s="181"/>
      <c r="AG7" s="181"/>
      <c r="AH7" s="181"/>
      <c r="AI7" s="181"/>
      <c r="AJ7" s="181"/>
      <c r="AK7" s="181"/>
      <c r="AL7" s="181"/>
      <c r="AM7" s="181"/>
      <c r="AN7" s="181"/>
      <c r="AO7" s="181"/>
      <c r="AP7" s="181"/>
      <c r="AQ7" s="181"/>
      <c r="AR7" s="181"/>
      <c r="AS7" s="181"/>
      <c r="AT7" s="181"/>
      <c r="AU7" s="181"/>
      <c r="AV7" s="181"/>
      <c r="AW7" s="181"/>
      <c r="AX7" s="181"/>
      <c r="AY7" s="181"/>
      <c r="AZ7" s="181"/>
      <c r="BA7" s="88"/>
      <c r="BB7" s="92"/>
      <c r="BC7" s="90"/>
      <c r="BD7" s="90"/>
      <c r="BE7" s="91"/>
      <c r="BF7" s="91"/>
    </row>
    <row r="8" spans="1:58" s="15" customFormat="1">
      <c r="A8" s="178"/>
      <c r="B8" s="180"/>
      <c r="C8" s="180"/>
      <c r="D8" s="180"/>
      <c r="E8" s="206"/>
      <c r="F8" s="179"/>
      <c r="G8" s="179"/>
      <c r="H8" s="204"/>
      <c r="I8" s="179"/>
      <c r="J8" s="179"/>
      <c r="K8" s="179"/>
      <c r="L8" s="179"/>
      <c r="M8" s="179"/>
      <c r="N8" s="179"/>
      <c r="O8" s="179"/>
      <c r="P8" s="179"/>
      <c r="Q8" s="179"/>
      <c r="R8" s="179"/>
      <c r="S8" s="179"/>
      <c r="T8" s="179"/>
      <c r="U8" s="179"/>
      <c r="V8" s="181"/>
      <c r="W8" s="181"/>
      <c r="X8" s="181"/>
      <c r="Y8" s="179"/>
      <c r="Z8" s="179"/>
      <c r="AA8" s="181"/>
      <c r="AB8" s="181"/>
      <c r="AC8" s="181"/>
      <c r="AD8" s="181"/>
      <c r="AE8" s="181"/>
      <c r="AF8" s="181"/>
      <c r="AG8" s="181"/>
      <c r="AH8" s="181"/>
      <c r="AI8" s="181"/>
      <c r="AJ8" s="181"/>
      <c r="AK8" s="181"/>
      <c r="AL8" s="181"/>
      <c r="AM8" s="181"/>
      <c r="AN8" s="181"/>
      <c r="AO8" s="181"/>
      <c r="AP8" s="181"/>
      <c r="AQ8" s="181"/>
      <c r="AR8" s="181"/>
      <c r="AS8" s="181"/>
      <c r="AT8" s="181"/>
      <c r="AU8" s="181"/>
      <c r="AV8" s="181"/>
      <c r="AW8" s="181"/>
      <c r="AX8" s="181"/>
      <c r="AY8" s="181"/>
      <c r="AZ8" s="181"/>
      <c r="BA8" s="88"/>
      <c r="BB8" s="92"/>
      <c r="BC8" s="90"/>
      <c r="BD8" s="90"/>
      <c r="BE8" s="91"/>
      <c r="BF8" s="91"/>
    </row>
    <row r="9" spans="1:58" s="15" customFormat="1">
      <c r="A9" s="178"/>
      <c r="B9" s="180"/>
      <c r="C9" s="180"/>
      <c r="D9" s="180"/>
      <c r="E9" s="206"/>
      <c r="F9" s="179"/>
      <c r="G9" s="179"/>
      <c r="H9" s="204"/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1"/>
      <c r="W9" s="181"/>
      <c r="X9" s="181"/>
      <c r="Y9" s="179"/>
      <c r="Z9" s="179"/>
      <c r="AA9" s="181"/>
      <c r="AB9" s="181"/>
      <c r="AC9" s="181"/>
      <c r="AD9" s="181"/>
      <c r="AE9" s="181"/>
      <c r="AF9" s="181"/>
      <c r="AG9" s="181"/>
      <c r="AH9" s="181"/>
      <c r="AI9" s="181"/>
      <c r="AJ9" s="181"/>
      <c r="AK9" s="181"/>
      <c r="AL9" s="181"/>
      <c r="AM9" s="181"/>
      <c r="AN9" s="181"/>
      <c r="AO9" s="181"/>
      <c r="AP9" s="181"/>
      <c r="AQ9" s="181"/>
      <c r="AR9" s="181"/>
      <c r="AS9" s="181"/>
      <c r="AT9" s="181"/>
      <c r="AU9" s="181"/>
      <c r="AV9" s="181"/>
      <c r="AW9" s="181"/>
      <c r="AX9" s="181"/>
      <c r="AY9" s="181"/>
      <c r="AZ9" s="181"/>
      <c r="BA9" s="88"/>
      <c r="BB9" s="92"/>
      <c r="BC9" s="90"/>
      <c r="BD9" s="90"/>
      <c r="BE9" s="91"/>
      <c r="BF9" s="91"/>
    </row>
    <row r="10" spans="1:58" s="15" customFormat="1">
      <c r="A10" s="178"/>
      <c r="B10" s="180"/>
      <c r="C10" s="180"/>
      <c r="D10" s="180"/>
      <c r="E10" s="206"/>
      <c r="F10" s="179"/>
      <c r="G10" s="179"/>
      <c r="H10" s="204"/>
      <c r="I10" s="179"/>
      <c r="J10" s="179"/>
      <c r="K10" s="179"/>
      <c r="L10" s="179"/>
      <c r="M10" s="179"/>
      <c r="N10" s="179"/>
      <c r="O10" s="179"/>
      <c r="P10" s="179"/>
      <c r="Q10" s="179"/>
      <c r="R10" s="179"/>
      <c r="S10" s="179"/>
      <c r="T10" s="179"/>
      <c r="U10" s="179"/>
      <c r="V10" s="181"/>
      <c r="W10" s="181"/>
      <c r="X10" s="181"/>
      <c r="Y10" s="179"/>
      <c r="Z10" s="179"/>
      <c r="AA10" s="181"/>
      <c r="AB10" s="181"/>
      <c r="AC10" s="181"/>
      <c r="AD10" s="181"/>
      <c r="AE10" s="181"/>
      <c r="AF10" s="181"/>
      <c r="AG10" s="181"/>
      <c r="AH10" s="181"/>
      <c r="AI10" s="181"/>
      <c r="AJ10" s="181"/>
      <c r="AK10" s="181"/>
      <c r="AL10" s="181"/>
      <c r="AM10" s="181"/>
      <c r="AN10" s="181"/>
      <c r="AO10" s="181"/>
      <c r="AP10" s="181"/>
      <c r="AQ10" s="181"/>
      <c r="AR10" s="181"/>
      <c r="AS10" s="181"/>
      <c r="AT10" s="181"/>
      <c r="AU10" s="181"/>
      <c r="AV10" s="181"/>
      <c r="AW10" s="181"/>
      <c r="AX10" s="181"/>
      <c r="AY10" s="181"/>
      <c r="AZ10" s="181"/>
      <c r="BA10" s="88"/>
      <c r="BB10" s="92"/>
      <c r="BC10" s="90"/>
      <c r="BD10" s="90"/>
      <c r="BE10" s="91"/>
      <c r="BF10" s="91"/>
    </row>
    <row r="11" spans="1:58" s="15" customFormat="1">
      <c r="A11" s="178"/>
      <c r="B11" s="180"/>
      <c r="C11" s="180"/>
      <c r="D11" s="180"/>
      <c r="E11" s="206"/>
      <c r="F11" s="179"/>
      <c r="G11" s="179"/>
      <c r="H11" s="204"/>
      <c r="I11" s="179"/>
      <c r="J11" s="179"/>
      <c r="K11" s="179"/>
      <c r="L11" s="179"/>
      <c r="M11" s="179"/>
      <c r="N11" s="179"/>
      <c r="O11" s="179"/>
      <c r="P11" s="179"/>
      <c r="Q11" s="179"/>
      <c r="R11" s="179"/>
      <c r="S11" s="179"/>
      <c r="T11" s="179"/>
      <c r="U11" s="179"/>
      <c r="V11" s="181"/>
      <c r="W11" s="181"/>
      <c r="X11" s="181"/>
      <c r="Y11" s="179"/>
      <c r="Z11" s="179"/>
      <c r="AA11" s="181"/>
      <c r="AB11" s="181"/>
      <c r="AC11" s="181"/>
      <c r="AD11" s="181"/>
      <c r="AE11" s="181"/>
      <c r="AF11" s="181"/>
      <c r="AG11" s="181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88"/>
      <c r="BB11" s="92"/>
      <c r="BC11" s="90"/>
      <c r="BD11" s="90"/>
      <c r="BE11" s="91"/>
      <c r="BF11" s="91"/>
    </row>
    <row r="12" spans="1:58" s="15" customFormat="1">
      <c r="A12" s="178"/>
      <c r="B12" s="180"/>
      <c r="C12" s="180"/>
      <c r="D12" s="180"/>
      <c r="E12" s="206"/>
      <c r="F12" s="179"/>
      <c r="G12" s="179"/>
      <c r="H12" s="204"/>
      <c r="I12" s="179"/>
      <c r="J12" s="179"/>
      <c r="K12" s="179"/>
      <c r="L12" s="179"/>
      <c r="M12" s="179"/>
      <c r="N12" s="179"/>
      <c r="O12" s="179"/>
      <c r="P12" s="179"/>
      <c r="Q12" s="179"/>
      <c r="R12" s="179"/>
      <c r="S12" s="179"/>
      <c r="T12" s="179"/>
      <c r="U12" s="179"/>
      <c r="V12" s="181"/>
      <c r="W12" s="181"/>
      <c r="X12" s="181"/>
      <c r="Y12" s="179"/>
      <c r="Z12" s="179"/>
      <c r="AA12" s="181"/>
      <c r="AB12" s="181"/>
      <c r="AC12" s="181"/>
      <c r="AD12" s="181"/>
      <c r="AE12" s="181"/>
      <c r="AF12" s="181"/>
      <c r="AG12" s="181"/>
      <c r="AH12" s="181"/>
      <c r="AI12" s="181"/>
      <c r="AJ12" s="181"/>
      <c r="AK12" s="181"/>
      <c r="AL12" s="181"/>
      <c r="AM12" s="181"/>
      <c r="AN12" s="181"/>
      <c r="AO12" s="181"/>
      <c r="AP12" s="181"/>
      <c r="AQ12" s="181"/>
      <c r="AR12" s="181"/>
      <c r="AS12" s="181"/>
      <c r="AT12" s="181"/>
      <c r="AU12" s="181"/>
      <c r="AV12" s="181"/>
      <c r="AW12" s="181"/>
      <c r="AX12" s="181"/>
      <c r="AY12" s="181"/>
      <c r="AZ12" s="181"/>
      <c r="BA12" s="88"/>
      <c r="BB12" s="92"/>
      <c r="BC12" s="90"/>
      <c r="BD12" s="90"/>
      <c r="BE12" s="91"/>
      <c r="BF12" s="91"/>
    </row>
    <row r="13" spans="1:58" s="15" customFormat="1">
      <c r="A13" s="178"/>
      <c r="B13" s="180"/>
      <c r="C13" s="180"/>
      <c r="D13" s="180"/>
      <c r="E13" s="206"/>
      <c r="F13" s="179"/>
      <c r="G13" s="179"/>
      <c r="H13" s="204"/>
      <c r="I13" s="179"/>
      <c r="J13" s="179"/>
      <c r="K13" s="179"/>
      <c r="L13" s="179"/>
      <c r="M13" s="179"/>
      <c r="N13" s="179"/>
      <c r="O13" s="179"/>
      <c r="P13" s="179"/>
      <c r="Q13" s="179"/>
      <c r="R13" s="179"/>
      <c r="S13" s="179"/>
      <c r="T13" s="179"/>
      <c r="U13" s="179"/>
      <c r="V13" s="181"/>
      <c r="W13" s="181"/>
      <c r="X13" s="181"/>
      <c r="Y13" s="179"/>
      <c r="Z13" s="179"/>
      <c r="AA13" s="182"/>
      <c r="AB13" s="182"/>
      <c r="AC13" s="181"/>
      <c r="AD13" s="181"/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88"/>
      <c r="BB13" s="89"/>
      <c r="BC13" s="90"/>
      <c r="BD13" s="90"/>
      <c r="BE13" s="91"/>
      <c r="BF13" s="91"/>
    </row>
    <row r="14" spans="1:58" s="15" customFormat="1">
      <c r="A14" s="178"/>
      <c r="B14" s="180"/>
      <c r="C14" s="180"/>
      <c r="D14" s="180"/>
      <c r="E14" s="206"/>
      <c r="F14" s="179"/>
      <c r="G14" s="179"/>
      <c r="H14" s="204"/>
      <c r="I14" s="179"/>
      <c r="J14" s="179"/>
      <c r="K14" s="179"/>
      <c r="L14" s="179"/>
      <c r="M14" s="179"/>
      <c r="N14" s="179"/>
      <c r="O14" s="179"/>
      <c r="P14" s="179"/>
      <c r="Q14" s="179"/>
      <c r="R14" s="179"/>
      <c r="S14" s="179"/>
      <c r="T14" s="179"/>
      <c r="U14" s="179"/>
      <c r="V14" s="181"/>
      <c r="W14" s="181"/>
      <c r="X14" s="181"/>
      <c r="Y14" s="179"/>
      <c r="Z14" s="179"/>
      <c r="AA14" s="181"/>
      <c r="AB14" s="181"/>
      <c r="AC14" s="181"/>
      <c r="AD14" s="181"/>
      <c r="AE14" s="181"/>
      <c r="AF14" s="181"/>
      <c r="AG14" s="181"/>
      <c r="AH14" s="181"/>
      <c r="AI14" s="181"/>
      <c r="AJ14" s="181"/>
      <c r="AK14" s="181"/>
      <c r="AL14" s="181"/>
      <c r="AM14" s="181"/>
      <c r="AN14" s="181"/>
      <c r="AO14" s="181"/>
      <c r="AP14" s="181"/>
      <c r="AQ14" s="181"/>
      <c r="AR14" s="181"/>
      <c r="AS14" s="181"/>
      <c r="AT14" s="181"/>
      <c r="AU14" s="181"/>
      <c r="AV14" s="181"/>
      <c r="AW14" s="181"/>
      <c r="AX14" s="181"/>
      <c r="AY14" s="181"/>
      <c r="AZ14" s="181"/>
      <c r="BA14" s="88"/>
      <c r="BB14" s="92"/>
      <c r="BC14" s="90"/>
      <c r="BD14" s="90"/>
      <c r="BE14" s="91"/>
      <c r="BF14" s="91"/>
    </row>
    <row r="15" spans="1:58" s="15" customFormat="1">
      <c r="A15" s="178"/>
      <c r="B15" s="180"/>
      <c r="C15" s="180"/>
      <c r="D15" s="180"/>
      <c r="E15" s="206"/>
      <c r="F15" s="179"/>
      <c r="G15" s="179"/>
      <c r="H15" s="204"/>
      <c r="I15" s="179"/>
      <c r="J15" s="179"/>
      <c r="K15" s="179"/>
      <c r="L15" s="179"/>
      <c r="M15" s="179"/>
      <c r="N15" s="179"/>
      <c r="O15" s="179"/>
      <c r="P15" s="179"/>
      <c r="Q15" s="179"/>
      <c r="R15" s="179"/>
      <c r="S15" s="179"/>
      <c r="T15" s="179"/>
      <c r="U15" s="179"/>
      <c r="V15" s="181"/>
      <c r="W15" s="181"/>
      <c r="X15" s="181"/>
      <c r="Y15" s="179"/>
      <c r="Z15" s="179"/>
      <c r="AA15" s="181"/>
      <c r="AB15" s="181"/>
      <c r="AC15" s="181"/>
      <c r="AD15" s="181"/>
      <c r="AE15" s="181"/>
      <c r="AF15" s="181"/>
      <c r="AG15" s="181"/>
      <c r="AH15" s="181"/>
      <c r="AI15" s="181"/>
      <c r="AJ15" s="181"/>
      <c r="AK15" s="181"/>
      <c r="AL15" s="181"/>
      <c r="AM15" s="181"/>
      <c r="AN15" s="181"/>
      <c r="AO15" s="181"/>
      <c r="AP15" s="181"/>
      <c r="AQ15" s="181"/>
      <c r="AR15" s="181"/>
      <c r="AS15" s="181"/>
      <c r="AT15" s="181"/>
      <c r="AU15" s="181"/>
      <c r="AV15" s="181"/>
      <c r="AW15" s="181"/>
      <c r="AX15" s="181"/>
      <c r="AY15" s="181"/>
      <c r="AZ15" s="181"/>
      <c r="BA15" s="88"/>
      <c r="BB15" s="92"/>
      <c r="BC15" s="90"/>
      <c r="BD15" s="90"/>
      <c r="BE15" s="91"/>
      <c r="BF15" s="91"/>
    </row>
    <row r="16" spans="1:58" s="19" customFormat="1">
      <c r="A16" s="178"/>
      <c r="B16" s="180"/>
      <c r="C16" s="178"/>
      <c r="D16" s="178"/>
      <c r="E16" s="207"/>
      <c r="F16" s="181"/>
      <c r="G16" s="179"/>
      <c r="H16" s="204"/>
      <c r="I16" s="179"/>
      <c r="J16" s="179"/>
      <c r="K16" s="181"/>
      <c r="L16" s="181"/>
      <c r="M16" s="181"/>
      <c r="N16" s="181"/>
      <c r="O16" s="181"/>
      <c r="P16" s="181"/>
      <c r="Q16" s="181"/>
      <c r="R16" s="181"/>
      <c r="S16" s="181"/>
      <c r="T16" s="181"/>
      <c r="U16" s="181"/>
      <c r="V16" s="181"/>
      <c r="W16" s="181"/>
      <c r="X16" s="181"/>
      <c r="Y16" s="179"/>
      <c r="Z16" s="179"/>
      <c r="AA16" s="181"/>
      <c r="AB16" s="181"/>
      <c r="AC16" s="181"/>
      <c r="AD16" s="181"/>
      <c r="AE16" s="181"/>
      <c r="AF16" s="181"/>
      <c r="AG16" s="181"/>
      <c r="AH16" s="181"/>
      <c r="AI16" s="181"/>
      <c r="AJ16" s="181"/>
      <c r="AK16" s="181"/>
      <c r="AL16" s="181"/>
      <c r="AM16" s="181"/>
      <c r="AN16" s="181"/>
      <c r="AO16" s="181"/>
      <c r="AP16" s="181"/>
      <c r="AQ16" s="181"/>
      <c r="AR16" s="181"/>
      <c r="AS16" s="181"/>
      <c r="AT16" s="181"/>
      <c r="AU16" s="181"/>
      <c r="AV16" s="181"/>
      <c r="AW16" s="181"/>
      <c r="AX16" s="181"/>
      <c r="AY16" s="181"/>
      <c r="AZ16" s="181"/>
      <c r="BA16" s="88"/>
      <c r="BB16" s="92"/>
      <c r="BC16" s="90"/>
      <c r="BD16" s="90"/>
      <c r="BE16" s="91"/>
      <c r="BF16" s="91"/>
    </row>
    <row r="17" spans="1:58" s="19" customFormat="1">
      <c r="A17" s="178"/>
      <c r="B17" s="180"/>
      <c r="C17" s="178"/>
      <c r="D17" s="178"/>
      <c r="E17" s="207"/>
      <c r="F17" s="181"/>
      <c r="G17" s="179"/>
      <c r="H17" s="204"/>
      <c r="I17" s="179"/>
      <c r="J17" s="179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181"/>
      <c r="X17" s="181"/>
      <c r="Y17" s="179"/>
      <c r="Z17" s="179"/>
      <c r="AA17" s="181"/>
      <c r="AB17" s="181"/>
      <c r="AC17" s="181"/>
      <c r="AD17" s="181"/>
      <c r="AE17" s="181"/>
      <c r="AF17" s="181"/>
      <c r="AG17" s="181"/>
      <c r="AH17" s="181"/>
      <c r="AI17" s="181"/>
      <c r="AJ17" s="181"/>
      <c r="AK17" s="181"/>
      <c r="AL17" s="181"/>
      <c r="AM17" s="181"/>
      <c r="AN17" s="181"/>
      <c r="AO17" s="181"/>
      <c r="AP17" s="181"/>
      <c r="AQ17" s="181"/>
      <c r="AR17" s="181"/>
      <c r="AS17" s="181"/>
      <c r="AT17" s="181"/>
      <c r="AU17" s="181"/>
      <c r="AV17" s="181"/>
      <c r="AW17" s="181"/>
      <c r="AX17" s="181"/>
      <c r="AY17" s="181"/>
      <c r="AZ17" s="181"/>
      <c r="BA17" s="88"/>
      <c r="BB17" s="92"/>
      <c r="BC17" s="90"/>
      <c r="BD17" s="90"/>
      <c r="BE17" s="91"/>
      <c r="BF17" s="91"/>
    </row>
    <row r="18" spans="1:58" s="19" customFormat="1">
      <c r="A18" s="178"/>
      <c r="B18" s="180"/>
      <c r="C18" s="178"/>
      <c r="D18" s="178"/>
      <c r="E18" s="207"/>
      <c r="F18" s="181"/>
      <c r="G18" s="179"/>
      <c r="H18" s="204"/>
      <c r="I18" s="179"/>
      <c r="J18" s="179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79"/>
      <c r="Z18" s="179"/>
      <c r="AA18" s="181"/>
      <c r="AB18" s="181"/>
      <c r="AC18" s="181"/>
      <c r="AD18" s="181"/>
      <c r="AE18" s="181"/>
      <c r="AF18" s="181"/>
      <c r="AG18" s="181"/>
      <c r="AH18" s="181"/>
      <c r="AI18" s="181"/>
      <c r="AJ18" s="181"/>
      <c r="AK18" s="181"/>
      <c r="AL18" s="181"/>
      <c r="AM18" s="181"/>
      <c r="AN18" s="181"/>
      <c r="AO18" s="181"/>
      <c r="AP18" s="181"/>
      <c r="AQ18" s="181"/>
      <c r="AR18" s="181"/>
      <c r="AS18" s="181"/>
      <c r="AT18" s="181"/>
      <c r="AU18" s="181"/>
      <c r="AV18" s="181"/>
      <c r="AW18" s="181"/>
      <c r="AX18" s="181"/>
      <c r="AY18" s="181"/>
      <c r="AZ18" s="181"/>
      <c r="BA18" s="88"/>
      <c r="BB18" s="92"/>
      <c r="BC18" s="90"/>
      <c r="BD18" s="90"/>
      <c r="BE18" s="91"/>
      <c r="BF18" s="91"/>
    </row>
    <row r="19" spans="1:58" s="19" customFormat="1">
      <c r="A19" s="178"/>
      <c r="B19" s="180"/>
      <c r="C19" s="178"/>
      <c r="D19" s="178"/>
      <c r="E19" s="207"/>
      <c r="F19" s="181"/>
      <c r="G19" s="179"/>
      <c r="H19" s="204"/>
      <c r="I19" s="179"/>
      <c r="J19" s="179"/>
      <c r="K19" s="181"/>
      <c r="L19" s="181"/>
      <c r="M19" s="181"/>
      <c r="N19" s="181"/>
      <c r="O19" s="181"/>
      <c r="P19" s="181"/>
      <c r="Q19" s="181"/>
      <c r="R19" s="181"/>
      <c r="S19" s="181"/>
      <c r="T19" s="181"/>
      <c r="U19" s="181"/>
      <c r="V19" s="181"/>
      <c r="W19" s="181"/>
      <c r="X19" s="181"/>
      <c r="Y19" s="179"/>
      <c r="Z19" s="179"/>
      <c r="AA19" s="181"/>
      <c r="AB19" s="181"/>
      <c r="AC19" s="181"/>
      <c r="AD19" s="181"/>
      <c r="AE19" s="181"/>
      <c r="AF19" s="181"/>
      <c r="AG19" s="181"/>
      <c r="AH19" s="181"/>
      <c r="AI19" s="181"/>
      <c r="AJ19" s="181"/>
      <c r="AK19" s="181"/>
      <c r="AL19" s="181"/>
      <c r="AM19" s="181"/>
      <c r="AN19" s="181"/>
      <c r="AO19" s="181"/>
      <c r="AP19" s="181"/>
      <c r="AQ19" s="181"/>
      <c r="AR19" s="181"/>
      <c r="AS19" s="181"/>
      <c r="AT19" s="181"/>
      <c r="AU19" s="181"/>
      <c r="AV19" s="181"/>
      <c r="AW19" s="181"/>
      <c r="AX19" s="181"/>
      <c r="AY19" s="181"/>
      <c r="AZ19" s="181"/>
      <c r="BA19" s="88"/>
      <c r="BB19" s="92"/>
      <c r="BC19" s="90"/>
      <c r="BD19" s="90"/>
      <c r="BE19" s="91"/>
      <c r="BF19" s="91"/>
    </row>
    <row r="20" spans="1:58">
      <c r="A20" s="181"/>
      <c r="B20" s="178"/>
      <c r="C20" s="178"/>
      <c r="D20" s="178"/>
      <c r="E20" s="207"/>
      <c r="F20" s="181"/>
      <c r="G20" s="179"/>
      <c r="H20" s="204"/>
      <c r="I20" s="181"/>
      <c r="J20" s="181"/>
      <c r="K20" s="181"/>
      <c r="L20" s="181"/>
      <c r="M20" s="181"/>
      <c r="N20" s="181"/>
      <c r="O20" s="181"/>
      <c r="P20" s="181"/>
      <c r="Q20" s="181"/>
      <c r="R20" s="181"/>
      <c r="S20" s="181"/>
      <c r="T20" s="181"/>
      <c r="U20" s="181"/>
      <c r="V20" s="181"/>
      <c r="W20" s="181"/>
      <c r="X20" s="181"/>
      <c r="Y20" s="179"/>
      <c r="Z20" s="179"/>
      <c r="AA20" s="181"/>
      <c r="AB20" s="181"/>
      <c r="AC20" s="181"/>
      <c r="AD20" s="181"/>
      <c r="AE20" s="181"/>
      <c r="AF20" s="181"/>
      <c r="AG20" s="181"/>
      <c r="AH20" s="181"/>
      <c r="AI20" s="181"/>
      <c r="AJ20" s="181"/>
      <c r="AK20" s="181"/>
      <c r="AL20" s="181"/>
      <c r="AM20" s="181"/>
      <c r="AN20" s="181"/>
      <c r="AO20" s="181"/>
      <c r="AP20" s="181"/>
      <c r="AQ20" s="181"/>
      <c r="AR20" s="181"/>
      <c r="AS20" s="181"/>
      <c r="AT20" s="181"/>
      <c r="AU20" s="181"/>
      <c r="AV20" s="181"/>
      <c r="AW20" s="181"/>
      <c r="AX20" s="181"/>
      <c r="AY20" s="181"/>
      <c r="AZ20" s="181"/>
    </row>
  </sheetData>
  <autoFilter ref="A4:BF19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M20"/>
  <sheetViews>
    <sheetView zoomScale="70" zoomScaleNormal="70" workbookViewId="0">
      <selection activeCell="C21" sqref="C21"/>
    </sheetView>
  </sheetViews>
  <sheetFormatPr defaultRowHeight="15"/>
  <cols>
    <col min="1" max="1" width="14.85546875" style="183" customWidth="1"/>
    <col min="2" max="2" width="30.28515625" style="177" customWidth="1"/>
    <col min="3" max="3" width="30.28515625" style="183" bestFit="1" customWidth="1"/>
    <col min="4" max="4" width="41.5703125" style="183" bestFit="1" customWidth="1"/>
    <col min="5" max="5" width="46.140625" style="177" customWidth="1"/>
    <col min="6" max="6" width="16.140625" style="183" customWidth="1"/>
    <col min="7" max="7" width="11.42578125" style="184" customWidth="1"/>
    <col min="8" max="8" width="30" style="183" bestFit="1" customWidth="1"/>
    <col min="9" max="9" width="9.140625" style="183"/>
    <col min="10" max="10" width="9.140625" style="177"/>
    <col min="11" max="11" width="11.140625" style="16" customWidth="1"/>
    <col min="12" max="12" width="13.42578125" style="16" bestFit="1" customWidth="1"/>
  </cols>
  <sheetData>
    <row r="1" spans="1:13" ht="102.75" customHeight="1">
      <c r="A1" s="3" t="s">
        <v>114</v>
      </c>
      <c r="B1" s="3" t="s">
        <v>115</v>
      </c>
      <c r="C1" s="3" t="s">
        <v>116</v>
      </c>
      <c r="D1" s="3"/>
      <c r="E1" s="3" t="s">
        <v>7</v>
      </c>
      <c r="F1" s="191" t="s">
        <v>104</v>
      </c>
      <c r="G1" s="3" t="s">
        <v>104</v>
      </c>
      <c r="H1" s="3" t="s">
        <v>495</v>
      </c>
      <c r="I1" s="192"/>
      <c r="J1" s="3" t="s">
        <v>105</v>
      </c>
      <c r="K1"/>
      <c r="L1"/>
    </row>
    <row r="2" spans="1:13" ht="49.5" customHeight="1">
      <c r="A2" s="3"/>
      <c r="B2" s="3"/>
      <c r="C2" s="3"/>
      <c r="D2" s="3"/>
      <c r="E2" s="3" t="s">
        <v>117</v>
      </c>
      <c r="F2" s="191" t="s">
        <v>118</v>
      </c>
      <c r="G2" s="3" t="s">
        <v>119</v>
      </c>
      <c r="H2" s="3" t="s">
        <v>120</v>
      </c>
      <c r="I2" s="3" t="s">
        <v>121</v>
      </c>
      <c r="J2" s="3" t="s">
        <v>107</v>
      </c>
      <c r="K2"/>
      <c r="L2"/>
    </row>
    <row r="3" spans="1:13" ht="25.5" customHeight="1">
      <c r="A3" s="3"/>
      <c r="B3" s="3"/>
      <c r="C3" s="3"/>
      <c r="D3" s="3"/>
      <c r="E3" s="9" t="s">
        <v>54</v>
      </c>
      <c r="F3" s="191" t="s">
        <v>122</v>
      </c>
      <c r="G3" s="3" t="s">
        <v>123</v>
      </c>
      <c r="H3" s="3" t="s">
        <v>124</v>
      </c>
      <c r="I3" s="192" t="s">
        <v>125</v>
      </c>
      <c r="J3" s="3" t="s">
        <v>126</v>
      </c>
      <c r="K3"/>
      <c r="L3"/>
    </row>
    <row r="4" spans="1:13" ht="60">
      <c r="A4" s="2" t="s">
        <v>0</v>
      </c>
      <c r="B4" s="2" t="s">
        <v>1</v>
      </c>
      <c r="C4" s="2" t="s">
        <v>2</v>
      </c>
      <c r="D4" s="1" t="s">
        <v>3</v>
      </c>
      <c r="E4" s="1" t="s">
        <v>80</v>
      </c>
      <c r="F4" s="193" t="s">
        <v>110</v>
      </c>
      <c r="G4" s="1" t="s">
        <v>111</v>
      </c>
      <c r="H4" s="1" t="s">
        <v>112</v>
      </c>
      <c r="I4" s="194"/>
      <c r="J4" s="1" t="s">
        <v>113</v>
      </c>
      <c r="K4" s="58"/>
      <c r="L4" s="58"/>
      <c r="M4" s="17"/>
    </row>
    <row r="5" spans="1:13" s="14" customFormat="1">
      <c r="A5" s="185" t="str">
        <f>IF(ISBLANK('Лист2-ЭЛЕМЕНТ'!A5),"",'Лист2-ЭЛЕМЕНТ'!A5)</f>
        <v/>
      </c>
      <c r="B5" s="185" t="str">
        <f>IF(ISBLANK('Лист2-ЭЛЕМЕНТ'!B5),"",'Лист2-ЭЛЕМЕНТ'!B5)</f>
        <v/>
      </c>
      <c r="C5" s="185" t="str">
        <f>IF(ISBLANK('Лист2-ЭЛЕМЕНТ'!C5),"",'Лист2-ЭЛЕМЕНТ'!C5)</f>
        <v/>
      </c>
      <c r="D5" s="186" t="str">
        <f>IF(ISBLANK('Лист2-ЭЛЕМЕНТ'!D5),"",'Лист2-ЭЛЕМЕНТ'!D5)</f>
        <v/>
      </c>
      <c r="E5" s="185" t="str">
        <f>IF(ISBLANK('Лист2-ЭЛЕМЕНТ'!Z5),"",'Лист2-ЭЛЕМЕНТ'!Z5)</f>
        <v/>
      </c>
      <c r="F5" s="187" t="str">
        <f>IF(ISBLANK('Лист2-ЭЛЕМЕНТ'!H5),"",'Лист2-ЭЛЕМЕНТ'!H5)</f>
        <v/>
      </c>
      <c r="G5" s="96" t="str">
        <f>IF(ISBLANK('Лист2-ЭЛЕМЕНТ'!BA5), "",'Лист2-ЭЛЕМЕНТ'!BA5)</f>
        <v/>
      </c>
      <c r="H5" s="185"/>
      <c r="I5" s="185"/>
      <c r="J5" s="186" t="s">
        <v>193</v>
      </c>
    </row>
    <row r="6" spans="1:13">
      <c r="A6" s="185" t="str">
        <f>IF(ISBLANK('Лист2-ЭЛЕМЕНТ'!A6),"",'Лист2-ЭЛЕМЕНТ'!A6)</f>
        <v/>
      </c>
      <c r="B6" s="185" t="str">
        <f>IF(ISBLANK('Лист2-ЭЛЕМЕНТ'!B6),"",'Лист2-ЭЛЕМЕНТ'!B6)</f>
        <v/>
      </c>
      <c r="C6" s="185" t="str">
        <f>IF(ISBLANK('Лист2-ЭЛЕМЕНТ'!C6),"",'Лист2-ЭЛЕМЕНТ'!C6)</f>
        <v/>
      </c>
      <c r="D6" s="186" t="str">
        <f>IF(ISBLANK('Лист2-ЭЛЕМЕНТ'!D6),"",'Лист2-ЭЛЕМЕНТ'!D6)</f>
        <v/>
      </c>
      <c r="E6" s="185" t="str">
        <f>IF(ISBLANK('Лист2-ЭЛЕМЕНТ'!Z6),"",'Лист2-ЭЛЕМЕНТ'!Z6)</f>
        <v/>
      </c>
      <c r="F6" s="187" t="str">
        <f>IF(ISBLANK('Лист2-ЭЛЕМЕНТ'!H6),"",'Лист2-ЭЛЕМЕНТ'!H6)</f>
        <v/>
      </c>
      <c r="G6" s="96" t="str">
        <f>IF(ISBLANK('Лист2-ЭЛЕМЕНТ'!BA6), "",'Лист2-ЭЛЕМЕНТ'!BA6)</f>
        <v/>
      </c>
      <c r="H6" s="185"/>
      <c r="I6" s="185"/>
      <c r="J6" s="186" t="s">
        <v>193</v>
      </c>
      <c r="K6" s="14"/>
      <c r="L6" s="14"/>
    </row>
    <row r="7" spans="1:13">
      <c r="A7" s="185" t="str">
        <f>IF(ISBLANK('Лист2-ЭЛЕМЕНТ'!A7),"",'Лист2-ЭЛЕМЕНТ'!A7)</f>
        <v/>
      </c>
      <c r="B7" s="185" t="str">
        <f>IF(ISBLANK('Лист2-ЭЛЕМЕНТ'!B7),"",'Лист2-ЭЛЕМЕНТ'!B7)</f>
        <v/>
      </c>
      <c r="C7" s="185" t="str">
        <f>IF(ISBLANK('Лист2-ЭЛЕМЕНТ'!C7),"",'Лист2-ЭЛЕМЕНТ'!C7)</f>
        <v/>
      </c>
      <c r="D7" s="186" t="str">
        <f>IF(ISBLANK('Лист2-ЭЛЕМЕНТ'!D7),"",'Лист2-ЭЛЕМЕНТ'!D7)</f>
        <v/>
      </c>
      <c r="E7" s="185" t="str">
        <f>IF(ISBLANK('Лист2-ЭЛЕМЕНТ'!Z7),"",'Лист2-ЭЛЕМЕНТ'!Z7)</f>
        <v/>
      </c>
      <c r="F7" s="187" t="str">
        <f>IF(ISBLANK('Лист2-ЭЛЕМЕНТ'!H7),"",'Лист2-ЭЛЕМЕНТ'!H7)</f>
        <v/>
      </c>
      <c r="G7" s="96" t="str">
        <f>IF(ISBLANK('Лист2-ЭЛЕМЕНТ'!BA7), "",'Лист2-ЭЛЕМЕНТ'!BA7)</f>
        <v/>
      </c>
      <c r="H7" s="185"/>
      <c r="I7" s="185"/>
      <c r="J7" s="186" t="s">
        <v>193</v>
      </c>
      <c r="K7" s="14"/>
      <c r="L7" s="14"/>
    </row>
    <row r="8" spans="1:13">
      <c r="A8" s="185" t="str">
        <f>IF(ISBLANK('Лист2-ЭЛЕМЕНТ'!A8),"",'Лист2-ЭЛЕМЕНТ'!A8)</f>
        <v/>
      </c>
      <c r="B8" s="185" t="str">
        <f>IF(ISBLANK('Лист2-ЭЛЕМЕНТ'!B8),"",'Лист2-ЭЛЕМЕНТ'!B8)</f>
        <v/>
      </c>
      <c r="C8" s="185" t="str">
        <f>IF(ISBLANK('Лист2-ЭЛЕМЕНТ'!C8),"",'Лист2-ЭЛЕМЕНТ'!C8)</f>
        <v/>
      </c>
      <c r="D8" s="186" t="str">
        <f>IF(ISBLANK('Лист2-ЭЛЕМЕНТ'!D8),"",'Лист2-ЭЛЕМЕНТ'!D8)</f>
        <v/>
      </c>
      <c r="E8" s="185" t="str">
        <f>IF(ISBLANK('Лист2-ЭЛЕМЕНТ'!Z8),"",'Лист2-ЭЛЕМЕНТ'!Z8)</f>
        <v/>
      </c>
      <c r="F8" s="187" t="str">
        <f>IF(ISBLANK('Лист2-ЭЛЕМЕНТ'!H8),"",'Лист2-ЭЛЕМЕНТ'!H8)</f>
        <v/>
      </c>
      <c r="G8" s="96" t="str">
        <f>IF(ISBLANK('Лист2-ЭЛЕМЕНТ'!BA8), "",'Лист2-ЭЛЕМЕНТ'!BA8)</f>
        <v/>
      </c>
      <c r="H8" s="185"/>
      <c r="I8" s="185"/>
      <c r="J8" s="186" t="s">
        <v>193</v>
      </c>
      <c r="K8" s="14"/>
      <c r="L8" s="14"/>
    </row>
    <row r="9" spans="1:13">
      <c r="A9" s="185" t="str">
        <f>IF(ISBLANK('Лист2-ЭЛЕМЕНТ'!A9),"",'Лист2-ЭЛЕМЕНТ'!A9)</f>
        <v/>
      </c>
      <c r="B9" s="185" t="str">
        <f>IF(ISBLANK('Лист2-ЭЛЕМЕНТ'!B9),"",'Лист2-ЭЛЕМЕНТ'!B9)</f>
        <v/>
      </c>
      <c r="C9" s="185" t="str">
        <f>IF(ISBLANK('Лист2-ЭЛЕМЕНТ'!C9),"",'Лист2-ЭЛЕМЕНТ'!C9)</f>
        <v/>
      </c>
      <c r="D9" s="186" t="str">
        <f>IF(ISBLANK('Лист2-ЭЛЕМЕНТ'!D9),"",'Лист2-ЭЛЕМЕНТ'!D9)</f>
        <v/>
      </c>
      <c r="E9" s="185" t="str">
        <f>IF(ISBLANK('Лист2-ЭЛЕМЕНТ'!Z9),"",'Лист2-ЭЛЕМЕНТ'!Z9)</f>
        <v/>
      </c>
      <c r="F9" s="187" t="str">
        <f>IF(ISBLANK('Лист2-ЭЛЕМЕНТ'!H9),"",'Лист2-ЭЛЕМЕНТ'!H9)</f>
        <v/>
      </c>
      <c r="G9" s="96" t="str">
        <f>IF(ISBLANK('Лист2-ЭЛЕМЕНТ'!BA9), "",'Лист2-ЭЛЕМЕНТ'!BA9)</f>
        <v/>
      </c>
      <c r="H9" s="185"/>
      <c r="I9" s="185"/>
      <c r="J9" s="186" t="s">
        <v>193</v>
      </c>
      <c r="K9" s="14"/>
      <c r="L9" s="14"/>
    </row>
    <row r="10" spans="1:13">
      <c r="A10" s="185" t="str">
        <f>IF(ISBLANK('Лист2-ЭЛЕМЕНТ'!A10),"",'Лист2-ЭЛЕМЕНТ'!A10)</f>
        <v/>
      </c>
      <c r="B10" s="185" t="str">
        <f>IF(ISBLANK('Лист2-ЭЛЕМЕНТ'!B10),"",'Лист2-ЭЛЕМЕНТ'!B10)</f>
        <v/>
      </c>
      <c r="C10" s="185" t="str">
        <f>IF(ISBLANK('Лист2-ЭЛЕМЕНТ'!C10),"",'Лист2-ЭЛЕМЕНТ'!C10)</f>
        <v/>
      </c>
      <c r="D10" s="186" t="str">
        <f>IF(ISBLANK('Лист2-ЭЛЕМЕНТ'!D10),"",'Лист2-ЭЛЕМЕНТ'!D10)</f>
        <v/>
      </c>
      <c r="E10" s="185" t="str">
        <f>IF(ISBLANK('Лист2-ЭЛЕМЕНТ'!Z10),"",'Лист2-ЭЛЕМЕНТ'!Z10)</f>
        <v/>
      </c>
      <c r="F10" s="187" t="str">
        <f>IF(ISBLANK('Лист2-ЭЛЕМЕНТ'!H10),"",'Лист2-ЭЛЕМЕНТ'!H10)</f>
        <v/>
      </c>
      <c r="G10" s="96" t="str">
        <f>IF(ISBLANK('Лист2-ЭЛЕМЕНТ'!BA10), "",'Лист2-ЭЛЕМЕНТ'!BA10)</f>
        <v/>
      </c>
      <c r="H10" s="185"/>
      <c r="I10" s="185"/>
      <c r="J10" s="186" t="s">
        <v>193</v>
      </c>
      <c r="K10" s="14"/>
      <c r="L10" s="14"/>
    </row>
    <row r="11" spans="1:13">
      <c r="A11" s="185" t="str">
        <f>IF(ISBLANK('Лист2-ЭЛЕМЕНТ'!A11),"",'Лист2-ЭЛЕМЕНТ'!A11)</f>
        <v/>
      </c>
      <c r="B11" s="185" t="str">
        <f>IF(ISBLANK('Лист2-ЭЛЕМЕНТ'!B11),"",'Лист2-ЭЛЕМЕНТ'!B11)</f>
        <v/>
      </c>
      <c r="C11" s="185" t="str">
        <f>IF(ISBLANK('Лист2-ЭЛЕМЕНТ'!C11),"",'Лист2-ЭЛЕМЕНТ'!C11)</f>
        <v/>
      </c>
      <c r="D11" s="186" t="str">
        <f>IF(ISBLANK('Лист2-ЭЛЕМЕНТ'!D11),"",'Лист2-ЭЛЕМЕНТ'!D11)</f>
        <v/>
      </c>
      <c r="E11" s="185" t="str">
        <f>IF(ISBLANK('Лист2-ЭЛЕМЕНТ'!Z11),"",'Лист2-ЭЛЕМЕНТ'!Z11)</f>
        <v/>
      </c>
      <c r="F11" s="187" t="str">
        <f>IF(ISBLANK('Лист2-ЭЛЕМЕНТ'!H11),"",'Лист2-ЭЛЕМЕНТ'!H11)</f>
        <v/>
      </c>
      <c r="G11" s="96" t="str">
        <f>IF(ISBLANK('Лист2-ЭЛЕМЕНТ'!BA11), "",'Лист2-ЭЛЕМЕНТ'!BA11)</f>
        <v/>
      </c>
      <c r="H11" s="185"/>
      <c r="I11" s="185"/>
      <c r="J11" s="186" t="s">
        <v>193</v>
      </c>
      <c r="K11" s="14"/>
      <c r="L11" s="14"/>
    </row>
    <row r="12" spans="1:13">
      <c r="A12" s="185" t="str">
        <f>IF(ISBLANK('Лист2-ЭЛЕМЕНТ'!A12),"",'Лист2-ЭЛЕМЕНТ'!A12)</f>
        <v/>
      </c>
      <c r="B12" s="185" t="str">
        <f>IF(ISBLANK('Лист2-ЭЛЕМЕНТ'!B12),"",'Лист2-ЭЛЕМЕНТ'!B12)</f>
        <v/>
      </c>
      <c r="C12" s="185" t="str">
        <f>IF(ISBLANK('Лист2-ЭЛЕМЕНТ'!C12),"",'Лист2-ЭЛЕМЕНТ'!C12)</f>
        <v/>
      </c>
      <c r="D12" s="186" t="str">
        <f>IF(ISBLANK('Лист2-ЭЛЕМЕНТ'!D12),"",'Лист2-ЭЛЕМЕНТ'!D12)</f>
        <v/>
      </c>
      <c r="E12" s="185" t="str">
        <f>IF(ISBLANK('Лист2-ЭЛЕМЕНТ'!Z12),"",'Лист2-ЭЛЕМЕНТ'!Z12)</f>
        <v/>
      </c>
      <c r="F12" s="187" t="str">
        <f>IF(ISBLANK('Лист2-ЭЛЕМЕНТ'!H12),"",'Лист2-ЭЛЕМЕНТ'!H12)</f>
        <v/>
      </c>
      <c r="G12" s="96" t="str">
        <f>IF(ISBLANK('Лист2-ЭЛЕМЕНТ'!BA12), "",'Лист2-ЭЛЕМЕНТ'!BA12)</f>
        <v/>
      </c>
      <c r="H12" s="185"/>
      <c r="I12" s="185"/>
      <c r="J12" s="186" t="s">
        <v>193</v>
      </c>
      <c r="K12" s="14"/>
      <c r="L12" s="14"/>
    </row>
    <row r="13" spans="1:13">
      <c r="A13" s="185" t="str">
        <f>IF(ISBLANK('Лист2-ЭЛЕМЕНТ'!A13),"",'Лист2-ЭЛЕМЕНТ'!A13)</f>
        <v/>
      </c>
      <c r="B13" s="185" t="str">
        <f>IF(ISBLANK('Лист2-ЭЛЕМЕНТ'!B13),"",'Лист2-ЭЛЕМЕНТ'!B13)</f>
        <v/>
      </c>
      <c r="C13" s="185" t="str">
        <f>IF(ISBLANK('Лист2-ЭЛЕМЕНТ'!C13),"",'Лист2-ЭЛЕМЕНТ'!C13)</f>
        <v/>
      </c>
      <c r="D13" s="186" t="str">
        <f>IF(ISBLANK('Лист2-ЭЛЕМЕНТ'!D13),"",'Лист2-ЭЛЕМЕНТ'!D13)</f>
        <v/>
      </c>
      <c r="E13" s="185" t="str">
        <f>IF(ISBLANK('Лист2-ЭЛЕМЕНТ'!Z13),"",'Лист2-ЭЛЕМЕНТ'!Z13)</f>
        <v/>
      </c>
      <c r="F13" s="187" t="str">
        <f>IF(ISBLANK('Лист2-ЭЛЕМЕНТ'!H13),"",'Лист2-ЭЛЕМЕНТ'!H13)</f>
        <v/>
      </c>
      <c r="G13" s="96" t="str">
        <f>IF(ISBLANK('Лист2-ЭЛЕМЕНТ'!BA13), "",'Лист2-ЭЛЕМЕНТ'!BA13)</f>
        <v/>
      </c>
      <c r="H13" s="185"/>
      <c r="I13" s="185"/>
      <c r="J13" s="186" t="s">
        <v>193</v>
      </c>
      <c r="K13" s="14"/>
      <c r="L13" s="14"/>
    </row>
    <row r="14" spans="1:13">
      <c r="A14" s="185" t="str">
        <f>IF(ISBLANK('Лист2-ЭЛЕМЕНТ'!A14),"",'Лист2-ЭЛЕМЕНТ'!A14)</f>
        <v/>
      </c>
      <c r="B14" s="185" t="str">
        <f>IF(ISBLANK('Лист2-ЭЛЕМЕНТ'!B14),"",'Лист2-ЭЛЕМЕНТ'!B14)</f>
        <v/>
      </c>
      <c r="C14" s="185" t="str">
        <f>IF(ISBLANK('Лист2-ЭЛЕМЕНТ'!C14),"",'Лист2-ЭЛЕМЕНТ'!C14)</f>
        <v/>
      </c>
      <c r="D14" s="186" t="str">
        <f>IF(ISBLANK('Лист2-ЭЛЕМЕНТ'!D14),"",'Лист2-ЭЛЕМЕНТ'!D14)</f>
        <v/>
      </c>
      <c r="E14" s="185" t="str">
        <f>IF(ISBLANK('Лист2-ЭЛЕМЕНТ'!Z14),"",'Лист2-ЭЛЕМЕНТ'!Z14)</f>
        <v/>
      </c>
      <c r="F14" s="187" t="str">
        <f>IF(ISBLANK('Лист2-ЭЛЕМЕНТ'!H14),"",'Лист2-ЭЛЕМЕНТ'!H14)</f>
        <v/>
      </c>
      <c r="G14" s="96" t="str">
        <f>IF(ISBLANK('Лист2-ЭЛЕМЕНТ'!BA14), "",'Лист2-ЭЛЕМЕНТ'!BA14)</f>
        <v/>
      </c>
      <c r="H14" s="185"/>
      <c r="I14" s="185"/>
      <c r="J14" s="186" t="s">
        <v>193</v>
      </c>
      <c r="K14" s="14"/>
      <c r="L14" s="14"/>
    </row>
    <row r="15" spans="1:13">
      <c r="A15" s="185" t="str">
        <f>IF(ISBLANK('Лист2-ЭЛЕМЕНТ'!A15),"",'Лист2-ЭЛЕМЕНТ'!A15)</f>
        <v/>
      </c>
      <c r="B15" s="185" t="str">
        <f>IF(ISBLANK('Лист2-ЭЛЕМЕНТ'!B15),"",'Лист2-ЭЛЕМЕНТ'!B15)</f>
        <v/>
      </c>
      <c r="C15" s="185" t="str">
        <f>IF(ISBLANK('Лист2-ЭЛЕМЕНТ'!C15),"",'Лист2-ЭЛЕМЕНТ'!C15)</f>
        <v/>
      </c>
      <c r="D15" s="186" t="str">
        <f>IF(ISBLANK('Лист2-ЭЛЕМЕНТ'!D15),"",'Лист2-ЭЛЕМЕНТ'!D15)</f>
        <v/>
      </c>
      <c r="E15" s="185" t="str">
        <f>IF(ISBLANK('Лист2-ЭЛЕМЕНТ'!Z15),"",'Лист2-ЭЛЕМЕНТ'!Z15)</f>
        <v/>
      </c>
      <c r="F15" s="187" t="str">
        <f>IF(ISBLANK('Лист2-ЭЛЕМЕНТ'!H15),"",'Лист2-ЭЛЕМЕНТ'!H15)</f>
        <v/>
      </c>
      <c r="G15" s="96" t="str">
        <f>IF(ISBLANK('Лист2-ЭЛЕМЕНТ'!BA15), "",'Лист2-ЭЛЕМЕНТ'!BA15)</f>
        <v/>
      </c>
      <c r="H15" s="185"/>
      <c r="I15" s="185"/>
      <c r="J15" s="186" t="s">
        <v>193</v>
      </c>
      <c r="K15" s="14"/>
      <c r="L15" s="14"/>
    </row>
    <row r="16" spans="1:13">
      <c r="A16" s="185" t="str">
        <f>IF(ISBLANK('Лист2-ЭЛЕМЕНТ'!A16),"",'Лист2-ЭЛЕМЕНТ'!A16)</f>
        <v/>
      </c>
      <c r="B16" s="185" t="str">
        <f>IF(ISBLANK('Лист2-ЭЛЕМЕНТ'!B16),"",'Лист2-ЭЛЕМЕНТ'!B16)</f>
        <v/>
      </c>
      <c r="C16" s="185" t="str">
        <f>IF(ISBLANK('Лист2-ЭЛЕМЕНТ'!C16),"",'Лист2-ЭЛЕМЕНТ'!C16)</f>
        <v/>
      </c>
      <c r="D16" s="186" t="str">
        <f>IF(ISBLANK('Лист2-ЭЛЕМЕНТ'!D16),"",'Лист2-ЭЛЕМЕНТ'!D16)</f>
        <v/>
      </c>
      <c r="E16" s="185" t="str">
        <f>IF(ISBLANK('Лист2-ЭЛЕМЕНТ'!Z16),"",'Лист2-ЭЛЕМЕНТ'!Z16)</f>
        <v/>
      </c>
      <c r="F16" s="187" t="str">
        <f>IF(ISBLANK('Лист2-ЭЛЕМЕНТ'!H16),"",'Лист2-ЭЛЕМЕНТ'!H16)</f>
        <v/>
      </c>
      <c r="G16" s="96" t="str">
        <f>IF(ISBLANK('Лист2-ЭЛЕМЕНТ'!BA16), "",'Лист2-ЭЛЕМЕНТ'!BA16)</f>
        <v/>
      </c>
      <c r="H16" s="185"/>
      <c r="I16" s="185"/>
      <c r="J16" s="186" t="s">
        <v>193</v>
      </c>
      <c r="K16" s="14"/>
      <c r="L16" s="14"/>
    </row>
    <row r="17" spans="1:12">
      <c r="A17" s="185" t="str">
        <f>IF(ISBLANK('Лист2-ЭЛЕМЕНТ'!A17),"",'Лист2-ЭЛЕМЕНТ'!A17)</f>
        <v/>
      </c>
      <c r="B17" s="185" t="str">
        <f>IF(ISBLANK('Лист2-ЭЛЕМЕНТ'!B17),"",'Лист2-ЭЛЕМЕНТ'!B17)</f>
        <v/>
      </c>
      <c r="C17" s="185" t="str">
        <f>IF(ISBLANK('Лист2-ЭЛЕМЕНТ'!C17),"",'Лист2-ЭЛЕМЕНТ'!C17)</f>
        <v/>
      </c>
      <c r="D17" s="186" t="str">
        <f>IF(ISBLANK('Лист2-ЭЛЕМЕНТ'!D17),"",'Лист2-ЭЛЕМЕНТ'!D17)</f>
        <v/>
      </c>
      <c r="E17" s="185" t="str">
        <f>IF(ISBLANK('Лист2-ЭЛЕМЕНТ'!Z17),"",'Лист2-ЭЛЕМЕНТ'!Z17)</f>
        <v/>
      </c>
      <c r="F17" s="187" t="str">
        <f>IF(ISBLANK('Лист2-ЭЛЕМЕНТ'!H17),"",'Лист2-ЭЛЕМЕНТ'!H17)</f>
        <v/>
      </c>
      <c r="G17" s="96" t="str">
        <f>IF(ISBLANK('Лист2-ЭЛЕМЕНТ'!BA17), "",'Лист2-ЭЛЕМЕНТ'!BA17)</f>
        <v/>
      </c>
      <c r="H17" s="185"/>
      <c r="I17" s="185"/>
      <c r="J17" s="186" t="s">
        <v>193</v>
      </c>
      <c r="K17" s="14"/>
      <c r="L17" s="14"/>
    </row>
    <row r="18" spans="1:12">
      <c r="A18" s="185" t="str">
        <f>IF(ISBLANK('Лист2-ЭЛЕМЕНТ'!A18),"",'Лист2-ЭЛЕМЕНТ'!A18)</f>
        <v/>
      </c>
      <c r="B18" s="185" t="str">
        <f>IF(ISBLANK('Лист2-ЭЛЕМЕНТ'!B18),"",'Лист2-ЭЛЕМЕНТ'!B18)</f>
        <v/>
      </c>
      <c r="C18" s="185" t="str">
        <f>IF(ISBLANK('Лист2-ЭЛЕМЕНТ'!C18),"",'Лист2-ЭЛЕМЕНТ'!C18)</f>
        <v/>
      </c>
      <c r="D18" s="186" t="str">
        <f>IF(ISBLANK('Лист2-ЭЛЕМЕНТ'!D18),"",'Лист2-ЭЛЕМЕНТ'!D18)</f>
        <v/>
      </c>
      <c r="E18" s="185" t="str">
        <f>IF(ISBLANK('Лист2-ЭЛЕМЕНТ'!Z18),"",'Лист2-ЭЛЕМЕНТ'!Z18)</f>
        <v/>
      </c>
      <c r="F18" s="187" t="str">
        <f>IF(ISBLANK('Лист2-ЭЛЕМЕНТ'!H18),"",'Лист2-ЭЛЕМЕНТ'!H18)</f>
        <v/>
      </c>
      <c r="G18" s="96" t="str">
        <f>IF(ISBLANK('Лист2-ЭЛЕМЕНТ'!BA18), "",'Лист2-ЭЛЕМЕНТ'!BA18)</f>
        <v/>
      </c>
      <c r="H18" s="185"/>
      <c r="I18" s="185"/>
      <c r="J18" s="186" t="s">
        <v>193</v>
      </c>
      <c r="K18" s="14"/>
      <c r="L18" s="14"/>
    </row>
    <row r="19" spans="1:12">
      <c r="A19" s="185" t="str">
        <f>IF(ISBLANK('Лист2-ЭЛЕМЕНТ'!A19),"",'Лист2-ЭЛЕМЕНТ'!A19)</f>
        <v/>
      </c>
      <c r="B19" s="185" t="str">
        <f>IF(ISBLANK('Лист2-ЭЛЕМЕНТ'!B19),"",'Лист2-ЭЛЕМЕНТ'!B19)</f>
        <v/>
      </c>
      <c r="C19" s="185" t="str">
        <f>IF(ISBLANK('Лист2-ЭЛЕМЕНТ'!C19),"",'Лист2-ЭЛЕМЕНТ'!C19)</f>
        <v/>
      </c>
      <c r="D19" s="186" t="str">
        <f>IF(ISBLANK('Лист2-ЭЛЕМЕНТ'!D19),"",'Лист2-ЭЛЕМЕНТ'!D19)</f>
        <v/>
      </c>
      <c r="E19" s="185" t="str">
        <f>IF(ISBLANK('Лист2-ЭЛЕМЕНТ'!Z19),"",'Лист2-ЭЛЕМЕНТ'!Z19)</f>
        <v/>
      </c>
      <c r="F19" s="187" t="str">
        <f>IF(ISBLANK('Лист2-ЭЛЕМЕНТ'!H19),"",'Лист2-ЭЛЕМЕНТ'!H19)</f>
        <v/>
      </c>
      <c r="G19" s="96" t="str">
        <f>IF(ISBLANK('Лист2-ЭЛЕМЕНТ'!BA19), "",'Лист2-ЭЛЕМЕНТ'!BA19)</f>
        <v/>
      </c>
      <c r="H19" s="185"/>
      <c r="I19" s="185"/>
      <c r="J19" s="186" t="s">
        <v>193</v>
      </c>
      <c r="K19" s="14"/>
      <c r="L19" s="14"/>
    </row>
    <row r="20" spans="1:12">
      <c r="A20" s="185" t="str">
        <f>IF(ISBLANK('Лист2-ЭЛЕМЕНТ'!A20),"",'Лист2-ЭЛЕМЕНТ'!A20)</f>
        <v/>
      </c>
      <c r="B20" s="185" t="str">
        <f>IF(ISBLANK('Лист2-ЭЛЕМЕНТ'!B20),"",'Лист2-ЭЛЕМЕНТ'!B20)</f>
        <v/>
      </c>
      <c r="C20" s="185" t="str">
        <f>IF(ISBLANK('Лист2-ЭЛЕМЕНТ'!C20),"",'Лист2-ЭЛЕМЕНТ'!C20)</f>
        <v/>
      </c>
      <c r="D20" s="186" t="str">
        <f>IF(ISBLANK('Лист2-ЭЛЕМЕНТ'!D20),"",'Лист2-ЭЛЕМЕНТ'!D20)</f>
        <v/>
      </c>
      <c r="E20" s="185" t="str">
        <f>IF(ISBLANK('Лист2-ЭЛЕМЕНТ'!Z20),"",'Лист2-ЭЛЕМЕНТ'!Z20)</f>
        <v/>
      </c>
      <c r="F20" s="187" t="str">
        <f>IF(ISBLANK('Лист2-ЭЛЕМЕНТ'!H20),"",'Лист2-ЭЛЕМЕНТ'!H20)</f>
        <v/>
      </c>
      <c r="G20" s="96" t="str">
        <f>IF(ISBLANK('Лист2-ЭЛЕМЕНТ'!BA20), "",'Лист2-ЭЛЕМЕНТ'!BA20)</f>
        <v/>
      </c>
      <c r="H20" s="185"/>
      <c r="I20" s="185"/>
      <c r="J20" s="186" t="s">
        <v>193</v>
      </c>
      <c r="K20" s="14"/>
      <c r="L20" s="14"/>
    </row>
  </sheetData>
  <autoFilter ref="A4:J5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R20"/>
  <sheetViews>
    <sheetView zoomScale="70" zoomScaleNormal="70" workbookViewId="0">
      <selection activeCell="B10" sqref="B10"/>
    </sheetView>
  </sheetViews>
  <sheetFormatPr defaultRowHeight="15" outlineLevelCol="1"/>
  <cols>
    <col min="1" max="1" width="28.28515625" style="103" customWidth="1"/>
    <col min="2" max="2" width="26.5703125" style="103" customWidth="1"/>
    <col min="3" max="3" width="30.28515625" style="103" bestFit="1" customWidth="1"/>
    <col min="4" max="4" width="11.42578125" style="103" customWidth="1"/>
    <col min="5" max="5" width="28.85546875" style="103" bestFit="1" customWidth="1"/>
    <col min="6" max="6" width="17.140625" style="103" customWidth="1"/>
    <col min="7" max="7" width="20.5703125" style="103" customWidth="1"/>
    <col min="8" max="8" width="34.28515625" style="103" customWidth="1"/>
    <col min="9" max="9" width="9.140625" style="103"/>
    <col min="10" max="10" width="14.7109375" style="103" customWidth="1"/>
    <col min="11" max="11" width="13" customWidth="1"/>
    <col min="13" max="13" width="10.28515625" bestFit="1" customWidth="1"/>
    <col min="14" max="14" width="10.28515625" style="24" bestFit="1" customWidth="1"/>
    <col min="15" max="15" width="10.28515625" style="24" customWidth="1"/>
    <col min="16" max="16" width="20.5703125" style="17" customWidth="1"/>
    <col min="17" max="17" width="11.42578125" style="17" customWidth="1"/>
    <col min="18" max="18" width="31.5703125" customWidth="1" outlineLevel="1"/>
  </cols>
  <sheetData>
    <row r="1" spans="1:18" ht="114" customHeight="1">
      <c r="A1" s="3" t="s">
        <v>114</v>
      </c>
      <c r="B1" s="3" t="s">
        <v>115</v>
      </c>
      <c r="C1" s="3" t="s">
        <v>116</v>
      </c>
      <c r="D1" s="3"/>
      <c r="E1" s="3" t="s">
        <v>7</v>
      </c>
      <c r="F1" s="191" t="s">
        <v>104</v>
      </c>
      <c r="G1" s="3" t="s">
        <v>104</v>
      </c>
      <c r="H1" s="3" t="s">
        <v>495</v>
      </c>
      <c r="I1" s="192"/>
      <c r="J1" s="3" t="s">
        <v>105</v>
      </c>
      <c r="K1" s="14"/>
      <c r="N1"/>
      <c r="O1"/>
      <c r="P1"/>
      <c r="Q1"/>
    </row>
    <row r="2" spans="1:18" ht="56.25" customHeight="1">
      <c r="A2" s="3"/>
      <c r="B2" s="3"/>
      <c r="C2" s="3"/>
      <c r="D2" s="3"/>
      <c r="E2" s="3" t="s">
        <v>117</v>
      </c>
      <c r="F2" s="191" t="s">
        <v>118</v>
      </c>
      <c r="G2" s="3" t="s">
        <v>119</v>
      </c>
      <c r="H2" s="3" t="s">
        <v>120</v>
      </c>
      <c r="I2" s="3" t="s">
        <v>121</v>
      </c>
      <c r="J2" s="3" t="s">
        <v>107</v>
      </c>
      <c r="K2" s="14"/>
      <c r="N2" s="236" t="s">
        <v>195</v>
      </c>
      <c r="O2" s="237"/>
      <c r="P2" s="237"/>
      <c r="Q2" s="237"/>
      <c r="R2" s="237"/>
    </row>
    <row r="3" spans="1:18" ht="50.25" customHeight="1">
      <c r="A3" s="3"/>
      <c r="B3" s="3"/>
      <c r="C3" s="3"/>
      <c r="D3" s="3"/>
      <c r="E3" s="9" t="s">
        <v>54</v>
      </c>
      <c r="F3" s="191" t="s">
        <v>122</v>
      </c>
      <c r="G3" s="3" t="s">
        <v>123</v>
      </c>
      <c r="H3" s="3" t="s">
        <v>124</v>
      </c>
      <c r="I3" s="192" t="s">
        <v>125</v>
      </c>
      <c r="J3" s="3" t="s">
        <v>126</v>
      </c>
      <c r="K3" s="14"/>
      <c r="N3"/>
      <c r="O3"/>
      <c r="P3"/>
      <c r="Q3"/>
    </row>
    <row r="4" spans="1:18" ht="45">
      <c r="A4" s="2" t="s">
        <v>0</v>
      </c>
      <c r="B4" s="2" t="s">
        <v>1</v>
      </c>
      <c r="C4" s="2" t="s">
        <v>2</v>
      </c>
      <c r="D4" s="1" t="s">
        <v>3</v>
      </c>
      <c r="E4" s="1" t="s">
        <v>80</v>
      </c>
      <c r="F4" s="193" t="s">
        <v>110</v>
      </c>
      <c r="G4" s="1" t="s">
        <v>111</v>
      </c>
      <c r="H4" s="1" t="s">
        <v>112</v>
      </c>
      <c r="I4" s="194"/>
      <c r="J4" s="1" t="s">
        <v>113</v>
      </c>
      <c r="K4" s="18" t="s">
        <v>50</v>
      </c>
      <c r="M4" s="26" t="s">
        <v>338</v>
      </c>
      <c r="N4" s="26" t="s">
        <v>339</v>
      </c>
      <c r="O4" s="26" t="s">
        <v>340</v>
      </c>
      <c r="P4" s="25" t="s">
        <v>194</v>
      </c>
      <c r="Q4" t="s">
        <v>363</v>
      </c>
      <c r="R4" s="29" t="s">
        <v>196</v>
      </c>
    </row>
    <row r="5" spans="1:18">
      <c r="A5" s="97" t="str">
        <f>IF(ISBLANK('Лист2-ЭЛЕМЕНТ'!A5),"",'Лист2-ЭЛЕМЕНТ'!A5)</f>
        <v/>
      </c>
      <c r="B5" s="97" t="str">
        <f>IF(ISBLANK('Лист2-ЭЛЕМЕНТ'!B5),"",'Лист2-ЭЛЕМЕНТ'!B5)</f>
        <v/>
      </c>
      <c r="C5" s="97" t="str">
        <f>IF(ISBLANK('Лист2-ЭЛЕМЕНТ'!C5),"",'Лист2-ЭЛЕМЕНТ'!C5)</f>
        <v/>
      </c>
      <c r="D5" s="98" t="str">
        <f>IF(ISBLANK('Лист2-ЭЛЕМЕНТ'!D5),"",'Лист2-ЭЛЕМЕНТ'!D5)</f>
        <v/>
      </c>
      <c r="E5" s="99" t="str">
        <f>IF(ISBLANK('Лист2-ЭЛЕМЕНТ'!Z5),"",'Лист2-ЭЛЕМЕНТ'!Z5)</f>
        <v/>
      </c>
      <c r="F5" s="100" t="str">
        <f>IF(ISBLANK('Лист2-ЭЛЕМЕНТ'!BB5), "",'Лист2-ЭЛЕМЕНТ'!BB5)</f>
        <v/>
      </c>
      <c r="G5" s="101" t="str">
        <f>IF(ISBLANK('Лист2-ЭЛЕМЕНТ'!BC5), "",'Лист2-ЭЛЕМЕНТ'!BC5)</f>
        <v/>
      </c>
      <c r="H5" s="99" t="str">
        <f>IF(ISBLANK('Лист2-ЭЛЕМЕНТ'!BD5), "",'Лист2-ЭЛЕМЕНТ'!BD5)</f>
        <v/>
      </c>
      <c r="I5" s="99"/>
      <c r="J5" s="102" t="s">
        <v>560</v>
      </c>
      <c r="K5" t="str">
        <f>IF('Лист2-ЭЛЕМЕНТ'!BA5&lt;&gt;0,'Лист2-ЭЛЕМЕНТ'!BA5,"")</f>
        <v/>
      </c>
      <c r="M5" t="str">
        <f>CONCATENATE('Лист2-ЭЛЕМЕНТ'!D5," ",'Лист2-ЭЛЕМЕНТ'!F5, " ",'Лист2-ЭЛЕМЕНТ'!AF5)</f>
        <v xml:space="preserve">  </v>
      </c>
      <c r="N5" s="22">
        <f>'Лист2-ЭЛЕМЕНТ'!D5</f>
        <v>0</v>
      </c>
      <c r="O5" s="23">
        <f>'Лист2-ЭЛЕМЕНТ'!F5</f>
        <v>0</v>
      </c>
      <c r="P5" s="21"/>
      <c r="Q5" s="21">
        <f>IF(M5&lt;&gt;0, VLOOKUP(M5,таблСпециф[[1]:[Заполнить вручную]],4,FALSE), "Не-а")</f>
        <v>0</v>
      </c>
      <c r="R5" t="str">
        <f>IF(N5&lt;&gt;N4,"ИСТИНА","ЛОЖЬ")</f>
        <v>ИСТИНА</v>
      </c>
    </row>
    <row r="6" spans="1:18">
      <c r="A6" s="97" t="str">
        <f>IF(ISBLANK('Лист2-ЭЛЕМЕНТ'!A6),"",'Лист2-ЭЛЕМЕНТ'!A6)</f>
        <v/>
      </c>
      <c r="B6" s="97" t="str">
        <f>IF(ISBLANK('Лист2-ЭЛЕМЕНТ'!B6),"",'Лист2-ЭЛЕМЕНТ'!B6)</f>
        <v/>
      </c>
      <c r="C6" s="97" t="str">
        <f>IF(ISBLANK('Лист2-ЭЛЕМЕНТ'!C6),"",'Лист2-ЭЛЕМЕНТ'!C6)</f>
        <v/>
      </c>
      <c r="D6" s="98" t="str">
        <f>IF(ISBLANK('Лист2-ЭЛЕМЕНТ'!D6),"",'Лист2-ЭЛЕМЕНТ'!D6)</f>
        <v/>
      </c>
      <c r="E6" s="99" t="str">
        <f>IF(ISBLANK('Лист2-ЭЛЕМЕНТ'!Z6),"",'Лист2-ЭЛЕМЕНТ'!Z6)</f>
        <v/>
      </c>
      <c r="F6" s="100" t="str">
        <f>IF(ISBLANK('Лист2-ЭЛЕМЕНТ'!BB6), "",'Лист2-ЭЛЕМЕНТ'!BB6)</f>
        <v/>
      </c>
      <c r="G6" s="101" t="str">
        <f>IF(ISBLANK('Лист2-ЭЛЕМЕНТ'!BC6), "",'Лист2-ЭЛЕМЕНТ'!BC6)</f>
        <v/>
      </c>
      <c r="H6" s="99" t="str">
        <f>IF(ISBLANK('Лист2-ЭЛЕМЕНТ'!BD6), "",'Лист2-ЭЛЕМЕНТ'!BD6)</f>
        <v/>
      </c>
      <c r="I6" s="99"/>
      <c r="J6" s="102" t="s">
        <v>560</v>
      </c>
      <c r="K6" t="str">
        <f>IF('Лист2-ЭЛЕМЕНТ'!BA6&lt;&gt;0,'Лист2-ЭЛЕМЕНТ'!BA6,"")</f>
        <v/>
      </c>
      <c r="M6" t="str">
        <f>CONCATENATE('Лист2-ЭЛЕМЕНТ'!D6," ",'Лист2-ЭЛЕМЕНТ'!F6, " ",'Лист2-ЭЛЕМЕНТ'!AF6)</f>
        <v xml:space="preserve">  </v>
      </c>
      <c r="N6" s="22">
        <f>'Лист2-ЭЛЕМЕНТ'!D6</f>
        <v>0</v>
      </c>
      <c r="O6" s="23">
        <f>'Лист2-ЭЛЕМЕНТ'!F6</f>
        <v>0</v>
      </c>
      <c r="P6" s="21"/>
      <c r="Q6" s="21">
        <f>IF(M6&lt;&gt;0, VLOOKUP(M6,таблСпециф[[1]:[Заполнить вручную]],4,FALSE), "Не-а")</f>
        <v>0</v>
      </c>
      <c r="R6" t="str">
        <f t="shared" ref="R6:R19" si="0">IF(N6&lt;&gt;N5,"ИСТИНА","ЛОЖЬ")</f>
        <v>ЛОЖЬ</v>
      </c>
    </row>
    <row r="7" spans="1:18">
      <c r="A7" s="97" t="str">
        <f>IF(ISBLANK('Лист2-ЭЛЕМЕНТ'!A7),"",'Лист2-ЭЛЕМЕНТ'!A7)</f>
        <v/>
      </c>
      <c r="B7" s="97" t="str">
        <f>IF(ISBLANK('Лист2-ЭЛЕМЕНТ'!B7),"",'Лист2-ЭЛЕМЕНТ'!B7)</f>
        <v/>
      </c>
      <c r="C7" s="97" t="str">
        <f>IF(ISBLANK('Лист2-ЭЛЕМЕНТ'!C7),"",'Лист2-ЭЛЕМЕНТ'!C7)</f>
        <v/>
      </c>
      <c r="D7" s="98" t="str">
        <f>IF(ISBLANK('Лист2-ЭЛЕМЕНТ'!D7),"",'Лист2-ЭЛЕМЕНТ'!D7)</f>
        <v/>
      </c>
      <c r="E7" s="99" t="str">
        <f>IF(ISBLANK('Лист2-ЭЛЕМЕНТ'!Z7),"",'Лист2-ЭЛЕМЕНТ'!Z7)</f>
        <v/>
      </c>
      <c r="F7" s="100" t="str">
        <f>IF(ISBLANK('Лист2-ЭЛЕМЕНТ'!BB7), "",'Лист2-ЭЛЕМЕНТ'!BB7)</f>
        <v/>
      </c>
      <c r="G7" s="101" t="str">
        <f>IF(ISBLANK('Лист2-ЭЛЕМЕНТ'!BC7), "",'Лист2-ЭЛЕМЕНТ'!BC7)</f>
        <v/>
      </c>
      <c r="H7" s="99" t="str">
        <f>IF(ISBLANK('Лист2-ЭЛЕМЕНТ'!BD7), "",'Лист2-ЭЛЕМЕНТ'!BD7)</f>
        <v/>
      </c>
      <c r="I7" s="99"/>
      <c r="J7" s="102" t="s">
        <v>560</v>
      </c>
      <c r="K7" t="str">
        <f>IF('Лист2-ЭЛЕМЕНТ'!BA7&lt;&gt;0,'Лист2-ЭЛЕМЕНТ'!BA7,"")</f>
        <v/>
      </c>
      <c r="M7" t="str">
        <f>CONCATENATE('Лист2-ЭЛЕМЕНТ'!D7," ",'Лист2-ЭЛЕМЕНТ'!F7, " ",'Лист2-ЭЛЕМЕНТ'!AF7)</f>
        <v xml:space="preserve">  </v>
      </c>
      <c r="N7" s="22">
        <f>'Лист2-ЭЛЕМЕНТ'!D7</f>
        <v>0</v>
      </c>
      <c r="O7" s="23">
        <f>'Лист2-ЭЛЕМЕНТ'!F7</f>
        <v>0</v>
      </c>
      <c r="P7" s="21"/>
      <c r="Q7" s="21">
        <f>IF(M7&lt;&gt;0, VLOOKUP(M7,таблСпециф[[1]:[Заполнить вручную]],4,FALSE), "Не-а")</f>
        <v>0</v>
      </c>
      <c r="R7" t="str">
        <f t="shared" si="0"/>
        <v>ЛОЖЬ</v>
      </c>
    </row>
    <row r="8" spans="1:18">
      <c r="A8" s="97" t="str">
        <f>IF(ISBLANK('Лист2-ЭЛЕМЕНТ'!A8),"",'Лист2-ЭЛЕМЕНТ'!A8)</f>
        <v/>
      </c>
      <c r="B8" s="97" t="str">
        <f>IF(ISBLANK('Лист2-ЭЛЕМЕНТ'!B8),"",'Лист2-ЭЛЕМЕНТ'!B8)</f>
        <v/>
      </c>
      <c r="C8" s="97" t="str">
        <f>IF(ISBLANK('Лист2-ЭЛЕМЕНТ'!C8),"",'Лист2-ЭЛЕМЕНТ'!C8)</f>
        <v/>
      </c>
      <c r="D8" s="98" t="str">
        <f>IF(ISBLANK('Лист2-ЭЛЕМЕНТ'!D8),"",'Лист2-ЭЛЕМЕНТ'!D8)</f>
        <v/>
      </c>
      <c r="E8" s="99" t="str">
        <f>IF(ISBLANK('Лист2-ЭЛЕМЕНТ'!Z8),"",'Лист2-ЭЛЕМЕНТ'!Z8)</f>
        <v/>
      </c>
      <c r="F8" s="100" t="str">
        <f>IF(ISBLANK('Лист2-ЭЛЕМЕНТ'!BB8), "",'Лист2-ЭЛЕМЕНТ'!BB8)</f>
        <v/>
      </c>
      <c r="G8" s="101" t="str">
        <f>IF(ISBLANK('Лист2-ЭЛЕМЕНТ'!BC8), "",'Лист2-ЭЛЕМЕНТ'!BC8)</f>
        <v/>
      </c>
      <c r="H8" s="99" t="str">
        <f>IF(ISBLANK('Лист2-ЭЛЕМЕНТ'!BD8), "",'Лист2-ЭЛЕМЕНТ'!BD8)</f>
        <v/>
      </c>
      <c r="I8" s="99"/>
      <c r="J8" s="102" t="s">
        <v>560</v>
      </c>
      <c r="K8" t="str">
        <f>IF('Лист2-ЭЛЕМЕНТ'!BA8&lt;&gt;0,'Лист2-ЭЛЕМЕНТ'!BA8,"")</f>
        <v/>
      </c>
      <c r="M8" t="str">
        <f>CONCATENATE('Лист2-ЭЛЕМЕНТ'!D8," ",'Лист2-ЭЛЕМЕНТ'!F8, " ",'Лист2-ЭЛЕМЕНТ'!AF8)</f>
        <v xml:space="preserve">  </v>
      </c>
      <c r="N8" s="22">
        <f>'Лист2-ЭЛЕМЕНТ'!D8</f>
        <v>0</v>
      </c>
      <c r="O8" s="23">
        <f>'Лист2-ЭЛЕМЕНТ'!F8</f>
        <v>0</v>
      </c>
      <c r="P8" s="21"/>
      <c r="Q8" s="21">
        <f>IF(M8&lt;&gt;0, VLOOKUP(M8,таблСпециф[[1]:[Заполнить вручную]],4,FALSE), "Не-а")</f>
        <v>0</v>
      </c>
      <c r="R8" t="str">
        <f t="shared" si="0"/>
        <v>ЛОЖЬ</v>
      </c>
    </row>
    <row r="9" spans="1:18">
      <c r="A9" s="97" t="str">
        <f>IF(ISBLANK('Лист2-ЭЛЕМЕНТ'!A9),"",'Лист2-ЭЛЕМЕНТ'!A9)</f>
        <v/>
      </c>
      <c r="B9" s="97" t="str">
        <f>IF(ISBLANK('Лист2-ЭЛЕМЕНТ'!B9),"",'Лист2-ЭЛЕМЕНТ'!B9)</f>
        <v/>
      </c>
      <c r="C9" s="97" t="str">
        <f>IF(ISBLANK('Лист2-ЭЛЕМЕНТ'!C9),"",'Лист2-ЭЛЕМЕНТ'!C9)</f>
        <v/>
      </c>
      <c r="D9" s="98" t="str">
        <f>IF(ISBLANK('Лист2-ЭЛЕМЕНТ'!D9),"",'Лист2-ЭЛЕМЕНТ'!D9)</f>
        <v/>
      </c>
      <c r="E9" s="99" t="str">
        <f>IF(ISBLANK('Лист2-ЭЛЕМЕНТ'!Z9),"",'Лист2-ЭЛЕМЕНТ'!Z9)</f>
        <v/>
      </c>
      <c r="F9" s="100" t="str">
        <f>IF(ISBLANK('Лист2-ЭЛЕМЕНТ'!BB9), "",'Лист2-ЭЛЕМЕНТ'!BB9)</f>
        <v/>
      </c>
      <c r="G9" s="101" t="str">
        <f>IF(ISBLANK('Лист2-ЭЛЕМЕНТ'!BC9), "",'Лист2-ЭЛЕМЕНТ'!BC9)</f>
        <v/>
      </c>
      <c r="H9" s="99" t="str">
        <f>IF(ISBLANK('Лист2-ЭЛЕМЕНТ'!BD9), "",'Лист2-ЭЛЕМЕНТ'!BD9)</f>
        <v/>
      </c>
      <c r="I9" s="99"/>
      <c r="J9" s="102" t="s">
        <v>560</v>
      </c>
      <c r="K9" t="str">
        <f>IF('Лист2-ЭЛЕМЕНТ'!BA9&lt;&gt;0,'Лист2-ЭЛЕМЕНТ'!BA9,"")</f>
        <v/>
      </c>
      <c r="M9" t="str">
        <f>CONCATENATE('Лист2-ЭЛЕМЕНТ'!D9," ",'Лист2-ЭЛЕМЕНТ'!F9, " ",'Лист2-ЭЛЕМЕНТ'!AF9)</f>
        <v xml:space="preserve">  </v>
      </c>
      <c r="N9" s="22">
        <f>'Лист2-ЭЛЕМЕНТ'!D9</f>
        <v>0</v>
      </c>
      <c r="O9" s="23">
        <f>'Лист2-ЭЛЕМЕНТ'!F9</f>
        <v>0</v>
      </c>
      <c r="P9" s="21"/>
      <c r="Q9" s="21">
        <f>IF(M9&lt;&gt;0, VLOOKUP(M9,таблСпециф[[1]:[Заполнить вручную]],4,FALSE), "Не-а")</f>
        <v>0</v>
      </c>
      <c r="R9" t="str">
        <f t="shared" si="0"/>
        <v>ЛОЖЬ</v>
      </c>
    </row>
    <row r="10" spans="1:18">
      <c r="A10" s="97" t="str">
        <f>IF(ISBLANK('Лист2-ЭЛЕМЕНТ'!A10),"",'Лист2-ЭЛЕМЕНТ'!A10)</f>
        <v/>
      </c>
      <c r="B10" s="97" t="str">
        <f>IF(ISBLANK('Лист2-ЭЛЕМЕНТ'!B10),"",'Лист2-ЭЛЕМЕНТ'!B10)</f>
        <v/>
      </c>
      <c r="C10" s="97" t="str">
        <f>IF(ISBLANK('Лист2-ЭЛЕМЕНТ'!C10),"",'Лист2-ЭЛЕМЕНТ'!C10)</f>
        <v/>
      </c>
      <c r="D10" s="98" t="str">
        <f>IF(ISBLANK('Лист2-ЭЛЕМЕНТ'!D10),"",'Лист2-ЭЛЕМЕНТ'!D10)</f>
        <v/>
      </c>
      <c r="E10" s="99" t="str">
        <f>IF(ISBLANK('Лист2-ЭЛЕМЕНТ'!Z10),"",'Лист2-ЭЛЕМЕНТ'!Z10)</f>
        <v/>
      </c>
      <c r="F10" s="100" t="str">
        <f>IF(ISBLANK('Лист2-ЭЛЕМЕНТ'!BB10), "",'Лист2-ЭЛЕМЕНТ'!BB10)</f>
        <v/>
      </c>
      <c r="G10" s="101" t="str">
        <f>IF(ISBLANK('Лист2-ЭЛЕМЕНТ'!BC10), "",'Лист2-ЭЛЕМЕНТ'!BC10)</f>
        <v/>
      </c>
      <c r="H10" s="99" t="str">
        <f>IF(ISBLANK('Лист2-ЭЛЕМЕНТ'!BD10), "",'Лист2-ЭЛЕМЕНТ'!BD10)</f>
        <v/>
      </c>
      <c r="I10" s="99"/>
      <c r="J10" s="102" t="s">
        <v>560</v>
      </c>
      <c r="K10" t="str">
        <f>IF('Лист2-ЭЛЕМЕНТ'!BA10&lt;&gt;0,'Лист2-ЭЛЕМЕНТ'!BA10,"")</f>
        <v/>
      </c>
      <c r="M10" t="str">
        <f>CONCATENATE('Лист2-ЭЛЕМЕНТ'!D10," ",'Лист2-ЭЛЕМЕНТ'!F10, " ",'Лист2-ЭЛЕМЕНТ'!AF10)</f>
        <v xml:space="preserve">  </v>
      </c>
      <c r="N10" s="22">
        <f>'Лист2-ЭЛЕМЕНТ'!D10</f>
        <v>0</v>
      </c>
      <c r="O10" s="23">
        <f>'Лист2-ЭЛЕМЕНТ'!F10</f>
        <v>0</v>
      </c>
      <c r="P10" s="21"/>
      <c r="Q10" s="21">
        <f>IF(M10&lt;&gt;0, VLOOKUP(M10,таблСпециф[[1]:[Заполнить вручную]],4,FALSE), "Не-а")</f>
        <v>0</v>
      </c>
      <c r="R10" t="str">
        <f t="shared" si="0"/>
        <v>ЛОЖЬ</v>
      </c>
    </row>
    <row r="11" spans="1:18">
      <c r="A11" s="97" t="str">
        <f>IF(ISBLANK('Лист2-ЭЛЕМЕНТ'!A11),"",'Лист2-ЭЛЕМЕНТ'!A11)</f>
        <v/>
      </c>
      <c r="B11" s="97" t="str">
        <f>IF(ISBLANK('Лист2-ЭЛЕМЕНТ'!B11),"",'Лист2-ЭЛЕМЕНТ'!B11)</f>
        <v/>
      </c>
      <c r="C11" s="97" t="str">
        <f>IF(ISBLANK('Лист2-ЭЛЕМЕНТ'!C11),"",'Лист2-ЭЛЕМЕНТ'!C11)</f>
        <v/>
      </c>
      <c r="D11" s="98" t="str">
        <f>IF(ISBLANK('Лист2-ЭЛЕМЕНТ'!D11),"",'Лист2-ЭЛЕМЕНТ'!D11)</f>
        <v/>
      </c>
      <c r="E11" s="99" t="str">
        <f>IF(ISBLANK('Лист2-ЭЛЕМЕНТ'!Z11),"",'Лист2-ЭЛЕМЕНТ'!Z11)</f>
        <v/>
      </c>
      <c r="F11" s="100" t="str">
        <f>IF(ISBLANK('Лист2-ЭЛЕМЕНТ'!BB11), "",'Лист2-ЭЛЕМЕНТ'!BB11)</f>
        <v/>
      </c>
      <c r="G11" s="101" t="str">
        <f>IF(ISBLANK('Лист2-ЭЛЕМЕНТ'!BC11), "",'Лист2-ЭЛЕМЕНТ'!BC11)</f>
        <v/>
      </c>
      <c r="H11" s="99" t="str">
        <f>IF(ISBLANK('Лист2-ЭЛЕМЕНТ'!BD11), "",'Лист2-ЭЛЕМЕНТ'!BD11)</f>
        <v/>
      </c>
      <c r="I11" s="99"/>
      <c r="J11" s="102" t="s">
        <v>560</v>
      </c>
      <c r="K11" t="str">
        <f>IF('Лист2-ЭЛЕМЕНТ'!BA11&lt;&gt;0,'Лист2-ЭЛЕМЕНТ'!BA11,"")</f>
        <v/>
      </c>
      <c r="M11" t="str">
        <f>CONCATENATE('Лист2-ЭЛЕМЕНТ'!D11," ",'Лист2-ЭЛЕМЕНТ'!F11, " ",'Лист2-ЭЛЕМЕНТ'!AF11)</f>
        <v xml:space="preserve">  </v>
      </c>
      <c r="N11" s="22">
        <f>'Лист2-ЭЛЕМЕНТ'!D11</f>
        <v>0</v>
      </c>
      <c r="O11" s="23">
        <f>'Лист2-ЭЛЕМЕНТ'!F11</f>
        <v>0</v>
      </c>
      <c r="P11" s="21"/>
      <c r="Q11" s="21">
        <f>IF(M11&lt;&gt;0, VLOOKUP(M11,таблСпециф[[1]:[Заполнить вручную]],4,FALSE), "Не-а")</f>
        <v>0</v>
      </c>
      <c r="R11" t="str">
        <f t="shared" si="0"/>
        <v>ЛОЖЬ</v>
      </c>
    </row>
    <row r="12" spans="1:18">
      <c r="A12" s="97" t="str">
        <f>IF(ISBLANK('Лист2-ЭЛЕМЕНТ'!A12),"",'Лист2-ЭЛЕМЕНТ'!A12)</f>
        <v/>
      </c>
      <c r="B12" s="97" t="str">
        <f>IF(ISBLANK('Лист2-ЭЛЕМЕНТ'!B12),"",'Лист2-ЭЛЕМЕНТ'!B12)</f>
        <v/>
      </c>
      <c r="C12" s="97" t="str">
        <f>IF(ISBLANK('Лист2-ЭЛЕМЕНТ'!C12),"",'Лист2-ЭЛЕМЕНТ'!C12)</f>
        <v/>
      </c>
      <c r="D12" s="98" t="str">
        <f>IF(ISBLANK('Лист2-ЭЛЕМЕНТ'!D12),"",'Лист2-ЭЛЕМЕНТ'!D12)</f>
        <v/>
      </c>
      <c r="E12" s="99" t="str">
        <f>IF(ISBLANK('Лист2-ЭЛЕМЕНТ'!Z12),"",'Лист2-ЭЛЕМЕНТ'!Z12)</f>
        <v/>
      </c>
      <c r="F12" s="100" t="str">
        <f>IF(ISBLANK('Лист2-ЭЛЕМЕНТ'!BB12), "",'Лист2-ЭЛЕМЕНТ'!BB12)</f>
        <v/>
      </c>
      <c r="G12" s="101" t="str">
        <f>IF(ISBLANK('Лист2-ЭЛЕМЕНТ'!BC12), "",'Лист2-ЭЛЕМЕНТ'!BC12)</f>
        <v/>
      </c>
      <c r="H12" s="99" t="str">
        <f>IF(ISBLANK('Лист2-ЭЛЕМЕНТ'!BD12), "",'Лист2-ЭЛЕМЕНТ'!BD12)</f>
        <v/>
      </c>
      <c r="I12" s="99"/>
      <c r="J12" s="102" t="s">
        <v>560</v>
      </c>
      <c r="K12" t="str">
        <f>IF('Лист2-ЭЛЕМЕНТ'!BA12&lt;&gt;0,'Лист2-ЭЛЕМЕНТ'!BA12,"")</f>
        <v/>
      </c>
      <c r="M12" t="str">
        <f>CONCATENATE('Лист2-ЭЛЕМЕНТ'!D12," ",'Лист2-ЭЛЕМЕНТ'!F12, " ",'Лист2-ЭЛЕМЕНТ'!AF12)</f>
        <v xml:space="preserve">  </v>
      </c>
      <c r="N12" s="22">
        <f>'Лист2-ЭЛЕМЕНТ'!D12</f>
        <v>0</v>
      </c>
      <c r="O12" s="23">
        <f>'Лист2-ЭЛЕМЕНТ'!F12</f>
        <v>0</v>
      </c>
      <c r="P12" s="21"/>
      <c r="Q12" s="21">
        <f>IF(M12&lt;&gt;0, VLOOKUP(M12,таблСпециф[[1]:[Заполнить вручную]],4,FALSE), "Не-а")</f>
        <v>0</v>
      </c>
      <c r="R12" t="str">
        <f t="shared" si="0"/>
        <v>ЛОЖЬ</v>
      </c>
    </row>
    <row r="13" spans="1:18">
      <c r="A13" s="97" t="str">
        <f>IF(ISBLANK('Лист2-ЭЛЕМЕНТ'!A13),"",'Лист2-ЭЛЕМЕНТ'!A13)</f>
        <v/>
      </c>
      <c r="B13" s="97" t="str">
        <f>IF(ISBLANK('Лист2-ЭЛЕМЕНТ'!B13),"",'Лист2-ЭЛЕМЕНТ'!B13)</f>
        <v/>
      </c>
      <c r="C13" s="97" t="str">
        <f>IF(ISBLANK('Лист2-ЭЛЕМЕНТ'!C13),"",'Лист2-ЭЛЕМЕНТ'!C13)</f>
        <v/>
      </c>
      <c r="D13" s="98" t="str">
        <f>IF(ISBLANK('Лист2-ЭЛЕМЕНТ'!D13),"",'Лист2-ЭЛЕМЕНТ'!D13)</f>
        <v/>
      </c>
      <c r="E13" s="99" t="str">
        <f>IF(ISBLANK('Лист2-ЭЛЕМЕНТ'!Z13),"",'Лист2-ЭЛЕМЕНТ'!Z13)</f>
        <v/>
      </c>
      <c r="F13" s="100" t="str">
        <f>IF(ISBLANK('Лист2-ЭЛЕМЕНТ'!BB13), "",'Лист2-ЭЛЕМЕНТ'!BB13)</f>
        <v/>
      </c>
      <c r="G13" s="101" t="str">
        <f>IF(ISBLANK('Лист2-ЭЛЕМЕНТ'!BC13), "",'Лист2-ЭЛЕМЕНТ'!BC13)</f>
        <v/>
      </c>
      <c r="H13" s="99" t="str">
        <f>IF(ISBLANK('Лист2-ЭЛЕМЕНТ'!BD13), "",'Лист2-ЭЛЕМЕНТ'!BD13)</f>
        <v/>
      </c>
      <c r="I13" s="99"/>
      <c r="J13" s="102" t="s">
        <v>560</v>
      </c>
      <c r="K13" t="str">
        <f>IF('Лист2-ЭЛЕМЕНТ'!BA13&lt;&gt;0,'Лист2-ЭЛЕМЕНТ'!BA13,"")</f>
        <v/>
      </c>
      <c r="M13" t="str">
        <f>CONCATENATE('Лист2-ЭЛЕМЕНТ'!D13," ",'Лист2-ЭЛЕМЕНТ'!F13, " ",'Лист2-ЭЛЕМЕНТ'!AF13)</f>
        <v xml:space="preserve">  </v>
      </c>
      <c r="N13" s="22">
        <f>'Лист2-ЭЛЕМЕНТ'!D13</f>
        <v>0</v>
      </c>
      <c r="O13" s="23">
        <f>'Лист2-ЭЛЕМЕНТ'!F13</f>
        <v>0</v>
      </c>
      <c r="P13" s="21"/>
      <c r="Q13" s="21">
        <f>IF(M13&lt;&gt;0, VLOOKUP(M13,таблСпециф[[1]:[Заполнить вручную]],4,FALSE), "Не-а")</f>
        <v>0</v>
      </c>
      <c r="R13" t="str">
        <f t="shared" si="0"/>
        <v>ЛОЖЬ</v>
      </c>
    </row>
    <row r="14" spans="1:18">
      <c r="A14" s="97" t="str">
        <f>IF(ISBLANK('Лист2-ЭЛЕМЕНТ'!A14),"",'Лист2-ЭЛЕМЕНТ'!A14)</f>
        <v/>
      </c>
      <c r="B14" s="97" t="str">
        <f>IF(ISBLANK('Лист2-ЭЛЕМЕНТ'!B14),"",'Лист2-ЭЛЕМЕНТ'!B14)</f>
        <v/>
      </c>
      <c r="C14" s="97" t="str">
        <f>IF(ISBLANK('Лист2-ЭЛЕМЕНТ'!C14),"",'Лист2-ЭЛЕМЕНТ'!C14)</f>
        <v/>
      </c>
      <c r="D14" s="98" t="str">
        <f>IF(ISBLANK('Лист2-ЭЛЕМЕНТ'!D14),"",'Лист2-ЭЛЕМЕНТ'!D14)</f>
        <v/>
      </c>
      <c r="E14" s="99" t="str">
        <f>IF(ISBLANK('Лист2-ЭЛЕМЕНТ'!Z14),"",'Лист2-ЭЛЕМЕНТ'!Z14)</f>
        <v/>
      </c>
      <c r="F14" s="100" t="str">
        <f>IF(ISBLANK('Лист2-ЭЛЕМЕНТ'!BB14), "",'Лист2-ЭЛЕМЕНТ'!BB14)</f>
        <v/>
      </c>
      <c r="G14" s="101" t="str">
        <f>IF(ISBLANK('Лист2-ЭЛЕМЕНТ'!BC14), "",'Лист2-ЭЛЕМЕНТ'!BC14)</f>
        <v/>
      </c>
      <c r="H14" s="99" t="str">
        <f>IF(ISBLANK('Лист2-ЭЛЕМЕНТ'!BD14), "",'Лист2-ЭЛЕМЕНТ'!BD14)</f>
        <v/>
      </c>
      <c r="I14" s="99"/>
      <c r="J14" s="102" t="s">
        <v>560</v>
      </c>
      <c r="K14" t="str">
        <f>IF('Лист2-ЭЛЕМЕНТ'!BA14&lt;&gt;0,'Лист2-ЭЛЕМЕНТ'!BA14,"")</f>
        <v/>
      </c>
      <c r="M14" t="str">
        <f>CONCATENATE('Лист2-ЭЛЕМЕНТ'!D14," ",'Лист2-ЭЛЕМЕНТ'!F14, " ",'Лист2-ЭЛЕМЕНТ'!AF14)</f>
        <v xml:space="preserve">  </v>
      </c>
      <c r="N14" s="22">
        <f>'Лист2-ЭЛЕМЕНТ'!D14</f>
        <v>0</v>
      </c>
      <c r="O14" s="23">
        <f>'Лист2-ЭЛЕМЕНТ'!F14</f>
        <v>0</v>
      </c>
      <c r="P14" s="21"/>
      <c r="Q14" s="21">
        <f>IF(M14&lt;&gt;0, VLOOKUP(M14,таблСпециф[[1]:[Заполнить вручную]],4,FALSE), "Не-а")</f>
        <v>0</v>
      </c>
      <c r="R14" t="str">
        <f t="shared" si="0"/>
        <v>ЛОЖЬ</v>
      </c>
    </row>
    <row r="15" spans="1:18">
      <c r="A15" s="97" t="str">
        <f>IF(ISBLANK('Лист2-ЭЛЕМЕНТ'!A15),"",'Лист2-ЭЛЕМЕНТ'!A15)</f>
        <v/>
      </c>
      <c r="B15" s="97" t="str">
        <f>IF(ISBLANK('Лист2-ЭЛЕМЕНТ'!B15),"",'Лист2-ЭЛЕМЕНТ'!B15)</f>
        <v/>
      </c>
      <c r="C15" s="97" t="str">
        <f>IF(ISBLANK('Лист2-ЭЛЕМЕНТ'!C15),"",'Лист2-ЭЛЕМЕНТ'!C15)</f>
        <v/>
      </c>
      <c r="D15" s="98" t="str">
        <f>IF(ISBLANK('Лист2-ЭЛЕМЕНТ'!D15),"",'Лист2-ЭЛЕМЕНТ'!D15)</f>
        <v/>
      </c>
      <c r="E15" s="99" t="str">
        <f>IF(ISBLANK('Лист2-ЭЛЕМЕНТ'!Z15),"",'Лист2-ЭЛЕМЕНТ'!Z15)</f>
        <v/>
      </c>
      <c r="F15" s="100" t="str">
        <f>IF(ISBLANK('Лист2-ЭЛЕМЕНТ'!BB15), "",'Лист2-ЭЛЕМЕНТ'!BB15)</f>
        <v/>
      </c>
      <c r="G15" s="101" t="str">
        <f>IF(ISBLANK('Лист2-ЭЛЕМЕНТ'!BC15), "",'Лист2-ЭЛЕМЕНТ'!BC15)</f>
        <v/>
      </c>
      <c r="H15" s="99" t="str">
        <f>IF(ISBLANK('Лист2-ЭЛЕМЕНТ'!BD15), "",'Лист2-ЭЛЕМЕНТ'!BD15)</f>
        <v/>
      </c>
      <c r="I15" s="99"/>
      <c r="J15" s="102" t="s">
        <v>560</v>
      </c>
      <c r="K15" t="str">
        <f>IF('Лист2-ЭЛЕМЕНТ'!BA15&lt;&gt;0,'Лист2-ЭЛЕМЕНТ'!BA15,"")</f>
        <v/>
      </c>
      <c r="M15" t="str">
        <f>CONCATENATE('Лист2-ЭЛЕМЕНТ'!D15," ",'Лист2-ЭЛЕМЕНТ'!F15, " ",'Лист2-ЭЛЕМЕНТ'!AF15)</f>
        <v xml:space="preserve">  </v>
      </c>
      <c r="N15" s="22">
        <f>'Лист2-ЭЛЕМЕНТ'!D15</f>
        <v>0</v>
      </c>
      <c r="O15" s="23">
        <f>'Лист2-ЭЛЕМЕНТ'!F15</f>
        <v>0</v>
      </c>
      <c r="P15" s="21"/>
      <c r="Q15" s="21">
        <f>IF(M15&lt;&gt;0, VLOOKUP(M15,таблСпециф[[1]:[Заполнить вручную]],4,FALSE), "Не-а")</f>
        <v>0</v>
      </c>
      <c r="R15" t="str">
        <f t="shared" si="0"/>
        <v>ЛОЖЬ</v>
      </c>
    </row>
    <row r="16" spans="1:18">
      <c r="A16" s="97" t="str">
        <f>IF(ISBLANK('Лист2-ЭЛЕМЕНТ'!A16),"",'Лист2-ЭЛЕМЕНТ'!A16)</f>
        <v/>
      </c>
      <c r="B16" s="97" t="str">
        <f>IF(ISBLANK('Лист2-ЭЛЕМЕНТ'!B16),"",'Лист2-ЭЛЕМЕНТ'!B16)</f>
        <v/>
      </c>
      <c r="C16" s="97" t="str">
        <f>IF(ISBLANK('Лист2-ЭЛЕМЕНТ'!C16),"",'Лист2-ЭЛЕМЕНТ'!C16)</f>
        <v/>
      </c>
      <c r="D16" s="98" t="str">
        <f>IF(ISBLANK('Лист2-ЭЛЕМЕНТ'!D16),"",'Лист2-ЭЛЕМЕНТ'!D16)</f>
        <v/>
      </c>
      <c r="E16" s="99" t="str">
        <f>IF(ISBLANK('Лист2-ЭЛЕМЕНТ'!Z16),"",'Лист2-ЭЛЕМЕНТ'!Z16)</f>
        <v/>
      </c>
      <c r="F16" s="100" t="str">
        <f>IF(ISBLANK('Лист2-ЭЛЕМЕНТ'!BB16), "",'Лист2-ЭЛЕМЕНТ'!BB16)</f>
        <v/>
      </c>
      <c r="G16" s="101" t="str">
        <f>IF(ISBLANK('Лист2-ЭЛЕМЕНТ'!BC16), "",'Лист2-ЭЛЕМЕНТ'!BC16)</f>
        <v/>
      </c>
      <c r="H16" s="99" t="str">
        <f>IF(ISBLANK('Лист2-ЭЛЕМЕНТ'!BD16), "",'Лист2-ЭЛЕМЕНТ'!BD16)</f>
        <v/>
      </c>
      <c r="I16" s="99"/>
      <c r="J16" s="102" t="s">
        <v>560</v>
      </c>
      <c r="K16" t="str">
        <f>IF('Лист2-ЭЛЕМЕНТ'!BA16&lt;&gt;0,'Лист2-ЭЛЕМЕНТ'!BA16,"")</f>
        <v/>
      </c>
      <c r="M16" t="str">
        <f>CONCATENATE('Лист2-ЭЛЕМЕНТ'!D16," ",'Лист2-ЭЛЕМЕНТ'!F16, " ",'Лист2-ЭЛЕМЕНТ'!AF16)</f>
        <v xml:space="preserve">  </v>
      </c>
      <c r="N16" s="22">
        <f>'Лист2-ЭЛЕМЕНТ'!D16</f>
        <v>0</v>
      </c>
      <c r="O16" s="23">
        <f>'Лист2-ЭЛЕМЕНТ'!F16</f>
        <v>0</v>
      </c>
      <c r="P16" s="21"/>
      <c r="Q16" s="21">
        <f>IF(M16&lt;&gt;0, VLOOKUP(M16,таблСпециф[[1]:[Заполнить вручную]],4,FALSE), "Не-а")</f>
        <v>0</v>
      </c>
      <c r="R16" t="str">
        <f t="shared" si="0"/>
        <v>ЛОЖЬ</v>
      </c>
    </row>
    <row r="17" spans="1:18">
      <c r="A17" s="97" t="str">
        <f>IF(ISBLANK('Лист2-ЭЛЕМЕНТ'!A17),"",'Лист2-ЭЛЕМЕНТ'!A17)</f>
        <v/>
      </c>
      <c r="B17" s="97" t="str">
        <f>IF(ISBLANK('Лист2-ЭЛЕМЕНТ'!B17),"",'Лист2-ЭЛЕМЕНТ'!B17)</f>
        <v/>
      </c>
      <c r="C17" s="97" t="str">
        <f>IF(ISBLANK('Лист2-ЭЛЕМЕНТ'!C17),"",'Лист2-ЭЛЕМЕНТ'!C17)</f>
        <v/>
      </c>
      <c r="D17" s="98" t="str">
        <f>IF(ISBLANK('Лист2-ЭЛЕМЕНТ'!D17),"",'Лист2-ЭЛЕМЕНТ'!D17)</f>
        <v/>
      </c>
      <c r="E17" s="99" t="str">
        <f>IF(ISBLANK('Лист2-ЭЛЕМЕНТ'!Z17),"",'Лист2-ЭЛЕМЕНТ'!Z17)</f>
        <v/>
      </c>
      <c r="F17" s="100" t="str">
        <f>IF(ISBLANK('Лист2-ЭЛЕМЕНТ'!BB17), "",'Лист2-ЭЛЕМЕНТ'!BB17)</f>
        <v/>
      </c>
      <c r="G17" s="101" t="str">
        <f>IF(ISBLANK('Лист2-ЭЛЕМЕНТ'!BC17), "",'Лист2-ЭЛЕМЕНТ'!BC17)</f>
        <v/>
      </c>
      <c r="H17" s="99" t="str">
        <f>IF(ISBLANK('Лист2-ЭЛЕМЕНТ'!BD17), "",'Лист2-ЭЛЕМЕНТ'!BD17)</f>
        <v/>
      </c>
      <c r="I17" s="99"/>
      <c r="J17" s="102" t="s">
        <v>560</v>
      </c>
      <c r="K17" t="str">
        <f>IF('Лист2-ЭЛЕМЕНТ'!BA17&lt;&gt;0,'Лист2-ЭЛЕМЕНТ'!BA17,"")</f>
        <v/>
      </c>
      <c r="M17" t="str">
        <f>CONCATENATE('Лист2-ЭЛЕМЕНТ'!D17," ",'Лист2-ЭЛЕМЕНТ'!F17, " ",'Лист2-ЭЛЕМЕНТ'!AF17)</f>
        <v xml:space="preserve">  </v>
      </c>
      <c r="N17" s="22">
        <f>'Лист2-ЭЛЕМЕНТ'!D17</f>
        <v>0</v>
      </c>
      <c r="O17" s="23">
        <f>'Лист2-ЭЛЕМЕНТ'!F17</f>
        <v>0</v>
      </c>
      <c r="P17" s="21"/>
      <c r="Q17" s="21">
        <f>IF(M17&lt;&gt;0, VLOOKUP(M17,таблСпециф[[1]:[Заполнить вручную]],4,FALSE), "Не-а")</f>
        <v>0</v>
      </c>
      <c r="R17" t="str">
        <f t="shared" si="0"/>
        <v>ЛОЖЬ</v>
      </c>
    </row>
    <row r="18" spans="1:18">
      <c r="A18" s="97" t="str">
        <f>IF(ISBLANK('Лист2-ЭЛЕМЕНТ'!A18),"",'Лист2-ЭЛЕМЕНТ'!A18)</f>
        <v/>
      </c>
      <c r="B18" s="97" t="str">
        <f>IF(ISBLANK('Лист2-ЭЛЕМЕНТ'!B18),"",'Лист2-ЭЛЕМЕНТ'!B18)</f>
        <v/>
      </c>
      <c r="C18" s="97" t="str">
        <f>IF(ISBLANK('Лист2-ЭЛЕМЕНТ'!C18),"",'Лист2-ЭЛЕМЕНТ'!C18)</f>
        <v/>
      </c>
      <c r="D18" s="98" t="str">
        <f>IF(ISBLANK('Лист2-ЭЛЕМЕНТ'!D18),"",'Лист2-ЭЛЕМЕНТ'!D18)</f>
        <v/>
      </c>
      <c r="E18" s="99" t="str">
        <f>IF(ISBLANK('Лист2-ЭЛЕМЕНТ'!Z18),"",'Лист2-ЭЛЕМЕНТ'!Z18)</f>
        <v/>
      </c>
      <c r="F18" s="100" t="str">
        <f>IF(ISBLANK('Лист2-ЭЛЕМЕНТ'!BB18), "",'Лист2-ЭЛЕМЕНТ'!BB18)</f>
        <v/>
      </c>
      <c r="G18" s="101" t="str">
        <f>IF(ISBLANK('Лист2-ЭЛЕМЕНТ'!BC18), "",'Лист2-ЭЛЕМЕНТ'!BC18)</f>
        <v/>
      </c>
      <c r="H18" s="99" t="str">
        <f>IF(ISBLANK('Лист2-ЭЛЕМЕНТ'!BD18), "",'Лист2-ЭЛЕМЕНТ'!BD18)</f>
        <v/>
      </c>
      <c r="I18" s="99"/>
      <c r="J18" s="102" t="s">
        <v>560</v>
      </c>
      <c r="K18" t="str">
        <f>IF('Лист2-ЭЛЕМЕНТ'!BA18&lt;&gt;0,'Лист2-ЭЛЕМЕНТ'!BA18,"")</f>
        <v/>
      </c>
      <c r="M18" t="str">
        <f>CONCATENATE('Лист2-ЭЛЕМЕНТ'!D18," ",'Лист2-ЭЛЕМЕНТ'!F18, " ",'Лист2-ЭЛЕМЕНТ'!AF18)</f>
        <v xml:space="preserve">  </v>
      </c>
      <c r="N18" s="22">
        <f>'Лист2-ЭЛЕМЕНТ'!D18</f>
        <v>0</v>
      </c>
      <c r="O18" s="23">
        <f>'Лист2-ЭЛЕМЕНТ'!F18</f>
        <v>0</v>
      </c>
      <c r="P18" s="21"/>
      <c r="Q18" s="21">
        <f>IF(M18&lt;&gt;0, VLOOKUP(M18,таблСпециф[[1]:[Заполнить вручную]],4,FALSE), "Не-а")</f>
        <v>0</v>
      </c>
      <c r="R18" t="str">
        <f t="shared" si="0"/>
        <v>ЛОЖЬ</v>
      </c>
    </row>
    <row r="19" spans="1:18">
      <c r="A19" s="97" t="str">
        <f>IF(ISBLANK('Лист2-ЭЛЕМЕНТ'!A19),"",'Лист2-ЭЛЕМЕНТ'!A19)</f>
        <v/>
      </c>
      <c r="B19" s="97" t="str">
        <f>IF(ISBLANK('Лист2-ЭЛЕМЕНТ'!B19),"",'Лист2-ЭЛЕМЕНТ'!B19)</f>
        <v/>
      </c>
      <c r="C19" s="97" t="str">
        <f>IF(ISBLANK('Лист2-ЭЛЕМЕНТ'!C19),"",'Лист2-ЭЛЕМЕНТ'!C19)</f>
        <v/>
      </c>
      <c r="D19" s="98" t="str">
        <f>IF(ISBLANK('Лист2-ЭЛЕМЕНТ'!D19),"",'Лист2-ЭЛЕМЕНТ'!D19)</f>
        <v/>
      </c>
      <c r="E19" s="99" t="str">
        <f>IF(ISBLANK('Лист2-ЭЛЕМЕНТ'!Z19),"",'Лист2-ЭЛЕМЕНТ'!Z19)</f>
        <v/>
      </c>
      <c r="F19" s="100" t="str">
        <f>IF(ISBLANK('Лист2-ЭЛЕМЕНТ'!BB19), "",'Лист2-ЭЛЕМЕНТ'!BB19)</f>
        <v/>
      </c>
      <c r="G19" s="101" t="str">
        <f>IF(ISBLANK('Лист2-ЭЛЕМЕНТ'!BC19), "",'Лист2-ЭЛЕМЕНТ'!BC19)</f>
        <v/>
      </c>
      <c r="H19" s="99" t="str">
        <f>IF(ISBLANK('Лист2-ЭЛЕМЕНТ'!BD19), "",'Лист2-ЭЛЕМЕНТ'!BD19)</f>
        <v/>
      </c>
      <c r="I19" s="99"/>
      <c r="J19" s="102" t="s">
        <v>560</v>
      </c>
      <c r="K19" t="str">
        <f>IF('Лист2-ЭЛЕМЕНТ'!BA19&lt;&gt;0,'Лист2-ЭЛЕМЕНТ'!BA19,"")</f>
        <v/>
      </c>
      <c r="M19" t="str">
        <f>CONCATENATE('Лист2-ЭЛЕМЕНТ'!D19," ",'Лист2-ЭЛЕМЕНТ'!F19, " ",'Лист2-ЭЛЕМЕНТ'!AF19)</f>
        <v xml:space="preserve">  </v>
      </c>
      <c r="N19" s="22">
        <f>'Лист2-ЭЛЕМЕНТ'!D19</f>
        <v>0</v>
      </c>
      <c r="O19" s="23">
        <f>'Лист2-ЭЛЕМЕНТ'!F19</f>
        <v>0</v>
      </c>
      <c r="P19" s="21"/>
      <c r="Q19" s="21">
        <f>IF(M19&lt;&gt;0, VLOOKUP(M19,таблСпециф[[1]:[Заполнить вручную]],4,FALSE), "Не-а")</f>
        <v>0</v>
      </c>
      <c r="R19" t="str">
        <f t="shared" si="0"/>
        <v>ЛОЖЬ</v>
      </c>
    </row>
    <row r="20" spans="1:18">
      <c r="A20" s="97" t="str">
        <f>IF(ISBLANK('Лист2-ЭЛЕМЕНТ'!A20),"",'Лист2-ЭЛЕМЕНТ'!A20)</f>
        <v/>
      </c>
      <c r="B20" s="97" t="str">
        <f>IF(ISBLANK('Лист2-ЭЛЕМЕНТ'!B20),"",'Лист2-ЭЛЕМЕНТ'!B20)</f>
        <v/>
      </c>
      <c r="C20" s="97" t="str">
        <f>IF(ISBLANK('Лист2-ЭЛЕМЕНТ'!C20),"",'Лист2-ЭЛЕМЕНТ'!C20)</f>
        <v/>
      </c>
      <c r="D20" s="98" t="str">
        <f>IF(ISBLANK('Лист2-ЭЛЕМЕНТ'!D20),"",'Лист2-ЭЛЕМЕНТ'!D20)</f>
        <v/>
      </c>
      <c r="E20" s="99" t="str">
        <f>IF(ISBLANK('Лист2-ЭЛЕМЕНТ'!Z20),"",'Лист2-ЭЛЕМЕНТ'!Z20)</f>
        <v/>
      </c>
      <c r="F20" s="100" t="str">
        <f>IF(ISBLANK('Лист2-ЭЛЕМЕНТ'!BB20), "",'Лист2-ЭЛЕМЕНТ'!BB20)</f>
        <v/>
      </c>
      <c r="G20" s="101" t="str">
        <f>IF(ISBLANK('Лист2-ЭЛЕМЕНТ'!BC20), "",'Лист2-ЭЛЕМЕНТ'!BC20)</f>
        <v/>
      </c>
      <c r="H20" s="99" t="str">
        <f>IF(ISBLANK('Лист2-ЭЛЕМЕНТ'!BD20), "",'Лист2-ЭЛЕМЕНТ'!BD20)</f>
        <v/>
      </c>
      <c r="I20" s="99"/>
      <c r="J20" s="102" t="s">
        <v>560</v>
      </c>
      <c r="K20" t="str">
        <f>IF('Лист2-ЭЛЕМЕНТ'!BA20&lt;&gt;0,'Лист2-ЭЛЕМЕНТ'!BA20,"")</f>
        <v/>
      </c>
      <c r="M20" t="str">
        <f>CONCATENATE('Лист2-ЭЛЕМЕНТ'!D20," ",'Лист2-ЭЛЕМЕНТ'!F20, " ",'Лист2-ЭЛЕМЕНТ'!AF20)</f>
        <v xml:space="preserve">  </v>
      </c>
      <c r="N20" s="22">
        <f>'Лист2-ЭЛЕМЕНТ'!D20</f>
        <v>0</v>
      </c>
      <c r="O20" s="23">
        <f>'Лист2-ЭЛЕМЕНТ'!F20</f>
        <v>0</v>
      </c>
      <c r="P20" s="21"/>
      <c r="Q20" s="205">
        <f>IF(M20&lt;&gt;0, VLOOKUP(M20,таблСпециф[[1]:[Заполнить вручную]],4,FALSE), "Не-а")</f>
        <v>0</v>
      </c>
      <c r="R20" t="str">
        <f>IF(N20&lt;&gt;N19,"ИСТИНА","ЛОЖЬ")</f>
        <v>ЛОЖЬ</v>
      </c>
    </row>
  </sheetData>
  <autoFilter ref="A4:K20"/>
  <mergeCells count="1">
    <mergeCell ref="N2:R2"/>
  </mergeCells>
  <conditionalFormatting sqref="R2 Q1:Q1048576">
    <cfRule type="cellIs" dxfId="158" priority="4" operator="equal">
      <formula>0</formula>
    </cfRule>
  </conditionalFormatting>
  <conditionalFormatting sqref="N5:N1048576">
    <cfRule type="expression" dxfId="157" priority="2">
      <formula>IF(R5="ИСТИНА",TRUE)</formula>
    </cfRule>
  </conditionalFormatting>
  <conditionalFormatting sqref="P5:P1048576">
    <cfRule type="expression" dxfId="156" priority="1">
      <formula>IF(R5="ИСТИНА",TRUE)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9" tint="0.39997558519241921"/>
  </sheetPr>
  <dimension ref="A1:CR50"/>
  <sheetViews>
    <sheetView zoomScale="85" zoomScaleNormal="85" workbookViewId="0">
      <selection activeCell="D1" sqref="D1"/>
    </sheetView>
  </sheetViews>
  <sheetFormatPr defaultRowHeight="15"/>
  <cols>
    <col min="1" max="1" width="24" style="103" bestFit="1" customWidth="1"/>
    <col min="2" max="2" width="42.5703125" style="103" bestFit="1" customWidth="1"/>
    <col min="3" max="3" width="13.85546875" style="103" bestFit="1" customWidth="1"/>
    <col min="4" max="4" width="42.5703125" style="103" bestFit="1" customWidth="1"/>
    <col min="5" max="5" width="20.5703125" style="103" customWidth="1"/>
    <col min="6" max="6" width="15.5703125" style="103" customWidth="1"/>
    <col min="7" max="11" width="9.140625" style="103"/>
    <col min="12" max="12" width="14.28515625" style="118" bestFit="1" customWidth="1"/>
    <col min="13" max="13" width="14.42578125" style="118" bestFit="1" customWidth="1"/>
    <col min="14" max="35" width="9.140625" style="103"/>
    <col min="36" max="36" width="101.140625" style="103" bestFit="1" customWidth="1"/>
    <col min="37" max="47" width="9.140625" style="103"/>
    <col min="48" max="49" width="10.7109375" style="103" bestFit="1" customWidth="1"/>
    <col min="50" max="50" width="11.85546875" style="118" customWidth="1"/>
    <col min="51" max="51" width="17.7109375" style="118" customWidth="1"/>
    <col min="52" max="52" width="10.7109375" style="103" bestFit="1" customWidth="1"/>
    <col min="53" max="65" width="9.140625" style="103"/>
    <col min="66" max="66" width="27.7109375" style="103" customWidth="1"/>
    <col min="67" max="67" width="12.85546875" style="125" customWidth="1"/>
    <col min="68" max="68" width="90" style="125" bestFit="1" customWidth="1"/>
    <col min="69" max="69" width="18.140625" style="103" customWidth="1"/>
    <col min="70" max="70" width="18.140625" style="103" bestFit="1" customWidth="1"/>
    <col min="71" max="71" width="18.140625" style="103" customWidth="1"/>
    <col min="72" max="77" width="18.140625" style="103" bestFit="1" customWidth="1"/>
    <col min="78" max="78" width="19.28515625" style="103" bestFit="1" customWidth="1"/>
    <col min="79" max="79" width="9.140625" style="103"/>
    <col min="80" max="80" width="14.42578125" style="126" customWidth="1"/>
    <col min="81" max="81" width="11.85546875" style="126" customWidth="1"/>
    <col min="82" max="83" width="13.5703125" style="126" customWidth="1"/>
    <col min="84" max="84" width="26" style="126" bestFit="1" customWidth="1"/>
    <col min="85" max="85" width="14" style="127" customWidth="1"/>
    <col min="86" max="86" width="90" style="127" bestFit="1" customWidth="1"/>
    <col min="87" max="91" width="26.7109375" style="126" customWidth="1"/>
    <col min="92" max="95" width="26.7109375" style="126" bestFit="1" customWidth="1"/>
    <col min="96" max="96" width="27.7109375" style="126" bestFit="1" customWidth="1"/>
  </cols>
  <sheetData>
    <row r="1" spans="1:96" ht="120">
      <c r="A1" s="104" t="s">
        <v>197</v>
      </c>
      <c r="B1" s="104" t="s">
        <v>198</v>
      </c>
      <c r="C1" s="189" t="s">
        <v>199</v>
      </c>
      <c r="D1" s="189" t="s">
        <v>200</v>
      </c>
      <c r="E1" s="104" t="s">
        <v>201</v>
      </c>
      <c r="F1" s="105" t="s">
        <v>3</v>
      </c>
      <c r="G1" s="105" t="s">
        <v>202</v>
      </c>
      <c r="H1" s="105" t="s">
        <v>203</v>
      </c>
      <c r="I1" s="105" t="s">
        <v>204</v>
      </c>
      <c r="J1" s="105" t="s">
        <v>205</v>
      </c>
      <c r="K1" s="105" t="s">
        <v>206</v>
      </c>
      <c r="L1" s="105" t="s">
        <v>207</v>
      </c>
      <c r="M1" s="105" t="s">
        <v>208</v>
      </c>
      <c r="N1" s="105" t="s">
        <v>209</v>
      </c>
      <c r="O1" s="105" t="s">
        <v>210</v>
      </c>
      <c r="P1" s="105" t="s">
        <v>211</v>
      </c>
      <c r="Q1" s="105" t="s">
        <v>212</v>
      </c>
      <c r="R1" s="105" t="s">
        <v>213</v>
      </c>
      <c r="S1" s="105" t="s">
        <v>214</v>
      </c>
      <c r="T1" s="105" t="s">
        <v>215</v>
      </c>
      <c r="U1" s="105" t="s">
        <v>216</v>
      </c>
      <c r="V1" s="105" t="s">
        <v>217</v>
      </c>
      <c r="W1" s="105" t="s">
        <v>218</v>
      </c>
      <c r="X1" s="105" t="s">
        <v>219</v>
      </c>
      <c r="Y1" s="105" t="s">
        <v>220</v>
      </c>
      <c r="Z1" s="105" t="s">
        <v>221</v>
      </c>
      <c r="AA1" s="105" t="s">
        <v>222</v>
      </c>
      <c r="AB1" s="105" t="s">
        <v>223</v>
      </c>
      <c r="AC1" s="105" t="s">
        <v>224</v>
      </c>
      <c r="AD1" s="105" t="s">
        <v>225</v>
      </c>
      <c r="AE1" s="105" t="s">
        <v>226</v>
      </c>
      <c r="AF1" s="105" t="s">
        <v>227</v>
      </c>
      <c r="AG1" s="105" t="s">
        <v>228</v>
      </c>
      <c r="AH1" s="105" t="s">
        <v>229</v>
      </c>
      <c r="AI1" s="105" t="s">
        <v>230</v>
      </c>
      <c r="AJ1" s="105" t="s">
        <v>231</v>
      </c>
      <c r="AK1" s="105" t="s">
        <v>232</v>
      </c>
      <c r="AL1" s="105" t="s">
        <v>233</v>
      </c>
      <c r="AM1" s="105" t="s">
        <v>234</v>
      </c>
      <c r="AN1" s="105" t="s">
        <v>235</v>
      </c>
      <c r="AO1" s="105" t="s">
        <v>236</v>
      </c>
      <c r="AP1" s="105" t="s">
        <v>237</v>
      </c>
      <c r="AQ1" s="105" t="s">
        <v>238</v>
      </c>
      <c r="AR1" s="105" t="s">
        <v>239</v>
      </c>
      <c r="AS1" s="105" t="s">
        <v>240</v>
      </c>
      <c r="AT1" s="105" t="s">
        <v>241</v>
      </c>
      <c r="AU1" s="105" t="s">
        <v>242</v>
      </c>
      <c r="AV1" s="105" t="s">
        <v>243</v>
      </c>
      <c r="AW1" s="105" t="s">
        <v>244</v>
      </c>
      <c r="AX1" s="105" t="s">
        <v>245</v>
      </c>
      <c r="AY1" s="105" t="s">
        <v>246</v>
      </c>
      <c r="AZ1" s="105" t="s">
        <v>247</v>
      </c>
      <c r="BA1" s="105" t="s">
        <v>248</v>
      </c>
      <c r="BB1" s="105" t="s">
        <v>249</v>
      </c>
      <c r="BC1" s="105" t="s">
        <v>483</v>
      </c>
      <c r="BD1" s="105" t="s">
        <v>484</v>
      </c>
      <c r="BE1" s="105" t="s">
        <v>485</v>
      </c>
      <c r="BF1" s="105" t="s">
        <v>486</v>
      </c>
      <c r="BG1" s="104" t="s">
        <v>250</v>
      </c>
      <c r="BH1" s="104" t="s">
        <v>251</v>
      </c>
      <c r="BI1" s="106"/>
      <c r="BJ1" s="107"/>
      <c r="BK1" s="107"/>
      <c r="BL1" s="108"/>
      <c r="BM1" s="108"/>
      <c r="BN1" s="108" t="s">
        <v>362</v>
      </c>
      <c r="BO1" s="107">
        <f>MAX(таблКоррозия[Столбец1])-1</f>
        <v>2</v>
      </c>
      <c r="BP1" s="107"/>
      <c r="BQ1" s="106"/>
      <c r="BR1" s="107"/>
      <c r="BS1" s="107"/>
      <c r="BT1" s="107"/>
      <c r="BU1" s="107"/>
      <c r="BV1" s="107"/>
      <c r="BW1" s="107"/>
      <c r="BX1" s="107"/>
      <c r="BY1" s="107"/>
      <c r="BZ1" s="107"/>
      <c r="CA1" s="106"/>
      <c r="CB1" s="107"/>
      <c r="CC1" s="107"/>
      <c r="CD1" s="107"/>
      <c r="CE1" s="107"/>
      <c r="CF1" s="108" t="s">
        <v>362</v>
      </c>
      <c r="CG1" s="107">
        <f>MAX(таблНКС[Столбец1])-1</f>
        <v>2</v>
      </c>
      <c r="CH1" s="107"/>
      <c r="CI1" s="109"/>
      <c r="CJ1" s="107"/>
      <c r="CK1" s="107"/>
      <c r="CL1" s="107"/>
      <c r="CM1" s="107"/>
      <c r="CN1" s="107"/>
      <c r="CO1" s="107"/>
      <c r="CP1" s="107"/>
      <c r="CQ1" s="107"/>
      <c r="CR1" s="107"/>
    </row>
    <row r="2" spans="1:96" ht="105">
      <c r="A2" s="110"/>
      <c r="B2" s="110"/>
      <c r="C2" s="110"/>
      <c r="D2" s="110"/>
      <c r="E2" s="110" t="s">
        <v>252</v>
      </c>
      <c r="F2" s="111" t="s">
        <v>253</v>
      </c>
      <c r="G2" s="111" t="s">
        <v>254</v>
      </c>
      <c r="H2" s="111" t="s">
        <v>255</v>
      </c>
      <c r="I2" s="111" t="s">
        <v>256</v>
      </c>
      <c r="J2" s="111" t="s">
        <v>257</v>
      </c>
      <c r="K2" s="111" t="s">
        <v>258</v>
      </c>
      <c r="L2" s="111" t="s">
        <v>259</v>
      </c>
      <c r="M2" s="111" t="s">
        <v>260</v>
      </c>
      <c r="N2" s="111" t="s">
        <v>261</v>
      </c>
      <c r="O2" s="111" t="s">
        <v>262</v>
      </c>
      <c r="P2" s="111" t="s">
        <v>263</v>
      </c>
      <c r="Q2" s="111" t="s">
        <v>264</v>
      </c>
      <c r="R2" s="111" t="s">
        <v>265</v>
      </c>
      <c r="S2" s="111" t="s">
        <v>266</v>
      </c>
      <c r="T2" s="111" t="s">
        <v>267</v>
      </c>
      <c r="U2" s="111" t="s">
        <v>268</v>
      </c>
      <c r="V2" s="111" t="s">
        <v>269</v>
      </c>
      <c r="W2" s="111" t="s">
        <v>270</v>
      </c>
      <c r="X2" s="111" t="s">
        <v>271</v>
      </c>
      <c r="Y2" s="111" t="s">
        <v>272</v>
      </c>
      <c r="Z2" s="111" t="s">
        <v>273</v>
      </c>
      <c r="AA2" s="111" t="s">
        <v>274</v>
      </c>
      <c r="AB2" s="111" t="s">
        <v>275</v>
      </c>
      <c r="AC2" s="111" t="s">
        <v>276</v>
      </c>
      <c r="AD2" s="111" t="s">
        <v>277</v>
      </c>
      <c r="AE2" s="111" t="s">
        <v>278</v>
      </c>
      <c r="AF2" s="111" t="s">
        <v>279</v>
      </c>
      <c r="AG2" s="111" t="s">
        <v>280</v>
      </c>
      <c r="AH2" s="111" t="s">
        <v>281</v>
      </c>
      <c r="AI2" s="111" t="s">
        <v>282</v>
      </c>
      <c r="AJ2" s="111" t="s">
        <v>283</v>
      </c>
      <c r="AK2" s="111" t="s">
        <v>284</v>
      </c>
      <c r="AL2" s="111" t="s">
        <v>285</v>
      </c>
      <c r="AM2" s="111" t="s">
        <v>286</v>
      </c>
      <c r="AN2" s="111" t="s">
        <v>287</v>
      </c>
      <c r="AO2" s="111" t="s">
        <v>288</v>
      </c>
      <c r="AP2" s="111" t="s">
        <v>289</v>
      </c>
      <c r="AQ2" s="111" t="s">
        <v>290</v>
      </c>
      <c r="AR2" s="111" t="s">
        <v>291</v>
      </c>
      <c r="AS2" s="111" t="s">
        <v>292</v>
      </c>
      <c r="AT2" s="111" t="s">
        <v>293</v>
      </c>
      <c r="AU2" s="111" t="s">
        <v>294</v>
      </c>
      <c r="AV2" s="111" t="s">
        <v>295</v>
      </c>
      <c r="AW2" s="111" t="s">
        <v>296</v>
      </c>
      <c r="AX2" s="111" t="s">
        <v>297</v>
      </c>
      <c r="AY2" s="111" t="s">
        <v>298</v>
      </c>
      <c r="AZ2" s="111" t="s">
        <v>299</v>
      </c>
      <c r="BA2" s="111" t="s">
        <v>300</v>
      </c>
      <c r="BB2" s="111" t="s">
        <v>301</v>
      </c>
      <c r="BC2" s="111" t="s">
        <v>487</v>
      </c>
      <c r="BD2" s="111" t="s">
        <v>488</v>
      </c>
      <c r="BE2" s="111" t="s">
        <v>489</v>
      </c>
      <c r="BF2" s="111" t="s">
        <v>490</v>
      </c>
      <c r="BG2" s="190" t="s">
        <v>302</v>
      </c>
      <c r="BH2" s="190" t="s">
        <v>303</v>
      </c>
      <c r="BI2" s="106"/>
      <c r="BJ2" s="112" t="s">
        <v>363</v>
      </c>
      <c r="BK2" s="112" t="s">
        <v>364</v>
      </c>
      <c r="BL2" s="112" t="s">
        <v>3</v>
      </c>
      <c r="BM2" s="112" t="s">
        <v>427</v>
      </c>
      <c r="BN2" s="112" t="s">
        <v>365</v>
      </c>
      <c r="BO2" s="113" t="s">
        <v>425</v>
      </c>
      <c r="BP2" s="113" t="s">
        <v>426</v>
      </c>
      <c r="BQ2" s="112" t="s">
        <v>366</v>
      </c>
      <c r="BR2" s="112" t="s">
        <v>367</v>
      </c>
      <c r="BS2" s="112" t="s">
        <v>368</v>
      </c>
      <c r="BT2" s="112" t="s">
        <v>369</v>
      </c>
      <c r="BU2" s="114" t="s">
        <v>370</v>
      </c>
      <c r="BV2" s="114" t="s">
        <v>371</v>
      </c>
      <c r="BW2" s="114" t="s">
        <v>372</v>
      </c>
      <c r="BX2" s="114" t="s">
        <v>373</v>
      </c>
      <c r="BY2" s="114" t="s">
        <v>374</v>
      </c>
      <c r="BZ2" s="114" t="s">
        <v>375</v>
      </c>
      <c r="CA2" s="106"/>
      <c r="CB2" s="115" t="s">
        <v>363</v>
      </c>
      <c r="CC2" s="115" t="s">
        <v>364</v>
      </c>
      <c r="CD2" s="115" t="s">
        <v>3</v>
      </c>
      <c r="CE2" s="115" t="s">
        <v>427</v>
      </c>
      <c r="CF2" s="115" t="s">
        <v>365</v>
      </c>
      <c r="CG2" s="116" t="s">
        <v>425</v>
      </c>
      <c r="CH2" s="116" t="s">
        <v>426</v>
      </c>
      <c r="CI2" s="115" t="s">
        <v>379</v>
      </c>
      <c r="CJ2" s="115" t="s">
        <v>380</v>
      </c>
      <c r="CK2" s="115" t="s">
        <v>381</v>
      </c>
      <c r="CL2" s="115" t="s">
        <v>382</v>
      </c>
      <c r="CM2" s="115" t="s">
        <v>383</v>
      </c>
      <c r="CN2" s="115" t="s">
        <v>384</v>
      </c>
      <c r="CO2" s="115" t="s">
        <v>385</v>
      </c>
      <c r="CP2" s="115" t="s">
        <v>386</v>
      </c>
      <c r="CQ2" s="115" t="s">
        <v>387</v>
      </c>
      <c r="CR2" s="115" t="s">
        <v>388</v>
      </c>
    </row>
    <row r="3" spans="1:96">
      <c r="I3" s="117"/>
      <c r="K3" s="117"/>
      <c r="P3" s="117"/>
      <c r="Q3" s="117"/>
      <c r="S3" s="117"/>
      <c r="U3" s="117"/>
      <c r="V3" s="117"/>
      <c r="AL3" s="117"/>
      <c r="AM3" s="117"/>
      <c r="AP3" s="117"/>
      <c r="AQ3" s="117"/>
      <c r="AV3" s="118"/>
      <c r="AW3" s="118"/>
      <c r="AZ3" s="117"/>
      <c r="BJ3" s="119">
        <f>SUM($BK$2:BK2)+ROW($BK$3)</f>
        <v>3</v>
      </c>
      <c r="BK3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3" s="120" t="str">
        <f t="shared" ref="BL3:BL49" si="0">CONCATENATE(F3)</f>
        <v/>
      </c>
      <c r="BM3" s="120" t="str">
        <f>IF(таблКоррозия[[#This Row],[Тех. Место]]&lt;&gt;"",IF(A3&lt;&gt;"","ID","Тех. место"),"")</f>
        <v/>
      </c>
      <c r="BN3" s="120" t="str">
        <f t="shared" ref="BN3:BN34" si="1">IF(A3&lt;&gt;"",CONCATENATE(A3),CONCATENATE(C3))</f>
        <v/>
      </c>
      <c r="BO3" s="119" t="str">
        <f t="shared" ref="BO3:BO49" si="2">CONCATENATE(AG3)</f>
        <v/>
      </c>
      <c r="BP3" s="119" t="str">
        <f t="shared" ref="BP3:BP49" si="3">CONCATENATE(AH3)</f>
        <v/>
      </c>
      <c r="BQ3" s="119"/>
      <c r="BR3" s="119"/>
      <c r="BS3" s="119"/>
      <c r="BT3" s="119"/>
      <c r="BU3" s="121"/>
      <c r="BV3" s="121"/>
      <c r="BW3" s="121"/>
      <c r="BX3" s="121"/>
      <c r="BY3" s="121"/>
      <c r="BZ3" s="121"/>
      <c r="CB3" s="119">
        <f>SUM($CC$2:CC2)+ROW($CC$3)</f>
        <v>3</v>
      </c>
      <c r="CC3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3" s="120" t="str">
        <f t="shared" ref="CD3:CD49" si="4">CONCATENATE(F3)</f>
        <v/>
      </c>
      <c r="CE3" s="120" t="str">
        <f>IF(таблНКС[[#This Row],[Тех. Место]]&lt;&gt;"",IF(A3&lt;&gt;"","ID","Тех. место"),"")</f>
        <v/>
      </c>
      <c r="CF3" s="120" t="str">
        <f t="shared" ref="CF3:CF49" si="5">IF(A3&lt;&gt;"",CONCATENATE(A3),CONCATENATE(C3))</f>
        <v/>
      </c>
      <c r="CG3" s="119" t="str">
        <f t="shared" ref="CG3:CG49" si="6">CONCATENATE(AG3)</f>
        <v/>
      </c>
      <c r="CH3" s="119" t="str">
        <f t="shared" ref="CH3:CH49" si="7">CONCATENATE(AH3)</f>
        <v/>
      </c>
      <c r="CI3" s="119"/>
      <c r="CJ3" s="119"/>
      <c r="CK3" s="119"/>
      <c r="CL3" s="119"/>
      <c r="CM3" s="121"/>
      <c r="CN3" s="121"/>
      <c r="CO3" s="121"/>
      <c r="CP3" s="121"/>
      <c r="CQ3" s="121"/>
      <c r="CR3" s="121"/>
    </row>
    <row r="4" spans="1:96">
      <c r="I4" s="117"/>
      <c r="K4" s="117"/>
      <c r="P4" s="117"/>
      <c r="Q4" s="117"/>
      <c r="S4" s="117"/>
      <c r="U4" s="117"/>
      <c r="V4" s="117"/>
      <c r="AL4" s="117"/>
      <c r="AM4" s="117"/>
      <c r="AP4" s="117"/>
      <c r="AQ4" s="117"/>
      <c r="AV4" s="118"/>
      <c r="AW4" s="118"/>
      <c r="AZ4" s="117"/>
      <c r="BJ4" s="119">
        <f>SUM($BK$2:BK3)+ROW($BK$3)</f>
        <v>3</v>
      </c>
      <c r="BK4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4" s="120" t="str">
        <f t="shared" si="0"/>
        <v/>
      </c>
      <c r="BM4" s="120" t="str">
        <f>IF(таблКоррозия[[#This Row],[Тех. Место]]&lt;&gt;"",IF(A4&lt;&gt;"","ID","Тех. место"),"")</f>
        <v/>
      </c>
      <c r="BN4" s="120" t="str">
        <f t="shared" si="1"/>
        <v/>
      </c>
      <c r="BO4" s="119" t="str">
        <f t="shared" si="2"/>
        <v/>
      </c>
      <c r="BP4" s="119" t="str">
        <f t="shared" si="3"/>
        <v/>
      </c>
      <c r="BQ4" s="119"/>
      <c r="BR4" s="119"/>
      <c r="BS4" s="119"/>
      <c r="BT4" s="119"/>
      <c r="BU4" s="121"/>
      <c r="BV4" s="121"/>
      <c r="BW4" s="121"/>
      <c r="BX4" s="121"/>
      <c r="BY4" s="121"/>
      <c r="BZ4" s="121"/>
      <c r="CB4" s="119">
        <f>SUM($CC$2:CC3)+ROW($CC$3)</f>
        <v>3</v>
      </c>
      <c r="CC4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4" s="120" t="str">
        <f t="shared" si="4"/>
        <v/>
      </c>
      <c r="CE4" s="120" t="str">
        <f>IF(таблНКС[[#This Row],[Тех. Место]]&lt;&gt;"",IF(A4&lt;&gt;"","ID","Тех. место"),"")</f>
        <v/>
      </c>
      <c r="CF4" s="120" t="str">
        <f t="shared" si="5"/>
        <v/>
      </c>
      <c r="CG4" s="119" t="str">
        <f t="shared" si="6"/>
        <v/>
      </c>
      <c r="CH4" s="119" t="str">
        <f t="shared" si="7"/>
        <v/>
      </c>
      <c r="CI4" s="119"/>
      <c r="CJ4" s="119"/>
      <c r="CK4" s="119"/>
      <c r="CL4" s="119"/>
      <c r="CM4" s="121"/>
      <c r="CN4" s="121"/>
      <c r="CO4" s="121"/>
      <c r="CP4" s="121"/>
      <c r="CQ4" s="121"/>
      <c r="CR4" s="121"/>
    </row>
    <row r="5" spans="1:96">
      <c r="I5" s="117"/>
      <c r="K5" s="117"/>
      <c r="P5" s="117"/>
      <c r="Q5" s="117"/>
      <c r="S5" s="117"/>
      <c r="U5" s="117"/>
      <c r="V5" s="117"/>
      <c r="AL5" s="117"/>
      <c r="AM5" s="117"/>
      <c r="AP5" s="117"/>
      <c r="AQ5" s="117"/>
      <c r="AV5" s="118"/>
      <c r="AW5" s="118"/>
      <c r="AZ5" s="117"/>
      <c r="BJ5" s="119">
        <f>SUM($BK$2:BK4)+ROW($BK$3)</f>
        <v>3</v>
      </c>
      <c r="BK5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5" s="120" t="str">
        <f t="shared" si="0"/>
        <v/>
      </c>
      <c r="BM5" s="120" t="str">
        <f>IF(таблКоррозия[[#This Row],[Тех. Место]]&lt;&gt;"",IF(A5&lt;&gt;"","ID","Тех. место"),"")</f>
        <v/>
      </c>
      <c r="BN5" s="120" t="str">
        <f t="shared" si="1"/>
        <v/>
      </c>
      <c r="BO5" s="119" t="str">
        <f t="shared" si="2"/>
        <v/>
      </c>
      <c r="BP5" s="119" t="str">
        <f t="shared" si="3"/>
        <v/>
      </c>
      <c r="BQ5" s="119"/>
      <c r="BR5" s="119"/>
      <c r="BS5" s="119"/>
      <c r="BT5" s="119"/>
      <c r="BU5" s="121"/>
      <c r="BV5" s="121"/>
      <c r="BW5" s="121"/>
      <c r="BX5" s="121"/>
      <c r="BY5" s="121"/>
      <c r="BZ5" s="121"/>
      <c r="CB5" s="119">
        <f>SUM($CC$2:CC4)+ROW($CC$3)</f>
        <v>3</v>
      </c>
      <c r="CC5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5" s="120" t="str">
        <f t="shared" si="4"/>
        <v/>
      </c>
      <c r="CE5" s="120" t="str">
        <f>IF(таблНКС[[#This Row],[Тех. Место]]&lt;&gt;"",IF(A5&lt;&gt;"","ID","Тех. место"),"")</f>
        <v/>
      </c>
      <c r="CF5" s="120" t="str">
        <f t="shared" si="5"/>
        <v/>
      </c>
      <c r="CG5" s="119" t="str">
        <f t="shared" si="6"/>
        <v/>
      </c>
      <c r="CH5" s="119" t="str">
        <f t="shared" si="7"/>
        <v/>
      </c>
      <c r="CI5" s="119"/>
      <c r="CJ5" s="119"/>
      <c r="CK5" s="119"/>
      <c r="CL5" s="119"/>
      <c r="CM5" s="121"/>
      <c r="CN5" s="121"/>
      <c r="CO5" s="121"/>
      <c r="CP5" s="121"/>
      <c r="CQ5" s="121"/>
      <c r="CR5" s="121"/>
    </row>
    <row r="6" spans="1:96">
      <c r="I6" s="117"/>
      <c r="P6" s="117"/>
      <c r="Q6" s="117"/>
      <c r="S6" s="117"/>
      <c r="U6" s="117"/>
      <c r="V6" s="117"/>
      <c r="AL6" s="117"/>
      <c r="AM6" s="117"/>
      <c r="AP6" s="117"/>
      <c r="AQ6" s="117"/>
      <c r="AV6" s="118"/>
      <c r="AW6" s="118"/>
      <c r="AZ6" s="117"/>
      <c r="BJ6" s="119">
        <f>SUM($BK$2:BK5)+ROW($BK$3)</f>
        <v>3</v>
      </c>
      <c r="BK6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6" s="120" t="str">
        <f t="shared" si="0"/>
        <v/>
      </c>
      <c r="BM6" s="120" t="str">
        <f>IF(таблКоррозия[[#This Row],[Тех. Место]]&lt;&gt;"",IF(A6&lt;&gt;"","ID","Тех. место"),"")</f>
        <v/>
      </c>
      <c r="BN6" s="120" t="str">
        <f t="shared" si="1"/>
        <v/>
      </c>
      <c r="BO6" s="119" t="str">
        <f t="shared" si="2"/>
        <v/>
      </c>
      <c r="BP6" s="119" t="str">
        <f t="shared" si="3"/>
        <v/>
      </c>
      <c r="BQ6" s="119"/>
      <c r="BR6" s="119"/>
      <c r="BS6" s="119"/>
      <c r="BT6" s="119"/>
      <c r="BU6" s="121"/>
      <c r="BV6" s="121"/>
      <c r="BW6" s="121"/>
      <c r="BX6" s="121"/>
      <c r="BY6" s="121"/>
      <c r="BZ6" s="121"/>
      <c r="CB6" s="119">
        <f>SUM($CC$2:CC5)+ROW($CC$3)</f>
        <v>3</v>
      </c>
      <c r="CC6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6" s="120" t="str">
        <f t="shared" si="4"/>
        <v/>
      </c>
      <c r="CE6" s="120" t="str">
        <f>IF(таблНКС[[#This Row],[Тех. Место]]&lt;&gt;"",IF(A6&lt;&gt;"","ID","Тех. место"),"")</f>
        <v/>
      </c>
      <c r="CF6" s="120" t="str">
        <f t="shared" si="5"/>
        <v/>
      </c>
      <c r="CG6" s="119" t="str">
        <f t="shared" si="6"/>
        <v/>
      </c>
      <c r="CH6" s="119" t="str">
        <f t="shared" si="7"/>
        <v/>
      </c>
      <c r="CI6" s="119"/>
      <c r="CJ6" s="119"/>
      <c r="CK6" s="119"/>
      <c r="CL6" s="119"/>
      <c r="CM6" s="121"/>
      <c r="CN6" s="121"/>
      <c r="CO6" s="121"/>
      <c r="CP6" s="121"/>
      <c r="CQ6" s="121"/>
      <c r="CR6" s="121"/>
    </row>
    <row r="7" spans="1:96">
      <c r="I7" s="117"/>
      <c r="K7" s="117"/>
      <c r="P7" s="117"/>
      <c r="Q7" s="117"/>
      <c r="S7" s="117"/>
      <c r="U7" s="117"/>
      <c r="V7" s="117"/>
      <c r="AL7" s="117"/>
      <c r="AM7" s="117"/>
      <c r="AP7" s="117"/>
      <c r="AQ7" s="117"/>
      <c r="AV7" s="118"/>
      <c r="AW7" s="118"/>
      <c r="AZ7" s="117"/>
      <c r="BJ7" s="119">
        <f>SUM($BK$2:BK6)+ROW($BK$3)</f>
        <v>3</v>
      </c>
      <c r="BK7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7" s="120" t="str">
        <f t="shared" si="0"/>
        <v/>
      </c>
      <c r="BM7" s="120" t="str">
        <f>IF(таблКоррозия[[#This Row],[Тех. Место]]&lt;&gt;"",IF(A7&lt;&gt;"","ID","Тех. место"),"")</f>
        <v/>
      </c>
      <c r="BN7" s="120" t="str">
        <f t="shared" si="1"/>
        <v/>
      </c>
      <c r="BO7" s="119" t="str">
        <f t="shared" si="2"/>
        <v/>
      </c>
      <c r="BP7" s="119" t="str">
        <f t="shared" si="3"/>
        <v/>
      </c>
      <c r="BQ7" s="119"/>
      <c r="BR7" s="119"/>
      <c r="BS7" s="119"/>
      <c r="BT7" s="119"/>
      <c r="BU7" s="121"/>
      <c r="BV7" s="121"/>
      <c r="BW7" s="121"/>
      <c r="BX7" s="121"/>
      <c r="BY7" s="121"/>
      <c r="BZ7" s="121"/>
      <c r="CB7" s="119">
        <f>SUM($CC$2:CC6)+ROW($CC$3)</f>
        <v>3</v>
      </c>
      <c r="CC7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7" s="120" t="str">
        <f t="shared" si="4"/>
        <v/>
      </c>
      <c r="CE7" s="120" t="str">
        <f>IF(таблНКС[[#This Row],[Тех. Место]]&lt;&gt;"",IF(A7&lt;&gt;"","ID","Тех. место"),"")</f>
        <v/>
      </c>
      <c r="CF7" s="120" t="str">
        <f t="shared" si="5"/>
        <v/>
      </c>
      <c r="CG7" s="119" t="str">
        <f t="shared" si="6"/>
        <v/>
      </c>
      <c r="CH7" s="119" t="str">
        <f t="shared" si="7"/>
        <v/>
      </c>
      <c r="CI7" s="119"/>
      <c r="CJ7" s="119"/>
      <c r="CK7" s="119"/>
      <c r="CL7" s="119"/>
      <c r="CM7" s="121"/>
      <c r="CN7" s="121"/>
      <c r="CO7" s="121"/>
      <c r="CP7" s="121"/>
      <c r="CQ7" s="121"/>
      <c r="CR7" s="121"/>
    </row>
    <row r="8" spans="1:96">
      <c r="I8" s="117"/>
      <c r="K8" s="117"/>
      <c r="P8" s="117"/>
      <c r="Q8" s="117"/>
      <c r="S8" s="117"/>
      <c r="U8" s="117"/>
      <c r="V8" s="117"/>
      <c r="AL8" s="117"/>
      <c r="AM8" s="117"/>
      <c r="AP8" s="117"/>
      <c r="AQ8" s="117"/>
      <c r="AV8" s="118"/>
      <c r="AW8" s="118"/>
      <c r="AZ8" s="117"/>
      <c r="BJ8" s="119">
        <f>SUM($BK$2:BK7)+ROW($BK$3)</f>
        <v>3</v>
      </c>
      <c r="BK8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8" s="120" t="str">
        <f t="shared" si="0"/>
        <v/>
      </c>
      <c r="BM8" s="120" t="str">
        <f>IF(таблКоррозия[[#This Row],[Тех. Место]]&lt;&gt;"",IF(A8&lt;&gt;"","ID","Тех. место"),"")</f>
        <v/>
      </c>
      <c r="BN8" s="120" t="str">
        <f t="shared" si="1"/>
        <v/>
      </c>
      <c r="BO8" s="119" t="str">
        <f t="shared" si="2"/>
        <v/>
      </c>
      <c r="BP8" s="119" t="str">
        <f t="shared" si="3"/>
        <v/>
      </c>
      <c r="BQ8" s="119"/>
      <c r="BR8" s="119"/>
      <c r="BS8" s="119"/>
      <c r="BT8" s="119"/>
      <c r="BU8" s="121"/>
      <c r="BV8" s="121"/>
      <c r="BW8" s="121"/>
      <c r="BX8" s="121"/>
      <c r="BY8" s="121"/>
      <c r="BZ8" s="121"/>
      <c r="CB8" s="119">
        <f>SUM($CC$2:CC7)+ROW($CC$3)</f>
        <v>3</v>
      </c>
      <c r="CC8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8" s="120" t="str">
        <f t="shared" si="4"/>
        <v/>
      </c>
      <c r="CE8" s="120" t="str">
        <f>IF(таблНКС[[#This Row],[Тех. Место]]&lt;&gt;"",IF(A8&lt;&gt;"","ID","Тех. место"),"")</f>
        <v/>
      </c>
      <c r="CF8" s="120" t="str">
        <f t="shared" si="5"/>
        <v/>
      </c>
      <c r="CG8" s="119" t="str">
        <f t="shared" si="6"/>
        <v/>
      </c>
      <c r="CH8" s="119" t="str">
        <f t="shared" si="7"/>
        <v/>
      </c>
      <c r="CI8" s="119"/>
      <c r="CJ8" s="119"/>
      <c r="CK8" s="119"/>
      <c r="CL8" s="119"/>
      <c r="CM8" s="121"/>
      <c r="CN8" s="121"/>
      <c r="CO8" s="121"/>
      <c r="CP8" s="121"/>
      <c r="CQ8" s="121"/>
      <c r="CR8" s="121"/>
    </row>
    <row r="9" spans="1:96">
      <c r="I9" s="117"/>
      <c r="K9" s="117"/>
      <c r="P9" s="117"/>
      <c r="Q9" s="117"/>
      <c r="S9" s="117"/>
      <c r="U9" s="117"/>
      <c r="V9" s="117"/>
      <c r="AL9" s="117"/>
      <c r="AM9" s="117"/>
      <c r="AP9" s="117"/>
      <c r="AQ9" s="117"/>
      <c r="AV9" s="118"/>
      <c r="AW9" s="118"/>
      <c r="AZ9" s="117"/>
      <c r="BJ9" s="119">
        <f>SUM($BK$2:BK8)+ROW($BK$3)</f>
        <v>3</v>
      </c>
      <c r="BK9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9" s="120" t="str">
        <f t="shared" si="0"/>
        <v/>
      </c>
      <c r="BM9" s="120" t="str">
        <f>IF(таблКоррозия[[#This Row],[Тех. Место]]&lt;&gt;"",IF(A9&lt;&gt;"","ID","Тех. место"),"")</f>
        <v/>
      </c>
      <c r="BN9" s="120" t="str">
        <f t="shared" si="1"/>
        <v/>
      </c>
      <c r="BO9" s="119" t="str">
        <f t="shared" si="2"/>
        <v/>
      </c>
      <c r="BP9" s="119" t="str">
        <f t="shared" si="3"/>
        <v/>
      </c>
      <c r="BQ9" s="119"/>
      <c r="BR9" s="119"/>
      <c r="BS9" s="119"/>
      <c r="BT9" s="119"/>
      <c r="BU9" s="121"/>
      <c r="BV9" s="121"/>
      <c r="BW9" s="121"/>
      <c r="BX9" s="121"/>
      <c r="BY9" s="121"/>
      <c r="BZ9" s="121"/>
      <c r="CB9" s="119">
        <f>SUM($CC$2:CC8)+ROW($CC$3)</f>
        <v>3</v>
      </c>
      <c r="CC9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9" s="120" t="str">
        <f t="shared" si="4"/>
        <v/>
      </c>
      <c r="CE9" s="120" t="str">
        <f>IF(таблНКС[[#This Row],[Тех. Место]]&lt;&gt;"",IF(A9&lt;&gt;"","ID","Тех. место"),"")</f>
        <v/>
      </c>
      <c r="CF9" s="120" t="str">
        <f t="shared" si="5"/>
        <v/>
      </c>
      <c r="CG9" s="119" t="str">
        <f t="shared" si="6"/>
        <v/>
      </c>
      <c r="CH9" s="119" t="str">
        <f t="shared" si="7"/>
        <v/>
      </c>
      <c r="CI9" s="119"/>
      <c r="CJ9" s="119"/>
      <c r="CK9" s="119"/>
      <c r="CL9" s="119"/>
      <c r="CM9" s="121"/>
      <c r="CN9" s="121"/>
      <c r="CO9" s="121"/>
      <c r="CP9" s="121"/>
      <c r="CQ9" s="121"/>
      <c r="CR9" s="121"/>
    </row>
    <row r="10" spans="1:96">
      <c r="I10" s="117"/>
      <c r="K10" s="117"/>
      <c r="P10" s="117"/>
      <c r="Q10" s="117"/>
      <c r="S10" s="117"/>
      <c r="U10" s="117"/>
      <c r="V10" s="117"/>
      <c r="AL10" s="117"/>
      <c r="AM10" s="117"/>
      <c r="AP10" s="117"/>
      <c r="AQ10" s="117"/>
      <c r="AV10" s="118"/>
      <c r="AW10" s="118"/>
      <c r="AZ10" s="117"/>
      <c r="BJ10" s="119">
        <f>SUM($BK$2:BK9)+ROW($BK$3)</f>
        <v>3</v>
      </c>
      <c r="BK10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10" s="120" t="str">
        <f t="shared" si="0"/>
        <v/>
      </c>
      <c r="BM10" s="120" t="str">
        <f>IF(таблКоррозия[[#This Row],[Тех. Место]]&lt;&gt;"",IF(A10&lt;&gt;"","ID","Тех. место"),"")</f>
        <v/>
      </c>
      <c r="BN10" s="120" t="str">
        <f t="shared" si="1"/>
        <v/>
      </c>
      <c r="BO10" s="119" t="str">
        <f t="shared" si="2"/>
        <v/>
      </c>
      <c r="BP10" s="119" t="str">
        <f t="shared" si="3"/>
        <v/>
      </c>
      <c r="BQ10" s="119"/>
      <c r="BR10" s="119"/>
      <c r="BS10" s="119"/>
      <c r="BT10" s="119"/>
      <c r="BU10" s="121"/>
      <c r="BV10" s="121"/>
      <c r="BW10" s="121"/>
      <c r="BX10" s="121"/>
      <c r="BY10" s="121"/>
      <c r="BZ10" s="121"/>
      <c r="CB10" s="119">
        <f>SUM($CC$2:CC9)+ROW($CC$3)</f>
        <v>3</v>
      </c>
      <c r="CC10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10" s="120" t="str">
        <f t="shared" si="4"/>
        <v/>
      </c>
      <c r="CE10" s="120" t="str">
        <f>IF(таблНКС[[#This Row],[Тех. Место]]&lt;&gt;"",IF(A10&lt;&gt;"","ID","Тех. место"),"")</f>
        <v/>
      </c>
      <c r="CF10" s="120" t="str">
        <f t="shared" si="5"/>
        <v/>
      </c>
      <c r="CG10" s="119" t="str">
        <f t="shared" si="6"/>
        <v/>
      </c>
      <c r="CH10" s="119" t="str">
        <f t="shared" si="7"/>
        <v/>
      </c>
      <c r="CI10" s="119"/>
      <c r="CJ10" s="119"/>
      <c r="CK10" s="119"/>
      <c r="CL10" s="119"/>
      <c r="CM10" s="121"/>
      <c r="CN10" s="121"/>
      <c r="CO10" s="121"/>
      <c r="CP10" s="121"/>
      <c r="CQ10" s="121"/>
      <c r="CR10" s="121"/>
    </row>
    <row r="11" spans="1:96">
      <c r="I11" s="117"/>
      <c r="K11" s="117"/>
      <c r="P11" s="117"/>
      <c r="Q11" s="117"/>
      <c r="S11" s="117"/>
      <c r="U11" s="117"/>
      <c r="V11" s="117"/>
      <c r="AL11" s="117"/>
      <c r="AM11" s="117"/>
      <c r="AP11" s="117"/>
      <c r="AQ11" s="117"/>
      <c r="AV11" s="118"/>
      <c r="AW11" s="118"/>
      <c r="AZ11" s="117"/>
      <c r="BJ11" s="119">
        <f>SUM($BK$2:BK10)+ROW($BK$3)</f>
        <v>3</v>
      </c>
      <c r="BK11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11" s="120" t="str">
        <f t="shared" si="0"/>
        <v/>
      </c>
      <c r="BM11" s="120" t="str">
        <f>IF(таблКоррозия[[#This Row],[Тех. Место]]&lt;&gt;"",IF(A11&lt;&gt;"","ID","Тех. место"),"")</f>
        <v/>
      </c>
      <c r="BN11" s="120" t="str">
        <f t="shared" si="1"/>
        <v/>
      </c>
      <c r="BO11" s="119" t="str">
        <f t="shared" si="2"/>
        <v/>
      </c>
      <c r="BP11" s="119" t="str">
        <f t="shared" si="3"/>
        <v/>
      </c>
      <c r="BQ11" s="119"/>
      <c r="BR11" s="119"/>
      <c r="BS11" s="119"/>
      <c r="BT11" s="119"/>
      <c r="BU11" s="121"/>
      <c r="BV11" s="121"/>
      <c r="BW11" s="121"/>
      <c r="BX11" s="121"/>
      <c r="BY11" s="121"/>
      <c r="BZ11" s="121"/>
      <c r="CB11" s="119">
        <f>SUM($CC$2:CC10)+ROW($CC$3)</f>
        <v>3</v>
      </c>
      <c r="CC11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11" s="120" t="str">
        <f t="shared" si="4"/>
        <v/>
      </c>
      <c r="CE11" s="120" t="str">
        <f>IF(таблНКС[[#This Row],[Тех. Место]]&lt;&gt;"",IF(A11&lt;&gt;"","ID","Тех. место"),"")</f>
        <v/>
      </c>
      <c r="CF11" s="120" t="str">
        <f t="shared" si="5"/>
        <v/>
      </c>
      <c r="CG11" s="119" t="str">
        <f t="shared" si="6"/>
        <v/>
      </c>
      <c r="CH11" s="119" t="str">
        <f t="shared" si="7"/>
        <v/>
      </c>
      <c r="CI11" s="119"/>
      <c r="CJ11" s="119"/>
      <c r="CK11" s="119"/>
      <c r="CL11" s="119"/>
      <c r="CM11" s="121"/>
      <c r="CN11" s="121"/>
      <c r="CO11" s="121"/>
      <c r="CP11" s="121"/>
      <c r="CQ11" s="121"/>
      <c r="CR11" s="121"/>
    </row>
    <row r="12" spans="1:96">
      <c r="I12" s="117"/>
      <c r="K12" s="117"/>
      <c r="P12" s="117"/>
      <c r="Q12" s="117"/>
      <c r="S12" s="117"/>
      <c r="U12" s="117"/>
      <c r="V12" s="117"/>
      <c r="AL12" s="117"/>
      <c r="AM12" s="117"/>
      <c r="AP12" s="117"/>
      <c r="AQ12" s="117"/>
      <c r="AV12" s="118"/>
      <c r="AW12" s="118"/>
      <c r="AZ12" s="188"/>
      <c r="BJ12" s="119">
        <f>SUM($BK$2:BK11)+ROW($BK$3)</f>
        <v>3</v>
      </c>
      <c r="BK12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12" s="120" t="str">
        <f t="shared" si="0"/>
        <v/>
      </c>
      <c r="BM12" s="120" t="str">
        <f>IF(таблКоррозия[[#This Row],[Тех. Место]]&lt;&gt;"",IF(A12&lt;&gt;"","ID","Тех. место"),"")</f>
        <v/>
      </c>
      <c r="BN12" s="120" t="str">
        <f t="shared" si="1"/>
        <v/>
      </c>
      <c r="BO12" s="119" t="str">
        <f t="shared" si="2"/>
        <v/>
      </c>
      <c r="BP12" s="119" t="str">
        <f t="shared" si="3"/>
        <v/>
      </c>
      <c r="BQ12" s="119"/>
      <c r="BR12" s="119"/>
      <c r="BS12" s="119"/>
      <c r="BT12" s="119"/>
      <c r="BU12" s="121"/>
      <c r="BV12" s="121"/>
      <c r="BW12" s="121"/>
      <c r="BX12" s="121"/>
      <c r="BY12" s="121"/>
      <c r="BZ12" s="121"/>
      <c r="CB12" s="119">
        <f>SUM($CC$2:CC11)+ROW($CC$3)</f>
        <v>3</v>
      </c>
      <c r="CC12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12" s="120" t="str">
        <f t="shared" si="4"/>
        <v/>
      </c>
      <c r="CE12" s="120" t="str">
        <f>IF(таблНКС[[#This Row],[Тех. Место]]&lt;&gt;"",IF(A12&lt;&gt;"","ID","Тех. место"),"")</f>
        <v/>
      </c>
      <c r="CF12" s="120" t="str">
        <f t="shared" si="5"/>
        <v/>
      </c>
      <c r="CG12" s="119" t="str">
        <f t="shared" si="6"/>
        <v/>
      </c>
      <c r="CH12" s="119" t="str">
        <f t="shared" si="7"/>
        <v/>
      </c>
      <c r="CI12" s="119"/>
      <c r="CJ12" s="119"/>
      <c r="CK12" s="119"/>
      <c r="CL12" s="119"/>
      <c r="CM12" s="121"/>
      <c r="CN12" s="121"/>
      <c r="CO12" s="121"/>
      <c r="CP12" s="121"/>
      <c r="CQ12" s="121"/>
      <c r="CR12" s="121"/>
    </row>
    <row r="13" spans="1:96">
      <c r="I13" s="117"/>
      <c r="K13" s="117"/>
      <c r="P13" s="117"/>
      <c r="Q13" s="117"/>
      <c r="S13" s="117"/>
      <c r="U13" s="117"/>
      <c r="V13" s="117"/>
      <c r="AL13" s="117"/>
      <c r="AM13" s="117"/>
      <c r="AP13" s="117"/>
      <c r="AQ13" s="117"/>
      <c r="AV13" s="118"/>
      <c r="AW13" s="118"/>
      <c r="AZ13" s="188"/>
      <c r="BJ13" s="119">
        <f>SUM($BK$2:BK12)+ROW($BK$3)</f>
        <v>3</v>
      </c>
      <c r="BK13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13" s="120" t="str">
        <f t="shared" si="0"/>
        <v/>
      </c>
      <c r="BM13" s="120" t="str">
        <f>IF(таблКоррозия[[#This Row],[Тех. Место]]&lt;&gt;"",IF(A13&lt;&gt;"","ID","Тех. место"),"")</f>
        <v/>
      </c>
      <c r="BN13" s="120" t="str">
        <f t="shared" si="1"/>
        <v/>
      </c>
      <c r="BO13" s="119" t="str">
        <f t="shared" si="2"/>
        <v/>
      </c>
      <c r="BP13" s="119" t="str">
        <f t="shared" si="3"/>
        <v/>
      </c>
      <c r="BQ13" s="119"/>
      <c r="BR13" s="119"/>
      <c r="BS13" s="119"/>
      <c r="BT13" s="119"/>
      <c r="BU13" s="121"/>
      <c r="BV13" s="121"/>
      <c r="BW13" s="121"/>
      <c r="BX13" s="121"/>
      <c r="BY13" s="121"/>
      <c r="BZ13" s="121"/>
      <c r="CB13" s="119">
        <f>SUM($CC$2:CC12)+ROW($CC$3)</f>
        <v>3</v>
      </c>
      <c r="CC13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13" s="120" t="str">
        <f t="shared" si="4"/>
        <v/>
      </c>
      <c r="CE13" s="120" t="str">
        <f>IF(таблНКС[[#This Row],[Тех. Место]]&lt;&gt;"",IF(A13&lt;&gt;"","ID","Тех. место"),"")</f>
        <v/>
      </c>
      <c r="CF13" s="120" t="str">
        <f t="shared" si="5"/>
        <v/>
      </c>
      <c r="CG13" s="119" t="str">
        <f t="shared" si="6"/>
        <v/>
      </c>
      <c r="CH13" s="119" t="str">
        <f t="shared" si="7"/>
        <v/>
      </c>
      <c r="CI13" s="119"/>
      <c r="CJ13" s="119"/>
      <c r="CK13" s="119"/>
      <c r="CL13" s="119"/>
      <c r="CM13" s="121"/>
      <c r="CN13" s="121"/>
      <c r="CO13" s="121"/>
      <c r="CP13" s="121"/>
      <c r="CQ13" s="121"/>
      <c r="CR13" s="121"/>
    </row>
    <row r="14" spans="1:96">
      <c r="I14" s="117"/>
      <c r="K14" s="117"/>
      <c r="P14" s="117"/>
      <c r="Q14" s="117"/>
      <c r="S14" s="117"/>
      <c r="U14" s="117"/>
      <c r="V14" s="117"/>
      <c r="AL14" s="117"/>
      <c r="AM14" s="117"/>
      <c r="AP14" s="117"/>
      <c r="AQ14" s="117"/>
      <c r="AV14" s="118"/>
      <c r="AW14" s="118"/>
      <c r="AZ14" s="117"/>
      <c r="BJ14" s="119">
        <f>SUM($BK$2:BK13)+ROW($BK$3)</f>
        <v>3</v>
      </c>
      <c r="BK14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14" s="120" t="str">
        <f t="shared" si="0"/>
        <v/>
      </c>
      <c r="BM14" s="120" t="str">
        <f>IF(таблКоррозия[[#This Row],[Тех. Место]]&lt;&gt;"",IF(A14&lt;&gt;"","ID","Тех. место"),"")</f>
        <v/>
      </c>
      <c r="BN14" s="120" t="str">
        <f t="shared" si="1"/>
        <v/>
      </c>
      <c r="BO14" s="119" t="str">
        <f t="shared" si="2"/>
        <v/>
      </c>
      <c r="BP14" s="119" t="str">
        <f t="shared" si="3"/>
        <v/>
      </c>
      <c r="BQ14" s="119"/>
      <c r="BR14" s="119"/>
      <c r="BS14" s="119"/>
      <c r="BT14" s="119"/>
      <c r="BU14" s="121"/>
      <c r="BV14" s="121"/>
      <c r="BW14" s="121"/>
      <c r="BX14" s="121"/>
      <c r="BY14" s="121"/>
      <c r="BZ14" s="121"/>
      <c r="CB14" s="119">
        <f>SUM($CC$2:CC13)+ROW($CC$3)</f>
        <v>3</v>
      </c>
      <c r="CC14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14" s="120" t="str">
        <f t="shared" si="4"/>
        <v/>
      </c>
      <c r="CE14" s="120" t="str">
        <f>IF(таблНКС[[#This Row],[Тех. Место]]&lt;&gt;"",IF(A14&lt;&gt;"","ID","Тех. место"),"")</f>
        <v/>
      </c>
      <c r="CF14" s="120" t="str">
        <f t="shared" si="5"/>
        <v/>
      </c>
      <c r="CG14" s="119" t="str">
        <f t="shared" si="6"/>
        <v/>
      </c>
      <c r="CH14" s="119" t="str">
        <f t="shared" si="7"/>
        <v/>
      </c>
      <c r="CI14" s="119"/>
      <c r="CJ14" s="119"/>
      <c r="CK14" s="119"/>
      <c r="CL14" s="119"/>
      <c r="CM14" s="121"/>
      <c r="CN14" s="121"/>
      <c r="CO14" s="121"/>
      <c r="CP14" s="121"/>
      <c r="CQ14" s="121"/>
      <c r="CR14" s="121"/>
    </row>
    <row r="15" spans="1:96">
      <c r="I15" s="117"/>
      <c r="K15" s="117"/>
      <c r="P15" s="117"/>
      <c r="Q15" s="117"/>
      <c r="S15" s="117"/>
      <c r="U15" s="117"/>
      <c r="V15" s="117"/>
      <c r="AL15" s="117"/>
      <c r="AM15" s="117"/>
      <c r="AP15" s="117"/>
      <c r="AQ15" s="117"/>
      <c r="AV15" s="118"/>
      <c r="AW15" s="118"/>
      <c r="AZ15" s="188"/>
      <c r="BJ15" s="119">
        <f>SUM($BK$2:BK14)+ROW($BK$3)</f>
        <v>3</v>
      </c>
      <c r="BK15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15" s="120" t="str">
        <f t="shared" si="0"/>
        <v/>
      </c>
      <c r="BM15" s="120" t="str">
        <f>IF(таблКоррозия[[#This Row],[Тех. Место]]&lt;&gt;"",IF(A15&lt;&gt;"","ID","Тех. место"),"")</f>
        <v/>
      </c>
      <c r="BN15" s="120" t="str">
        <f t="shared" si="1"/>
        <v/>
      </c>
      <c r="BO15" s="119" t="str">
        <f t="shared" si="2"/>
        <v/>
      </c>
      <c r="BP15" s="119" t="str">
        <f t="shared" si="3"/>
        <v/>
      </c>
      <c r="BQ15" s="119"/>
      <c r="BR15" s="119"/>
      <c r="BS15" s="119"/>
      <c r="BT15" s="119"/>
      <c r="BU15" s="121"/>
      <c r="BV15" s="121"/>
      <c r="BW15" s="121"/>
      <c r="BX15" s="121"/>
      <c r="BY15" s="121"/>
      <c r="BZ15" s="121"/>
      <c r="CB15" s="119">
        <f>SUM($CC$2:CC14)+ROW($CC$3)</f>
        <v>3</v>
      </c>
      <c r="CC15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15" s="120" t="str">
        <f t="shared" si="4"/>
        <v/>
      </c>
      <c r="CE15" s="120" t="str">
        <f>IF(таблНКС[[#This Row],[Тех. Место]]&lt;&gt;"",IF(A15&lt;&gt;"","ID","Тех. место"),"")</f>
        <v/>
      </c>
      <c r="CF15" s="120" t="str">
        <f t="shared" si="5"/>
        <v/>
      </c>
      <c r="CG15" s="119" t="str">
        <f t="shared" si="6"/>
        <v/>
      </c>
      <c r="CH15" s="119" t="str">
        <f t="shared" si="7"/>
        <v/>
      </c>
      <c r="CI15" s="119"/>
      <c r="CJ15" s="119"/>
      <c r="CK15" s="119"/>
      <c r="CL15" s="119"/>
      <c r="CM15" s="121"/>
      <c r="CN15" s="121"/>
      <c r="CO15" s="121"/>
      <c r="CP15" s="121"/>
      <c r="CQ15" s="121"/>
      <c r="CR15" s="121"/>
    </row>
    <row r="16" spans="1:96">
      <c r="I16" s="117"/>
      <c r="K16" s="117"/>
      <c r="P16" s="117"/>
      <c r="Q16" s="117"/>
      <c r="S16" s="117"/>
      <c r="U16" s="117"/>
      <c r="V16" s="117"/>
      <c r="AL16" s="117"/>
      <c r="AM16" s="117"/>
      <c r="AP16" s="117"/>
      <c r="AQ16" s="117"/>
      <c r="AV16" s="118"/>
      <c r="AW16" s="118"/>
      <c r="AZ16" s="188"/>
      <c r="BJ16" s="119">
        <f>SUM($BK$2:BK15)+ROW($BK$3)</f>
        <v>3</v>
      </c>
      <c r="BK16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16" s="120" t="str">
        <f t="shared" si="0"/>
        <v/>
      </c>
      <c r="BM16" s="120" t="str">
        <f>IF(таблКоррозия[[#This Row],[Тех. Место]]&lt;&gt;"",IF(A16&lt;&gt;"","ID","Тех. место"),"")</f>
        <v/>
      </c>
      <c r="BN16" s="120" t="str">
        <f t="shared" si="1"/>
        <v/>
      </c>
      <c r="BO16" s="119" t="str">
        <f t="shared" si="2"/>
        <v/>
      </c>
      <c r="BP16" s="119" t="str">
        <f t="shared" si="3"/>
        <v/>
      </c>
      <c r="BQ16" s="119"/>
      <c r="BR16" s="119"/>
      <c r="BS16" s="119"/>
      <c r="BT16" s="119"/>
      <c r="BU16" s="121"/>
      <c r="BV16" s="121"/>
      <c r="BW16" s="121"/>
      <c r="BX16" s="121"/>
      <c r="BY16" s="121"/>
      <c r="BZ16" s="121"/>
      <c r="CB16" s="119">
        <f>SUM($CC$2:CC15)+ROW($CC$3)</f>
        <v>3</v>
      </c>
      <c r="CC16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16" s="120" t="str">
        <f t="shared" si="4"/>
        <v/>
      </c>
      <c r="CE16" s="120" t="str">
        <f>IF(таблНКС[[#This Row],[Тех. Место]]&lt;&gt;"",IF(A16&lt;&gt;"","ID","Тех. место"),"")</f>
        <v/>
      </c>
      <c r="CF16" s="120" t="str">
        <f t="shared" si="5"/>
        <v/>
      </c>
      <c r="CG16" s="119" t="str">
        <f t="shared" si="6"/>
        <v/>
      </c>
      <c r="CH16" s="119" t="str">
        <f t="shared" si="7"/>
        <v/>
      </c>
      <c r="CI16" s="119"/>
      <c r="CJ16" s="119"/>
      <c r="CK16" s="119"/>
      <c r="CL16" s="119"/>
      <c r="CM16" s="121"/>
      <c r="CN16" s="121"/>
      <c r="CO16" s="121"/>
      <c r="CP16" s="121"/>
      <c r="CQ16" s="121"/>
      <c r="CR16" s="121"/>
    </row>
    <row r="17" spans="9:96">
      <c r="I17" s="117"/>
      <c r="K17" s="117"/>
      <c r="P17" s="117"/>
      <c r="Q17" s="117"/>
      <c r="S17" s="117"/>
      <c r="U17" s="117"/>
      <c r="V17" s="117"/>
      <c r="AL17" s="117"/>
      <c r="AM17" s="117"/>
      <c r="AP17" s="117"/>
      <c r="AQ17" s="117"/>
      <c r="AV17" s="118"/>
      <c r="AW17" s="118"/>
      <c r="AZ17" s="188"/>
      <c r="BJ17" s="119">
        <f>SUM($BK$2:BK16)+ROW($BK$3)</f>
        <v>3</v>
      </c>
      <c r="BK17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17" s="120" t="str">
        <f t="shared" si="0"/>
        <v/>
      </c>
      <c r="BM17" s="120" t="str">
        <f>IF(таблКоррозия[[#This Row],[Тех. Место]]&lt;&gt;"",IF(A17&lt;&gt;"","ID","Тех. место"),"")</f>
        <v/>
      </c>
      <c r="BN17" s="120" t="str">
        <f t="shared" si="1"/>
        <v/>
      </c>
      <c r="BO17" s="119" t="str">
        <f t="shared" si="2"/>
        <v/>
      </c>
      <c r="BP17" s="119" t="str">
        <f t="shared" si="3"/>
        <v/>
      </c>
      <c r="BQ17" s="119"/>
      <c r="BR17" s="119"/>
      <c r="BS17" s="119"/>
      <c r="BT17" s="119"/>
      <c r="BU17" s="121"/>
      <c r="BV17" s="121"/>
      <c r="BW17" s="121"/>
      <c r="BX17" s="121"/>
      <c r="BY17" s="121"/>
      <c r="BZ17" s="121"/>
      <c r="CB17" s="119">
        <f>SUM($CC$2:CC16)+ROW($CC$3)</f>
        <v>3</v>
      </c>
      <c r="CC17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17" s="120" t="str">
        <f t="shared" si="4"/>
        <v/>
      </c>
      <c r="CE17" s="120" t="str">
        <f>IF(таблНКС[[#This Row],[Тех. Место]]&lt;&gt;"",IF(A17&lt;&gt;"","ID","Тех. место"),"")</f>
        <v/>
      </c>
      <c r="CF17" s="120" t="str">
        <f t="shared" si="5"/>
        <v/>
      </c>
      <c r="CG17" s="119" t="str">
        <f t="shared" si="6"/>
        <v/>
      </c>
      <c r="CH17" s="119" t="str">
        <f t="shared" si="7"/>
        <v/>
      </c>
      <c r="CI17" s="119"/>
      <c r="CJ17" s="119"/>
      <c r="CK17" s="119"/>
      <c r="CL17" s="119"/>
      <c r="CM17" s="121"/>
      <c r="CN17" s="121"/>
      <c r="CO17" s="121"/>
      <c r="CP17" s="121"/>
      <c r="CQ17" s="121"/>
      <c r="CR17" s="121"/>
    </row>
    <row r="18" spans="9:96">
      <c r="I18" s="117"/>
      <c r="K18" s="117"/>
      <c r="P18" s="117"/>
      <c r="Q18" s="117"/>
      <c r="S18" s="117"/>
      <c r="U18" s="117"/>
      <c r="V18" s="117"/>
      <c r="AL18" s="117"/>
      <c r="AM18" s="117"/>
      <c r="AP18" s="117"/>
      <c r="AQ18" s="117"/>
      <c r="AV18" s="118"/>
      <c r="AW18" s="118"/>
      <c r="AZ18" s="188"/>
      <c r="BJ18" s="119">
        <f>SUM($BK$2:BK17)+ROW($BK$3)</f>
        <v>3</v>
      </c>
      <c r="BK18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18" s="120" t="str">
        <f t="shared" si="0"/>
        <v/>
      </c>
      <c r="BM18" s="120" t="str">
        <f>IF(таблКоррозия[[#This Row],[Тех. Место]]&lt;&gt;"",IF(A18&lt;&gt;"","ID","Тех. место"),"")</f>
        <v/>
      </c>
      <c r="BN18" s="120" t="str">
        <f t="shared" si="1"/>
        <v/>
      </c>
      <c r="BO18" s="119" t="str">
        <f t="shared" si="2"/>
        <v/>
      </c>
      <c r="BP18" s="119" t="str">
        <f t="shared" si="3"/>
        <v/>
      </c>
      <c r="BQ18" s="119"/>
      <c r="BR18" s="119"/>
      <c r="BS18" s="119"/>
      <c r="BT18" s="119"/>
      <c r="BU18" s="121"/>
      <c r="BV18" s="121"/>
      <c r="BW18" s="121"/>
      <c r="BX18" s="121"/>
      <c r="BY18" s="121"/>
      <c r="BZ18" s="121"/>
      <c r="CB18" s="119">
        <f>SUM($CC$2:CC17)+ROW($CC$3)</f>
        <v>3</v>
      </c>
      <c r="CC18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18" s="120" t="str">
        <f t="shared" si="4"/>
        <v/>
      </c>
      <c r="CE18" s="120" t="str">
        <f>IF(таблНКС[[#This Row],[Тех. Место]]&lt;&gt;"",IF(A18&lt;&gt;"","ID","Тех. место"),"")</f>
        <v/>
      </c>
      <c r="CF18" s="120" t="str">
        <f t="shared" si="5"/>
        <v/>
      </c>
      <c r="CG18" s="119" t="str">
        <f t="shared" si="6"/>
        <v/>
      </c>
      <c r="CH18" s="119" t="str">
        <f t="shared" si="7"/>
        <v/>
      </c>
      <c r="CI18" s="119"/>
      <c r="CJ18" s="119"/>
      <c r="CK18" s="119"/>
      <c r="CL18" s="119"/>
      <c r="CM18" s="121"/>
      <c r="CN18" s="121"/>
      <c r="CO18" s="121"/>
      <c r="CP18" s="121"/>
      <c r="CQ18" s="121"/>
      <c r="CR18" s="121"/>
    </row>
    <row r="19" spans="9:96">
      <c r="I19" s="117"/>
      <c r="K19" s="117"/>
      <c r="P19" s="117"/>
      <c r="Q19" s="117"/>
      <c r="S19" s="117"/>
      <c r="U19" s="117"/>
      <c r="V19" s="117"/>
      <c r="AL19" s="117"/>
      <c r="AM19" s="117"/>
      <c r="AP19" s="117"/>
      <c r="AQ19" s="117"/>
      <c r="AV19" s="118"/>
      <c r="AW19" s="118"/>
      <c r="AZ19" s="188"/>
      <c r="BJ19" s="119">
        <f>SUM($BK$2:BK18)+ROW($BK$3)</f>
        <v>3</v>
      </c>
      <c r="BK19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19" s="120" t="str">
        <f t="shared" si="0"/>
        <v/>
      </c>
      <c r="BM19" s="120" t="str">
        <f>IF(таблКоррозия[[#This Row],[Тех. Место]]&lt;&gt;"",IF(A19&lt;&gt;"","ID","Тех. место"),"")</f>
        <v/>
      </c>
      <c r="BN19" s="120" t="str">
        <f t="shared" si="1"/>
        <v/>
      </c>
      <c r="BO19" s="119" t="str">
        <f t="shared" si="2"/>
        <v/>
      </c>
      <c r="BP19" s="119" t="str">
        <f t="shared" si="3"/>
        <v/>
      </c>
      <c r="BQ19" s="119"/>
      <c r="BR19" s="119"/>
      <c r="BS19" s="119"/>
      <c r="BT19" s="119"/>
      <c r="BU19" s="121"/>
      <c r="BV19" s="121"/>
      <c r="BW19" s="121"/>
      <c r="BX19" s="121"/>
      <c r="BY19" s="121"/>
      <c r="BZ19" s="121"/>
      <c r="CB19" s="119">
        <f>SUM($CC$2:CC18)+ROW($CC$3)</f>
        <v>3</v>
      </c>
      <c r="CC19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19" s="120" t="str">
        <f t="shared" si="4"/>
        <v/>
      </c>
      <c r="CE19" s="120" t="str">
        <f>IF(таблНКС[[#This Row],[Тех. Место]]&lt;&gt;"",IF(A19&lt;&gt;"","ID","Тех. место"),"")</f>
        <v/>
      </c>
      <c r="CF19" s="120" t="str">
        <f t="shared" si="5"/>
        <v/>
      </c>
      <c r="CG19" s="119" t="str">
        <f t="shared" si="6"/>
        <v/>
      </c>
      <c r="CH19" s="119" t="str">
        <f t="shared" si="7"/>
        <v/>
      </c>
      <c r="CI19" s="119"/>
      <c r="CJ19" s="119"/>
      <c r="CK19" s="119"/>
      <c r="CL19" s="119"/>
      <c r="CM19" s="121"/>
      <c r="CN19" s="121"/>
      <c r="CO19" s="121"/>
      <c r="CP19" s="121"/>
      <c r="CQ19" s="121"/>
      <c r="CR19" s="121"/>
    </row>
    <row r="20" spans="9:96">
      <c r="I20" s="117"/>
      <c r="K20" s="117"/>
      <c r="P20" s="117"/>
      <c r="Q20" s="117"/>
      <c r="S20" s="117"/>
      <c r="U20" s="117"/>
      <c r="V20" s="117"/>
      <c r="AL20" s="117"/>
      <c r="AM20" s="117"/>
      <c r="AP20" s="117"/>
      <c r="AQ20" s="117"/>
      <c r="AV20" s="118"/>
      <c r="AW20" s="118"/>
      <c r="AZ20" s="188"/>
      <c r="BJ20" s="119">
        <f>SUM($BK$2:BK19)+ROW($BK$3)</f>
        <v>3</v>
      </c>
      <c r="BK20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20" s="120" t="str">
        <f t="shared" si="0"/>
        <v/>
      </c>
      <c r="BM20" s="120" t="str">
        <f>IF(таблКоррозия[[#This Row],[Тех. Место]]&lt;&gt;"",IF(A20&lt;&gt;"","ID","Тех. место"),"")</f>
        <v/>
      </c>
      <c r="BN20" s="120" t="str">
        <f t="shared" si="1"/>
        <v/>
      </c>
      <c r="BO20" s="119" t="str">
        <f t="shared" si="2"/>
        <v/>
      </c>
      <c r="BP20" s="119" t="str">
        <f t="shared" si="3"/>
        <v/>
      </c>
      <c r="BQ20" s="119"/>
      <c r="BR20" s="119"/>
      <c r="BS20" s="119"/>
      <c r="BT20" s="119"/>
      <c r="BU20" s="121"/>
      <c r="BV20" s="121"/>
      <c r="BW20" s="121"/>
      <c r="BX20" s="121"/>
      <c r="BY20" s="121"/>
      <c r="BZ20" s="121"/>
      <c r="CB20" s="119">
        <f>SUM($CC$2:CC19)+ROW($CC$3)</f>
        <v>3</v>
      </c>
      <c r="CC20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20" s="120" t="str">
        <f t="shared" si="4"/>
        <v/>
      </c>
      <c r="CE20" s="120" t="str">
        <f>IF(таблНКС[[#This Row],[Тех. Место]]&lt;&gt;"",IF(A20&lt;&gt;"","ID","Тех. место"),"")</f>
        <v/>
      </c>
      <c r="CF20" s="120" t="str">
        <f t="shared" si="5"/>
        <v/>
      </c>
      <c r="CG20" s="119" t="str">
        <f t="shared" si="6"/>
        <v/>
      </c>
      <c r="CH20" s="119" t="str">
        <f t="shared" si="7"/>
        <v/>
      </c>
      <c r="CI20" s="119"/>
      <c r="CJ20" s="119"/>
      <c r="CK20" s="119"/>
      <c r="CL20" s="119"/>
      <c r="CM20" s="121"/>
      <c r="CN20" s="121"/>
      <c r="CO20" s="121"/>
      <c r="CP20" s="121"/>
      <c r="CQ20" s="121"/>
      <c r="CR20" s="121"/>
    </row>
    <row r="21" spans="9:96">
      <c r="I21" s="117"/>
      <c r="K21" s="117"/>
      <c r="P21" s="117"/>
      <c r="Q21" s="117"/>
      <c r="S21" s="117"/>
      <c r="U21" s="117"/>
      <c r="V21" s="117"/>
      <c r="AL21" s="117"/>
      <c r="AM21" s="117"/>
      <c r="AP21" s="117"/>
      <c r="AQ21" s="117"/>
      <c r="AV21" s="118"/>
      <c r="AW21" s="118"/>
      <c r="AZ21" s="117"/>
      <c r="BJ21" s="119">
        <f>SUM($BK$2:BK20)+ROW($BK$3)</f>
        <v>3</v>
      </c>
      <c r="BK21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21" s="120" t="str">
        <f t="shared" si="0"/>
        <v/>
      </c>
      <c r="BM21" s="120" t="str">
        <f>IF(таблКоррозия[[#This Row],[Тех. Место]]&lt;&gt;"",IF(A21&lt;&gt;"","ID","Тех. место"),"")</f>
        <v/>
      </c>
      <c r="BN21" s="120" t="str">
        <f t="shared" si="1"/>
        <v/>
      </c>
      <c r="BO21" s="119" t="str">
        <f t="shared" si="2"/>
        <v/>
      </c>
      <c r="BP21" s="119" t="str">
        <f t="shared" si="3"/>
        <v/>
      </c>
      <c r="BQ21" s="119"/>
      <c r="BR21" s="119"/>
      <c r="BS21" s="119"/>
      <c r="BT21" s="119"/>
      <c r="BU21" s="121"/>
      <c r="BV21" s="121"/>
      <c r="BW21" s="121"/>
      <c r="BX21" s="121"/>
      <c r="BY21" s="121"/>
      <c r="BZ21" s="121"/>
      <c r="CB21" s="119">
        <f>SUM($CC$2:CC20)+ROW($CC$3)</f>
        <v>3</v>
      </c>
      <c r="CC21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21" s="120" t="str">
        <f t="shared" si="4"/>
        <v/>
      </c>
      <c r="CE21" s="120" t="str">
        <f>IF(таблНКС[[#This Row],[Тех. Место]]&lt;&gt;"",IF(A21&lt;&gt;"","ID","Тех. место"),"")</f>
        <v/>
      </c>
      <c r="CF21" s="120" t="str">
        <f t="shared" si="5"/>
        <v/>
      </c>
      <c r="CG21" s="119" t="str">
        <f t="shared" si="6"/>
        <v/>
      </c>
      <c r="CH21" s="119" t="str">
        <f t="shared" si="7"/>
        <v/>
      </c>
      <c r="CI21" s="119"/>
      <c r="CJ21" s="119"/>
      <c r="CK21" s="119"/>
      <c r="CL21" s="119"/>
      <c r="CM21" s="121"/>
      <c r="CN21" s="121"/>
      <c r="CO21" s="121"/>
      <c r="CP21" s="121"/>
      <c r="CQ21" s="121"/>
      <c r="CR21" s="121"/>
    </row>
    <row r="22" spans="9:96">
      <c r="I22" s="117"/>
      <c r="K22" s="117"/>
      <c r="P22" s="117"/>
      <c r="Q22" s="117"/>
      <c r="S22" s="117"/>
      <c r="U22" s="117"/>
      <c r="V22" s="117"/>
      <c r="AL22" s="117"/>
      <c r="AM22" s="117"/>
      <c r="AP22" s="117"/>
      <c r="AQ22" s="117"/>
      <c r="AV22" s="118"/>
      <c r="AW22" s="118"/>
      <c r="AZ22" s="117"/>
      <c r="BJ22" s="119">
        <f>SUM($BK$2:BK21)+ROW($BK$3)</f>
        <v>3</v>
      </c>
      <c r="BK22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22" s="120" t="str">
        <f t="shared" si="0"/>
        <v/>
      </c>
      <c r="BM22" s="120" t="str">
        <f>IF(таблКоррозия[[#This Row],[Тех. Место]]&lt;&gt;"",IF(A22&lt;&gt;"","ID","Тех. место"),"")</f>
        <v/>
      </c>
      <c r="BN22" s="120" t="str">
        <f t="shared" si="1"/>
        <v/>
      </c>
      <c r="BO22" s="119" t="str">
        <f t="shared" si="2"/>
        <v/>
      </c>
      <c r="BP22" s="119" t="str">
        <f t="shared" si="3"/>
        <v/>
      </c>
      <c r="BQ22" s="119"/>
      <c r="BR22" s="119"/>
      <c r="BS22" s="119"/>
      <c r="BT22" s="119"/>
      <c r="BU22" s="121"/>
      <c r="BV22" s="121"/>
      <c r="BW22" s="121"/>
      <c r="BX22" s="121"/>
      <c r="BY22" s="121"/>
      <c r="BZ22" s="121"/>
      <c r="CB22" s="119">
        <f>SUM($CC$2:CC21)+ROW($CC$3)</f>
        <v>3</v>
      </c>
      <c r="CC22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22" s="120" t="str">
        <f t="shared" si="4"/>
        <v/>
      </c>
      <c r="CE22" s="120" t="str">
        <f>IF(таблНКС[[#This Row],[Тех. Место]]&lt;&gt;"",IF(A22&lt;&gt;"","ID","Тех. место"),"")</f>
        <v/>
      </c>
      <c r="CF22" s="120" t="str">
        <f t="shared" si="5"/>
        <v/>
      </c>
      <c r="CG22" s="119" t="str">
        <f t="shared" si="6"/>
        <v/>
      </c>
      <c r="CH22" s="119" t="str">
        <f t="shared" si="7"/>
        <v/>
      </c>
      <c r="CI22" s="119"/>
      <c r="CJ22" s="119"/>
      <c r="CK22" s="119"/>
      <c r="CL22" s="119"/>
      <c r="CM22" s="121"/>
      <c r="CN22" s="121"/>
      <c r="CO22" s="121"/>
      <c r="CP22" s="121"/>
      <c r="CQ22" s="121"/>
      <c r="CR22" s="121"/>
    </row>
    <row r="23" spans="9:96">
      <c r="AZ23" s="117"/>
      <c r="BJ23" s="119">
        <f>SUM($BK$2:BK22)+ROW($BK$3)</f>
        <v>3</v>
      </c>
      <c r="BK23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23" s="120" t="str">
        <f t="shared" si="0"/>
        <v/>
      </c>
      <c r="BM23" s="120" t="str">
        <f>IF(таблКоррозия[[#This Row],[Тех. Место]]&lt;&gt;"",IF(A23&lt;&gt;"","ID","Тех. место"),"")</f>
        <v/>
      </c>
      <c r="BN23" s="120" t="str">
        <f t="shared" si="1"/>
        <v/>
      </c>
      <c r="BO23" s="119" t="str">
        <f t="shared" si="2"/>
        <v/>
      </c>
      <c r="BP23" s="119" t="str">
        <f t="shared" si="3"/>
        <v/>
      </c>
      <c r="BQ23" s="119"/>
      <c r="BR23" s="119"/>
      <c r="BS23" s="119"/>
      <c r="BT23" s="119"/>
      <c r="BU23" s="121"/>
      <c r="BV23" s="121"/>
      <c r="BW23" s="121"/>
      <c r="BX23" s="121"/>
      <c r="BY23" s="121"/>
      <c r="BZ23" s="121"/>
      <c r="CB23" s="119">
        <f>SUM($CC$2:CC22)+ROW($CC$3)</f>
        <v>3</v>
      </c>
      <c r="CC23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23" s="120" t="str">
        <f t="shared" si="4"/>
        <v/>
      </c>
      <c r="CE23" s="120" t="str">
        <f>IF(таблНКС[[#This Row],[Тех. Место]]&lt;&gt;"",IF(A23&lt;&gt;"","ID","Тех. место"),"")</f>
        <v/>
      </c>
      <c r="CF23" s="120" t="str">
        <f t="shared" si="5"/>
        <v/>
      </c>
      <c r="CG23" s="119" t="str">
        <f t="shared" si="6"/>
        <v/>
      </c>
      <c r="CH23" s="119" t="str">
        <f t="shared" si="7"/>
        <v/>
      </c>
      <c r="CI23" s="119"/>
      <c r="CJ23" s="119"/>
      <c r="CK23" s="119"/>
      <c r="CL23" s="119"/>
      <c r="CM23" s="121"/>
      <c r="CN23" s="121"/>
      <c r="CO23" s="121"/>
      <c r="CP23" s="121"/>
      <c r="CQ23" s="121"/>
      <c r="CR23" s="121"/>
    </row>
    <row r="24" spans="9:96">
      <c r="AZ24" s="117"/>
      <c r="BJ24" s="119">
        <f>SUM($BK$2:BK23)+ROW($BK$3)</f>
        <v>3</v>
      </c>
      <c r="BK24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24" s="120" t="str">
        <f t="shared" si="0"/>
        <v/>
      </c>
      <c r="BM24" s="120" t="str">
        <f>IF(таблКоррозия[[#This Row],[Тех. Место]]&lt;&gt;"",IF(A24&lt;&gt;"","ID","Тех. место"),"")</f>
        <v/>
      </c>
      <c r="BN24" s="120" t="str">
        <f t="shared" si="1"/>
        <v/>
      </c>
      <c r="BO24" s="119" t="str">
        <f t="shared" si="2"/>
        <v/>
      </c>
      <c r="BP24" s="119" t="str">
        <f t="shared" si="3"/>
        <v/>
      </c>
      <c r="BQ24" s="119"/>
      <c r="BR24" s="119"/>
      <c r="BS24" s="119"/>
      <c r="BT24" s="119"/>
      <c r="BU24" s="121"/>
      <c r="BV24" s="121"/>
      <c r="BW24" s="121"/>
      <c r="BX24" s="121"/>
      <c r="BY24" s="121"/>
      <c r="BZ24" s="121"/>
      <c r="CB24" s="119">
        <f>SUM($CC$2:CC23)+ROW($CC$3)</f>
        <v>3</v>
      </c>
      <c r="CC24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24" s="120" t="str">
        <f t="shared" si="4"/>
        <v/>
      </c>
      <c r="CE24" s="120" t="str">
        <f>IF(таблНКС[[#This Row],[Тех. Место]]&lt;&gt;"",IF(A24&lt;&gt;"","ID","Тех. место"),"")</f>
        <v/>
      </c>
      <c r="CF24" s="120" t="str">
        <f t="shared" si="5"/>
        <v/>
      </c>
      <c r="CG24" s="119" t="str">
        <f t="shared" si="6"/>
        <v/>
      </c>
      <c r="CH24" s="119" t="str">
        <f t="shared" si="7"/>
        <v/>
      </c>
      <c r="CI24" s="119"/>
      <c r="CJ24" s="119"/>
      <c r="CK24" s="119"/>
      <c r="CL24" s="119"/>
      <c r="CM24" s="121"/>
      <c r="CN24" s="121"/>
      <c r="CO24" s="121"/>
      <c r="CP24" s="121"/>
      <c r="CQ24" s="121"/>
      <c r="CR24" s="121"/>
    </row>
    <row r="25" spans="9:96">
      <c r="AZ25" s="117"/>
      <c r="BJ25" s="119">
        <f>SUM($BK$2:BK24)+ROW($BK$3)</f>
        <v>3</v>
      </c>
      <c r="BK25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25" s="120" t="str">
        <f t="shared" si="0"/>
        <v/>
      </c>
      <c r="BM25" s="120" t="str">
        <f>IF(таблКоррозия[[#This Row],[Тех. Место]]&lt;&gt;"",IF(A25&lt;&gt;"","ID","Тех. место"),"")</f>
        <v/>
      </c>
      <c r="BN25" s="120" t="str">
        <f t="shared" si="1"/>
        <v/>
      </c>
      <c r="BO25" s="119" t="str">
        <f t="shared" si="2"/>
        <v/>
      </c>
      <c r="BP25" s="119" t="str">
        <f t="shared" si="3"/>
        <v/>
      </c>
      <c r="BQ25" s="119"/>
      <c r="BR25" s="119"/>
      <c r="BS25" s="119"/>
      <c r="BT25" s="119"/>
      <c r="BU25" s="121"/>
      <c r="BV25" s="121"/>
      <c r="BW25" s="121"/>
      <c r="BX25" s="121"/>
      <c r="BY25" s="121"/>
      <c r="BZ25" s="121"/>
      <c r="CB25" s="119">
        <f>SUM($CC$2:CC24)+ROW($CC$3)</f>
        <v>3</v>
      </c>
      <c r="CC25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25" s="120" t="str">
        <f t="shared" si="4"/>
        <v/>
      </c>
      <c r="CE25" s="120" t="str">
        <f>IF(таблНКС[[#This Row],[Тех. Место]]&lt;&gt;"",IF(A25&lt;&gt;"","ID","Тех. место"),"")</f>
        <v/>
      </c>
      <c r="CF25" s="120" t="str">
        <f t="shared" si="5"/>
        <v/>
      </c>
      <c r="CG25" s="119" t="str">
        <f t="shared" si="6"/>
        <v/>
      </c>
      <c r="CH25" s="119" t="str">
        <f t="shared" si="7"/>
        <v/>
      </c>
      <c r="CI25" s="119"/>
      <c r="CJ25" s="119"/>
      <c r="CK25" s="119"/>
      <c r="CL25" s="119"/>
      <c r="CM25" s="121"/>
      <c r="CN25" s="121"/>
      <c r="CO25" s="121"/>
      <c r="CP25" s="121"/>
      <c r="CQ25" s="121"/>
      <c r="CR25" s="121"/>
    </row>
    <row r="26" spans="9:96">
      <c r="AZ26" s="117"/>
      <c r="BJ26" s="119">
        <f>SUM($BK$2:BK25)+ROW($BK$3)</f>
        <v>3</v>
      </c>
      <c r="BK26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26" s="120" t="str">
        <f t="shared" si="0"/>
        <v/>
      </c>
      <c r="BM26" s="120" t="str">
        <f>IF(таблКоррозия[[#This Row],[Тех. Место]]&lt;&gt;"",IF(A26&lt;&gt;"","ID","Тех. место"),"")</f>
        <v/>
      </c>
      <c r="BN26" s="120" t="str">
        <f t="shared" si="1"/>
        <v/>
      </c>
      <c r="BO26" s="119" t="str">
        <f t="shared" si="2"/>
        <v/>
      </c>
      <c r="BP26" s="119" t="str">
        <f t="shared" si="3"/>
        <v/>
      </c>
      <c r="BQ26" s="119"/>
      <c r="BR26" s="119"/>
      <c r="BS26" s="119"/>
      <c r="BT26" s="119"/>
      <c r="BU26" s="121"/>
      <c r="BV26" s="121"/>
      <c r="BW26" s="121"/>
      <c r="BX26" s="121"/>
      <c r="BY26" s="121"/>
      <c r="BZ26" s="121"/>
      <c r="CB26" s="119">
        <f>SUM($CC$2:CC25)+ROW($CC$3)</f>
        <v>3</v>
      </c>
      <c r="CC26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26" s="120" t="str">
        <f t="shared" si="4"/>
        <v/>
      </c>
      <c r="CE26" s="120" t="str">
        <f>IF(таблНКС[[#This Row],[Тех. Место]]&lt;&gt;"",IF(A26&lt;&gt;"","ID","Тех. место"),"")</f>
        <v/>
      </c>
      <c r="CF26" s="120" t="str">
        <f t="shared" si="5"/>
        <v/>
      </c>
      <c r="CG26" s="119" t="str">
        <f t="shared" si="6"/>
        <v/>
      </c>
      <c r="CH26" s="119" t="str">
        <f t="shared" si="7"/>
        <v/>
      </c>
      <c r="CI26" s="119"/>
      <c r="CJ26" s="119"/>
      <c r="CK26" s="119"/>
      <c r="CL26" s="119"/>
      <c r="CM26" s="121"/>
      <c r="CN26" s="121"/>
      <c r="CO26" s="121"/>
      <c r="CP26" s="121"/>
      <c r="CQ26" s="121"/>
      <c r="CR26" s="121"/>
    </row>
    <row r="27" spans="9:96">
      <c r="AZ27" s="117"/>
      <c r="BJ27" s="119">
        <f>SUM($BK$2:BK26)+ROW($BK$3)</f>
        <v>3</v>
      </c>
      <c r="BK27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27" s="120" t="str">
        <f t="shared" si="0"/>
        <v/>
      </c>
      <c r="BM27" s="120" t="str">
        <f>IF(таблКоррозия[[#This Row],[Тех. Место]]&lt;&gt;"",IF(A27&lt;&gt;"","ID","Тех. место"),"")</f>
        <v/>
      </c>
      <c r="BN27" s="120" t="str">
        <f t="shared" si="1"/>
        <v/>
      </c>
      <c r="BO27" s="119" t="str">
        <f t="shared" si="2"/>
        <v/>
      </c>
      <c r="BP27" s="119" t="str">
        <f t="shared" si="3"/>
        <v/>
      </c>
      <c r="BQ27" s="119"/>
      <c r="BR27" s="119"/>
      <c r="BS27" s="119"/>
      <c r="BT27" s="119"/>
      <c r="BU27" s="121"/>
      <c r="BV27" s="121"/>
      <c r="BW27" s="121"/>
      <c r="BX27" s="121"/>
      <c r="BY27" s="121"/>
      <c r="BZ27" s="121"/>
      <c r="CB27" s="119">
        <f>SUM($CC$2:CC26)+ROW($CC$3)</f>
        <v>3</v>
      </c>
      <c r="CC27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27" s="120" t="str">
        <f t="shared" si="4"/>
        <v/>
      </c>
      <c r="CE27" s="120" t="str">
        <f>IF(таблНКС[[#This Row],[Тех. Место]]&lt;&gt;"",IF(A27&lt;&gt;"","ID","Тех. место"),"")</f>
        <v/>
      </c>
      <c r="CF27" s="120" t="str">
        <f t="shared" si="5"/>
        <v/>
      </c>
      <c r="CG27" s="119" t="str">
        <f t="shared" si="6"/>
        <v/>
      </c>
      <c r="CH27" s="119" t="str">
        <f t="shared" si="7"/>
        <v/>
      </c>
      <c r="CI27" s="119"/>
      <c r="CJ27" s="119"/>
      <c r="CK27" s="119"/>
      <c r="CL27" s="119"/>
      <c r="CM27" s="121"/>
      <c r="CN27" s="121"/>
      <c r="CO27" s="121"/>
      <c r="CP27" s="121"/>
      <c r="CQ27" s="121"/>
      <c r="CR27" s="121"/>
    </row>
    <row r="28" spans="9:96">
      <c r="AZ28" s="117"/>
      <c r="BJ28" s="119">
        <f>SUM($BK$2:BK27)+ROW($BK$3)</f>
        <v>3</v>
      </c>
      <c r="BK28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28" s="120" t="str">
        <f t="shared" si="0"/>
        <v/>
      </c>
      <c r="BM28" s="120" t="str">
        <f>IF(таблКоррозия[[#This Row],[Тех. Место]]&lt;&gt;"",IF(A28&lt;&gt;"","ID","Тех. место"),"")</f>
        <v/>
      </c>
      <c r="BN28" s="120" t="str">
        <f t="shared" si="1"/>
        <v/>
      </c>
      <c r="BO28" s="119" t="str">
        <f t="shared" si="2"/>
        <v/>
      </c>
      <c r="BP28" s="119" t="str">
        <f t="shared" si="3"/>
        <v/>
      </c>
      <c r="BQ28" s="119"/>
      <c r="BR28" s="119"/>
      <c r="BS28" s="119"/>
      <c r="BT28" s="119"/>
      <c r="BU28" s="121"/>
      <c r="BV28" s="121"/>
      <c r="BW28" s="121"/>
      <c r="BX28" s="121"/>
      <c r="BY28" s="121"/>
      <c r="BZ28" s="121"/>
      <c r="CB28" s="119">
        <f>SUM($CC$2:CC27)+ROW($CC$3)</f>
        <v>3</v>
      </c>
      <c r="CC28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28" s="120" t="str">
        <f t="shared" si="4"/>
        <v/>
      </c>
      <c r="CE28" s="120" t="str">
        <f>IF(таблНКС[[#This Row],[Тех. Место]]&lt;&gt;"",IF(A28&lt;&gt;"","ID","Тех. место"),"")</f>
        <v/>
      </c>
      <c r="CF28" s="120" t="str">
        <f t="shared" si="5"/>
        <v/>
      </c>
      <c r="CG28" s="119" t="str">
        <f t="shared" si="6"/>
        <v/>
      </c>
      <c r="CH28" s="119" t="str">
        <f t="shared" si="7"/>
        <v/>
      </c>
      <c r="CI28" s="119"/>
      <c r="CJ28" s="119"/>
      <c r="CK28" s="119"/>
      <c r="CL28" s="119"/>
      <c r="CM28" s="121"/>
      <c r="CN28" s="121"/>
      <c r="CO28" s="121"/>
      <c r="CP28" s="121"/>
      <c r="CQ28" s="121"/>
      <c r="CR28" s="121"/>
    </row>
    <row r="29" spans="9:96">
      <c r="AZ29" s="117"/>
      <c r="BJ29" s="119">
        <f>SUM($BK$2:BK28)+ROW($BK$3)</f>
        <v>3</v>
      </c>
      <c r="BK29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29" s="120" t="str">
        <f t="shared" si="0"/>
        <v/>
      </c>
      <c r="BM29" s="120" t="str">
        <f>IF(таблКоррозия[[#This Row],[Тех. Место]]&lt;&gt;"",IF(A29&lt;&gt;"","ID","Тех. место"),"")</f>
        <v/>
      </c>
      <c r="BN29" s="120" t="str">
        <f t="shared" si="1"/>
        <v/>
      </c>
      <c r="BO29" s="119" t="str">
        <f t="shared" si="2"/>
        <v/>
      </c>
      <c r="BP29" s="119" t="str">
        <f t="shared" si="3"/>
        <v/>
      </c>
      <c r="BQ29" s="119"/>
      <c r="BR29" s="119"/>
      <c r="BS29" s="119"/>
      <c r="BT29" s="119"/>
      <c r="BU29" s="121"/>
      <c r="BV29" s="121"/>
      <c r="BW29" s="121"/>
      <c r="BX29" s="121"/>
      <c r="BY29" s="121"/>
      <c r="BZ29" s="121"/>
      <c r="CB29" s="119">
        <f>SUM($CC$2:CC28)+ROW($CC$3)</f>
        <v>3</v>
      </c>
      <c r="CC29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29" s="120" t="str">
        <f t="shared" si="4"/>
        <v/>
      </c>
      <c r="CE29" s="120" t="str">
        <f>IF(таблНКС[[#This Row],[Тех. Место]]&lt;&gt;"",IF(A29&lt;&gt;"","ID","Тех. место"),"")</f>
        <v/>
      </c>
      <c r="CF29" s="120" t="str">
        <f t="shared" si="5"/>
        <v/>
      </c>
      <c r="CG29" s="119" t="str">
        <f t="shared" si="6"/>
        <v/>
      </c>
      <c r="CH29" s="119" t="str">
        <f t="shared" si="7"/>
        <v/>
      </c>
      <c r="CI29" s="119"/>
      <c r="CJ29" s="119"/>
      <c r="CK29" s="119"/>
      <c r="CL29" s="119"/>
      <c r="CM29" s="121"/>
      <c r="CN29" s="121"/>
      <c r="CO29" s="121"/>
      <c r="CP29" s="121"/>
      <c r="CQ29" s="121"/>
      <c r="CR29" s="121"/>
    </row>
    <row r="30" spans="9:96">
      <c r="AZ30" s="117"/>
      <c r="BJ30" s="119">
        <f>SUM($BK$2:BK29)+ROW($BK$3)</f>
        <v>3</v>
      </c>
      <c r="BK30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30" s="120" t="str">
        <f t="shared" si="0"/>
        <v/>
      </c>
      <c r="BM30" s="120" t="str">
        <f>IF(таблКоррозия[[#This Row],[Тех. Место]]&lt;&gt;"",IF(A30&lt;&gt;"","ID","Тех. место"),"")</f>
        <v/>
      </c>
      <c r="BN30" s="120" t="str">
        <f t="shared" si="1"/>
        <v/>
      </c>
      <c r="BO30" s="119" t="str">
        <f t="shared" si="2"/>
        <v/>
      </c>
      <c r="BP30" s="119" t="str">
        <f t="shared" si="3"/>
        <v/>
      </c>
      <c r="BQ30" s="119"/>
      <c r="BR30" s="119"/>
      <c r="BS30" s="119"/>
      <c r="BT30" s="119"/>
      <c r="BU30" s="121"/>
      <c r="BV30" s="121"/>
      <c r="BW30" s="121"/>
      <c r="BX30" s="121"/>
      <c r="BY30" s="121"/>
      <c r="BZ30" s="121"/>
      <c r="CB30" s="119">
        <f>SUM($CC$2:CC29)+ROW($CC$3)</f>
        <v>3</v>
      </c>
      <c r="CC30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30" s="120" t="str">
        <f t="shared" si="4"/>
        <v/>
      </c>
      <c r="CE30" s="120" t="str">
        <f>IF(таблНКС[[#This Row],[Тех. Место]]&lt;&gt;"",IF(A30&lt;&gt;"","ID","Тех. место"),"")</f>
        <v/>
      </c>
      <c r="CF30" s="120" t="str">
        <f t="shared" si="5"/>
        <v/>
      </c>
      <c r="CG30" s="119" t="str">
        <f t="shared" si="6"/>
        <v/>
      </c>
      <c r="CH30" s="119" t="str">
        <f t="shared" si="7"/>
        <v/>
      </c>
      <c r="CI30" s="119"/>
      <c r="CJ30" s="119"/>
      <c r="CK30" s="119"/>
      <c r="CL30" s="119"/>
      <c r="CM30" s="121"/>
      <c r="CN30" s="121"/>
      <c r="CO30" s="121"/>
      <c r="CP30" s="121"/>
      <c r="CQ30" s="121"/>
      <c r="CR30" s="121"/>
    </row>
    <row r="31" spans="9:96">
      <c r="AZ31" s="117"/>
      <c r="BJ31" s="119">
        <f>SUM($BK$2:BK30)+ROW($BK$3)</f>
        <v>3</v>
      </c>
      <c r="BK31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31" s="120" t="str">
        <f t="shared" si="0"/>
        <v/>
      </c>
      <c r="BM31" s="120" t="str">
        <f>IF(таблКоррозия[[#This Row],[Тех. Место]]&lt;&gt;"",IF(A31&lt;&gt;"","ID","Тех. место"),"")</f>
        <v/>
      </c>
      <c r="BN31" s="120" t="str">
        <f t="shared" si="1"/>
        <v/>
      </c>
      <c r="BO31" s="119" t="str">
        <f t="shared" si="2"/>
        <v/>
      </c>
      <c r="BP31" s="119" t="str">
        <f t="shared" si="3"/>
        <v/>
      </c>
      <c r="BQ31" s="119"/>
      <c r="BR31" s="119"/>
      <c r="BS31" s="119"/>
      <c r="BT31" s="119"/>
      <c r="BU31" s="121"/>
      <c r="BV31" s="121"/>
      <c r="BW31" s="121"/>
      <c r="BX31" s="121"/>
      <c r="BY31" s="121"/>
      <c r="BZ31" s="121"/>
      <c r="CB31" s="119">
        <f>SUM($CC$2:CC30)+ROW($CC$3)</f>
        <v>3</v>
      </c>
      <c r="CC31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31" s="120" t="str">
        <f t="shared" si="4"/>
        <v/>
      </c>
      <c r="CE31" s="120" t="str">
        <f>IF(таблНКС[[#This Row],[Тех. Место]]&lt;&gt;"",IF(A31&lt;&gt;"","ID","Тех. место"),"")</f>
        <v/>
      </c>
      <c r="CF31" s="120" t="str">
        <f t="shared" si="5"/>
        <v/>
      </c>
      <c r="CG31" s="119" t="str">
        <f t="shared" si="6"/>
        <v/>
      </c>
      <c r="CH31" s="119" t="str">
        <f t="shared" si="7"/>
        <v/>
      </c>
      <c r="CI31" s="119"/>
      <c r="CJ31" s="119"/>
      <c r="CK31" s="119"/>
      <c r="CL31" s="119"/>
      <c r="CM31" s="121"/>
      <c r="CN31" s="121"/>
      <c r="CO31" s="121"/>
      <c r="CP31" s="121"/>
      <c r="CQ31" s="121"/>
      <c r="CR31" s="121"/>
    </row>
    <row r="32" spans="9:96">
      <c r="AZ32" s="117"/>
      <c r="BJ32" s="119">
        <f>SUM($BK$2:BK31)+ROW($BK$3)</f>
        <v>3</v>
      </c>
      <c r="BK32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32" s="120" t="str">
        <f t="shared" si="0"/>
        <v/>
      </c>
      <c r="BM32" s="120" t="str">
        <f>IF(таблКоррозия[[#This Row],[Тех. Место]]&lt;&gt;"",IF(A32&lt;&gt;"","ID","Тех. место"),"")</f>
        <v/>
      </c>
      <c r="BN32" s="120" t="str">
        <f t="shared" si="1"/>
        <v/>
      </c>
      <c r="BO32" s="119" t="str">
        <f t="shared" si="2"/>
        <v/>
      </c>
      <c r="BP32" s="119" t="str">
        <f t="shared" si="3"/>
        <v/>
      </c>
      <c r="BQ32" s="119"/>
      <c r="BR32" s="119"/>
      <c r="BS32" s="119"/>
      <c r="BT32" s="119"/>
      <c r="BU32" s="121"/>
      <c r="BV32" s="121"/>
      <c r="BW32" s="121"/>
      <c r="BX32" s="121"/>
      <c r="BY32" s="121"/>
      <c r="BZ32" s="121"/>
      <c r="CB32" s="119">
        <f>SUM($CC$2:CC31)+ROW($CC$3)</f>
        <v>3</v>
      </c>
      <c r="CC32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32" s="120" t="str">
        <f t="shared" si="4"/>
        <v/>
      </c>
      <c r="CE32" s="120" t="str">
        <f>IF(таблНКС[[#This Row],[Тех. Место]]&lt;&gt;"",IF(A32&lt;&gt;"","ID","Тех. место"),"")</f>
        <v/>
      </c>
      <c r="CF32" s="120" t="str">
        <f t="shared" si="5"/>
        <v/>
      </c>
      <c r="CG32" s="119" t="str">
        <f t="shared" si="6"/>
        <v/>
      </c>
      <c r="CH32" s="119" t="str">
        <f t="shared" si="7"/>
        <v/>
      </c>
      <c r="CI32" s="119"/>
      <c r="CJ32" s="119"/>
      <c r="CK32" s="119"/>
      <c r="CL32" s="119"/>
      <c r="CM32" s="121"/>
      <c r="CN32" s="121"/>
      <c r="CO32" s="121"/>
      <c r="CP32" s="121"/>
      <c r="CQ32" s="121"/>
      <c r="CR32" s="121"/>
    </row>
    <row r="33" spans="52:96">
      <c r="AZ33" s="117"/>
      <c r="BJ33" s="119">
        <f>SUM($BK$2:BK32)+ROW($BK$3)</f>
        <v>3</v>
      </c>
      <c r="BK33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33" s="120" t="str">
        <f t="shared" si="0"/>
        <v/>
      </c>
      <c r="BM33" s="120" t="str">
        <f>IF(таблКоррозия[[#This Row],[Тех. Место]]&lt;&gt;"",IF(A33&lt;&gt;"","ID","Тех. место"),"")</f>
        <v/>
      </c>
      <c r="BN33" s="120" t="str">
        <f t="shared" si="1"/>
        <v/>
      </c>
      <c r="BO33" s="119" t="str">
        <f t="shared" si="2"/>
        <v/>
      </c>
      <c r="BP33" s="119" t="str">
        <f t="shared" si="3"/>
        <v/>
      </c>
      <c r="BQ33" s="119"/>
      <c r="BR33" s="119"/>
      <c r="BS33" s="119"/>
      <c r="BT33" s="119"/>
      <c r="BU33" s="121"/>
      <c r="BV33" s="121"/>
      <c r="BW33" s="121"/>
      <c r="BX33" s="121"/>
      <c r="BY33" s="121"/>
      <c r="BZ33" s="121"/>
      <c r="CB33" s="119">
        <f>SUM($CC$2:CC32)+ROW($CC$3)</f>
        <v>3</v>
      </c>
      <c r="CC33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33" s="120" t="str">
        <f t="shared" si="4"/>
        <v/>
      </c>
      <c r="CE33" s="120" t="str">
        <f>IF(таблНКС[[#This Row],[Тех. Место]]&lt;&gt;"",IF(A33&lt;&gt;"","ID","Тех. место"),"")</f>
        <v/>
      </c>
      <c r="CF33" s="120" t="str">
        <f t="shared" si="5"/>
        <v/>
      </c>
      <c r="CG33" s="119" t="str">
        <f t="shared" si="6"/>
        <v/>
      </c>
      <c r="CH33" s="119" t="str">
        <f t="shared" si="7"/>
        <v/>
      </c>
      <c r="CI33" s="119"/>
      <c r="CJ33" s="119"/>
      <c r="CK33" s="119"/>
      <c r="CL33" s="119"/>
      <c r="CM33" s="121"/>
      <c r="CN33" s="121"/>
      <c r="CO33" s="121"/>
      <c r="CP33" s="121"/>
      <c r="CQ33" s="121"/>
      <c r="CR33" s="121"/>
    </row>
    <row r="34" spans="52:96">
      <c r="AZ34" s="117"/>
      <c r="BJ34" s="119">
        <f>SUM($BK$2:BK33)+ROW($BK$3)</f>
        <v>3</v>
      </c>
      <c r="BK34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34" s="120" t="str">
        <f t="shared" si="0"/>
        <v/>
      </c>
      <c r="BM34" s="120" t="str">
        <f>IF(таблКоррозия[[#This Row],[Тех. Место]]&lt;&gt;"",IF(A34&lt;&gt;"","ID","Тех. место"),"")</f>
        <v/>
      </c>
      <c r="BN34" s="120" t="str">
        <f t="shared" si="1"/>
        <v/>
      </c>
      <c r="BO34" s="119" t="str">
        <f t="shared" si="2"/>
        <v/>
      </c>
      <c r="BP34" s="119" t="str">
        <f t="shared" si="3"/>
        <v/>
      </c>
      <c r="BQ34" s="119"/>
      <c r="BR34" s="119"/>
      <c r="BS34" s="119"/>
      <c r="BT34" s="119"/>
      <c r="BU34" s="121"/>
      <c r="BV34" s="121"/>
      <c r="BW34" s="121"/>
      <c r="BX34" s="121"/>
      <c r="BY34" s="121"/>
      <c r="BZ34" s="121"/>
      <c r="CB34" s="119">
        <f>SUM($CC$2:CC33)+ROW($CC$3)</f>
        <v>3</v>
      </c>
      <c r="CC34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34" s="120" t="str">
        <f t="shared" si="4"/>
        <v/>
      </c>
      <c r="CE34" s="120" t="str">
        <f>IF(таблНКС[[#This Row],[Тех. Место]]&lt;&gt;"",IF(A34&lt;&gt;"","ID","Тех. место"),"")</f>
        <v/>
      </c>
      <c r="CF34" s="120" t="str">
        <f t="shared" si="5"/>
        <v/>
      </c>
      <c r="CG34" s="119" t="str">
        <f t="shared" si="6"/>
        <v/>
      </c>
      <c r="CH34" s="119" t="str">
        <f t="shared" si="7"/>
        <v/>
      </c>
      <c r="CI34" s="119"/>
      <c r="CJ34" s="119"/>
      <c r="CK34" s="119"/>
      <c r="CL34" s="119"/>
      <c r="CM34" s="121"/>
      <c r="CN34" s="121"/>
      <c r="CO34" s="121"/>
      <c r="CP34" s="121"/>
      <c r="CQ34" s="121"/>
      <c r="CR34" s="121"/>
    </row>
    <row r="35" spans="52:96">
      <c r="AZ35" s="117"/>
      <c r="BJ35" s="119">
        <f>SUM($BK$2:BK34)+ROW($BK$3)</f>
        <v>3</v>
      </c>
      <c r="BK35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35" s="120" t="str">
        <f t="shared" si="0"/>
        <v/>
      </c>
      <c r="BM35" s="120" t="str">
        <f>IF(таблКоррозия[[#This Row],[Тех. Место]]&lt;&gt;"",IF(A35&lt;&gt;"","ID","Тех. место"),"")</f>
        <v/>
      </c>
      <c r="BN35" s="120" t="str">
        <f t="shared" ref="BN35:BN49" si="8">IF(A35&lt;&gt;"",CONCATENATE(A35),CONCATENATE(C35))</f>
        <v/>
      </c>
      <c r="BO35" s="119" t="str">
        <f t="shared" si="2"/>
        <v/>
      </c>
      <c r="BP35" s="119" t="str">
        <f t="shared" si="3"/>
        <v/>
      </c>
      <c r="BQ35" s="119"/>
      <c r="BR35" s="119"/>
      <c r="BS35" s="119"/>
      <c r="BT35" s="119"/>
      <c r="BU35" s="121"/>
      <c r="BV35" s="121"/>
      <c r="BW35" s="121"/>
      <c r="BX35" s="121"/>
      <c r="BY35" s="121"/>
      <c r="BZ35" s="121"/>
      <c r="CB35" s="119">
        <f>SUM($CC$2:CC34)+ROW($CC$3)</f>
        <v>3</v>
      </c>
      <c r="CC35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35" s="120" t="str">
        <f t="shared" si="4"/>
        <v/>
      </c>
      <c r="CE35" s="120" t="str">
        <f>IF(таблНКС[[#This Row],[Тех. Место]]&lt;&gt;"",IF(A35&lt;&gt;"","ID","Тех. место"),"")</f>
        <v/>
      </c>
      <c r="CF35" s="120" t="str">
        <f t="shared" si="5"/>
        <v/>
      </c>
      <c r="CG35" s="119" t="str">
        <f t="shared" si="6"/>
        <v/>
      </c>
      <c r="CH35" s="119" t="str">
        <f t="shared" si="7"/>
        <v/>
      </c>
      <c r="CI35" s="119"/>
      <c r="CJ35" s="119"/>
      <c r="CK35" s="119"/>
      <c r="CL35" s="119"/>
      <c r="CM35" s="121"/>
      <c r="CN35" s="121"/>
      <c r="CO35" s="121"/>
      <c r="CP35" s="121"/>
      <c r="CQ35" s="121"/>
      <c r="CR35" s="121"/>
    </row>
    <row r="36" spans="52:96">
      <c r="AZ36" s="117"/>
      <c r="BJ36" s="119">
        <f>SUM($BK$2:BK35)+ROW($BK$3)</f>
        <v>3</v>
      </c>
      <c r="BK36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36" s="120" t="str">
        <f t="shared" si="0"/>
        <v/>
      </c>
      <c r="BM36" s="120" t="str">
        <f>IF(таблКоррозия[[#This Row],[Тех. Место]]&lt;&gt;"",IF(A36&lt;&gt;"","ID","Тех. место"),"")</f>
        <v/>
      </c>
      <c r="BN36" s="120" t="str">
        <f t="shared" si="8"/>
        <v/>
      </c>
      <c r="BO36" s="119" t="str">
        <f t="shared" si="2"/>
        <v/>
      </c>
      <c r="BP36" s="119" t="str">
        <f t="shared" si="3"/>
        <v/>
      </c>
      <c r="BQ36" s="119"/>
      <c r="BR36" s="119"/>
      <c r="BS36" s="119"/>
      <c r="BT36" s="119"/>
      <c r="BU36" s="121"/>
      <c r="BV36" s="121"/>
      <c r="BW36" s="121"/>
      <c r="BX36" s="121"/>
      <c r="BY36" s="121"/>
      <c r="BZ36" s="121"/>
      <c r="CB36" s="119">
        <f>SUM($CC$2:CC35)+ROW($CC$3)</f>
        <v>3</v>
      </c>
      <c r="CC36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36" s="120" t="str">
        <f t="shared" si="4"/>
        <v/>
      </c>
      <c r="CE36" s="120" t="str">
        <f>IF(таблНКС[[#This Row],[Тех. Место]]&lt;&gt;"",IF(A36&lt;&gt;"","ID","Тех. место"),"")</f>
        <v/>
      </c>
      <c r="CF36" s="120" t="str">
        <f t="shared" si="5"/>
        <v/>
      </c>
      <c r="CG36" s="119" t="str">
        <f t="shared" si="6"/>
        <v/>
      </c>
      <c r="CH36" s="119" t="str">
        <f t="shared" si="7"/>
        <v/>
      </c>
      <c r="CI36" s="119"/>
      <c r="CJ36" s="119"/>
      <c r="CK36" s="119"/>
      <c r="CL36" s="119"/>
      <c r="CM36" s="121"/>
      <c r="CN36" s="121"/>
      <c r="CO36" s="121"/>
      <c r="CP36" s="121"/>
      <c r="CQ36" s="121"/>
      <c r="CR36" s="121"/>
    </row>
    <row r="37" spans="52:96">
      <c r="AZ37" s="117"/>
      <c r="BJ37" s="119">
        <f>SUM($BK$2:BK36)+ROW($BK$3)</f>
        <v>3</v>
      </c>
      <c r="BK37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37" s="120" t="str">
        <f t="shared" si="0"/>
        <v/>
      </c>
      <c r="BM37" s="120" t="str">
        <f>IF(таблКоррозия[[#This Row],[Тех. Место]]&lt;&gt;"",IF(A37&lt;&gt;"","ID","Тех. место"),"")</f>
        <v/>
      </c>
      <c r="BN37" s="120" t="str">
        <f t="shared" si="8"/>
        <v/>
      </c>
      <c r="BO37" s="119" t="str">
        <f t="shared" si="2"/>
        <v/>
      </c>
      <c r="BP37" s="119" t="str">
        <f t="shared" si="3"/>
        <v/>
      </c>
      <c r="BQ37" s="119"/>
      <c r="BR37" s="119"/>
      <c r="BS37" s="119"/>
      <c r="BT37" s="119"/>
      <c r="BU37" s="121"/>
      <c r="BV37" s="121"/>
      <c r="BW37" s="121"/>
      <c r="BX37" s="121"/>
      <c r="BY37" s="121"/>
      <c r="BZ37" s="121"/>
      <c r="CB37" s="119">
        <f>SUM($CC$2:CC36)+ROW($CC$3)</f>
        <v>3</v>
      </c>
      <c r="CC37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37" s="120" t="str">
        <f t="shared" si="4"/>
        <v/>
      </c>
      <c r="CE37" s="120" t="str">
        <f>IF(таблНКС[[#This Row],[Тех. Место]]&lt;&gt;"",IF(A37&lt;&gt;"","ID","Тех. место"),"")</f>
        <v/>
      </c>
      <c r="CF37" s="120" t="str">
        <f t="shared" si="5"/>
        <v/>
      </c>
      <c r="CG37" s="119" t="str">
        <f t="shared" si="6"/>
        <v/>
      </c>
      <c r="CH37" s="119" t="str">
        <f t="shared" si="7"/>
        <v/>
      </c>
      <c r="CI37" s="119"/>
      <c r="CJ37" s="119"/>
      <c r="CK37" s="119"/>
      <c r="CL37" s="119"/>
      <c r="CM37" s="121"/>
      <c r="CN37" s="121"/>
      <c r="CO37" s="121"/>
      <c r="CP37" s="121"/>
      <c r="CQ37" s="121"/>
      <c r="CR37" s="121"/>
    </row>
    <row r="38" spans="52:96">
      <c r="AZ38" s="117"/>
      <c r="BJ38" s="119">
        <f>SUM($BK$2:BK37)+ROW($BK$3)</f>
        <v>3</v>
      </c>
      <c r="BK38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38" s="120" t="str">
        <f t="shared" si="0"/>
        <v/>
      </c>
      <c r="BM38" s="120" t="str">
        <f>IF(таблКоррозия[[#This Row],[Тех. Место]]&lt;&gt;"",IF(A38&lt;&gt;"","ID","Тех. место"),"")</f>
        <v/>
      </c>
      <c r="BN38" s="120" t="str">
        <f t="shared" si="8"/>
        <v/>
      </c>
      <c r="BO38" s="119" t="str">
        <f t="shared" si="2"/>
        <v/>
      </c>
      <c r="BP38" s="119" t="str">
        <f t="shared" si="3"/>
        <v/>
      </c>
      <c r="BQ38" s="119"/>
      <c r="BR38" s="119"/>
      <c r="BS38" s="119"/>
      <c r="BT38" s="119"/>
      <c r="BU38" s="121"/>
      <c r="BV38" s="121"/>
      <c r="BW38" s="121"/>
      <c r="BX38" s="121"/>
      <c r="BY38" s="121"/>
      <c r="BZ38" s="121"/>
      <c r="CB38" s="119">
        <f>SUM($CC$2:CC37)+ROW($CC$3)</f>
        <v>3</v>
      </c>
      <c r="CC38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38" s="120" t="str">
        <f t="shared" si="4"/>
        <v/>
      </c>
      <c r="CE38" s="120" t="str">
        <f>IF(таблНКС[[#This Row],[Тех. Место]]&lt;&gt;"",IF(A38&lt;&gt;"","ID","Тех. место"),"")</f>
        <v/>
      </c>
      <c r="CF38" s="120" t="str">
        <f t="shared" si="5"/>
        <v/>
      </c>
      <c r="CG38" s="119" t="str">
        <f t="shared" si="6"/>
        <v/>
      </c>
      <c r="CH38" s="119" t="str">
        <f t="shared" si="7"/>
        <v/>
      </c>
      <c r="CI38" s="119"/>
      <c r="CJ38" s="119"/>
      <c r="CK38" s="119"/>
      <c r="CL38" s="119"/>
      <c r="CM38" s="121"/>
      <c r="CN38" s="121"/>
      <c r="CO38" s="121"/>
      <c r="CP38" s="121"/>
      <c r="CQ38" s="121"/>
      <c r="CR38" s="121"/>
    </row>
    <row r="39" spans="52:96">
      <c r="AZ39" s="117"/>
      <c r="BJ39" s="119">
        <f>SUM($BK$2:BK38)+ROW($BK$3)</f>
        <v>3</v>
      </c>
      <c r="BK39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39" s="120" t="str">
        <f t="shared" si="0"/>
        <v/>
      </c>
      <c r="BM39" s="120" t="str">
        <f>IF(таблКоррозия[[#This Row],[Тех. Место]]&lt;&gt;"",IF(A39&lt;&gt;"","ID","Тех. место"),"")</f>
        <v/>
      </c>
      <c r="BN39" s="120" t="str">
        <f t="shared" si="8"/>
        <v/>
      </c>
      <c r="BO39" s="119" t="str">
        <f t="shared" si="2"/>
        <v/>
      </c>
      <c r="BP39" s="119" t="str">
        <f t="shared" si="3"/>
        <v/>
      </c>
      <c r="BQ39" s="119"/>
      <c r="BR39" s="119"/>
      <c r="BS39" s="119"/>
      <c r="BT39" s="119"/>
      <c r="BU39" s="121"/>
      <c r="BV39" s="121"/>
      <c r="BW39" s="121"/>
      <c r="BX39" s="121"/>
      <c r="BY39" s="121"/>
      <c r="BZ39" s="121"/>
      <c r="CB39" s="119">
        <f>SUM($CC$2:CC38)+ROW($CC$3)</f>
        <v>3</v>
      </c>
      <c r="CC39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39" s="120" t="str">
        <f t="shared" si="4"/>
        <v/>
      </c>
      <c r="CE39" s="120" t="str">
        <f>IF(таблНКС[[#This Row],[Тех. Место]]&lt;&gt;"",IF(A39&lt;&gt;"","ID","Тех. место"),"")</f>
        <v/>
      </c>
      <c r="CF39" s="120" t="str">
        <f t="shared" si="5"/>
        <v/>
      </c>
      <c r="CG39" s="119" t="str">
        <f t="shared" si="6"/>
        <v/>
      </c>
      <c r="CH39" s="119" t="str">
        <f t="shared" si="7"/>
        <v/>
      </c>
      <c r="CI39" s="119"/>
      <c r="CJ39" s="119"/>
      <c r="CK39" s="119"/>
      <c r="CL39" s="119"/>
      <c r="CM39" s="121"/>
      <c r="CN39" s="121"/>
      <c r="CO39" s="121"/>
      <c r="CP39" s="121"/>
      <c r="CQ39" s="121"/>
      <c r="CR39" s="121"/>
    </row>
    <row r="40" spans="52:96">
      <c r="AZ40" s="117"/>
      <c r="BJ40" s="119">
        <f>SUM($BK$2:BK39)+ROW($BK$3)</f>
        <v>3</v>
      </c>
      <c r="BK40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40" s="120" t="str">
        <f t="shared" si="0"/>
        <v/>
      </c>
      <c r="BM40" s="120" t="str">
        <f>IF(таблКоррозия[[#This Row],[Тех. Место]]&lt;&gt;"",IF(A40&lt;&gt;"","ID","Тех. место"),"")</f>
        <v/>
      </c>
      <c r="BN40" s="120" t="str">
        <f t="shared" si="8"/>
        <v/>
      </c>
      <c r="BO40" s="119" t="str">
        <f t="shared" si="2"/>
        <v/>
      </c>
      <c r="BP40" s="119" t="str">
        <f t="shared" si="3"/>
        <v/>
      </c>
      <c r="BQ40" s="119"/>
      <c r="BR40" s="119"/>
      <c r="BS40" s="119"/>
      <c r="BT40" s="119"/>
      <c r="BU40" s="121"/>
      <c r="BV40" s="121"/>
      <c r="BW40" s="121"/>
      <c r="BX40" s="121"/>
      <c r="BY40" s="121"/>
      <c r="BZ40" s="121"/>
      <c r="CB40" s="119">
        <f>SUM($CC$2:CC39)+ROW($CC$3)</f>
        <v>3</v>
      </c>
      <c r="CC40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40" s="120" t="str">
        <f t="shared" si="4"/>
        <v/>
      </c>
      <c r="CE40" s="120" t="str">
        <f>IF(таблНКС[[#This Row],[Тех. Место]]&lt;&gt;"",IF(A40&lt;&gt;"","ID","Тех. место"),"")</f>
        <v/>
      </c>
      <c r="CF40" s="120" t="str">
        <f t="shared" si="5"/>
        <v/>
      </c>
      <c r="CG40" s="119" t="str">
        <f t="shared" si="6"/>
        <v/>
      </c>
      <c r="CH40" s="119" t="str">
        <f t="shared" si="7"/>
        <v/>
      </c>
      <c r="CI40" s="119"/>
      <c r="CJ40" s="119"/>
      <c r="CK40" s="119"/>
      <c r="CL40" s="119"/>
      <c r="CM40" s="121"/>
      <c r="CN40" s="121"/>
      <c r="CO40" s="121"/>
      <c r="CP40" s="121"/>
      <c r="CQ40" s="121"/>
      <c r="CR40" s="121"/>
    </row>
    <row r="41" spans="52:96">
      <c r="AZ41" s="117"/>
      <c r="BJ41" s="119">
        <f>SUM($BK$2:BK40)+ROW($BK$3)</f>
        <v>3</v>
      </c>
      <c r="BK41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41" s="120" t="str">
        <f t="shared" si="0"/>
        <v/>
      </c>
      <c r="BM41" s="120" t="str">
        <f>IF(таблКоррозия[[#This Row],[Тех. Место]]&lt;&gt;"",IF(A41&lt;&gt;"","ID","Тех. место"),"")</f>
        <v/>
      </c>
      <c r="BN41" s="120" t="str">
        <f t="shared" si="8"/>
        <v/>
      </c>
      <c r="BO41" s="119" t="str">
        <f t="shared" si="2"/>
        <v/>
      </c>
      <c r="BP41" s="119" t="str">
        <f t="shared" si="3"/>
        <v/>
      </c>
      <c r="BQ41" s="119"/>
      <c r="BR41" s="119"/>
      <c r="BS41" s="119"/>
      <c r="BT41" s="119"/>
      <c r="BU41" s="121"/>
      <c r="BV41" s="121"/>
      <c r="BW41" s="121"/>
      <c r="BX41" s="121"/>
      <c r="BY41" s="121"/>
      <c r="BZ41" s="121"/>
      <c r="CB41" s="119">
        <f>SUM($CC$2:CC40)+ROW($CC$3)</f>
        <v>3</v>
      </c>
      <c r="CC41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41" s="120" t="str">
        <f t="shared" si="4"/>
        <v/>
      </c>
      <c r="CE41" s="120" t="str">
        <f>IF(таблНКС[[#This Row],[Тех. Место]]&lt;&gt;"",IF(A41&lt;&gt;"","ID","Тех. место"),"")</f>
        <v/>
      </c>
      <c r="CF41" s="120" t="str">
        <f t="shared" si="5"/>
        <v/>
      </c>
      <c r="CG41" s="119" t="str">
        <f t="shared" si="6"/>
        <v/>
      </c>
      <c r="CH41" s="119" t="str">
        <f t="shared" si="7"/>
        <v/>
      </c>
      <c r="CI41" s="119"/>
      <c r="CJ41" s="119"/>
      <c r="CK41" s="119"/>
      <c r="CL41" s="119"/>
      <c r="CM41" s="121"/>
      <c r="CN41" s="121"/>
      <c r="CO41" s="121"/>
      <c r="CP41" s="121"/>
      <c r="CQ41" s="121"/>
      <c r="CR41" s="121"/>
    </row>
    <row r="42" spans="52:96">
      <c r="AZ42" s="117"/>
      <c r="BJ42" s="119">
        <f>SUM($BK$2:BK41)+ROW($BK$3)</f>
        <v>3</v>
      </c>
      <c r="BK42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42" s="120" t="str">
        <f t="shared" si="0"/>
        <v/>
      </c>
      <c r="BM42" s="120" t="str">
        <f>IF(таблКоррозия[[#This Row],[Тех. Место]]&lt;&gt;"",IF(A42&lt;&gt;"","ID","Тех. место"),"")</f>
        <v/>
      </c>
      <c r="BN42" s="120" t="str">
        <f t="shared" si="8"/>
        <v/>
      </c>
      <c r="BO42" s="119" t="str">
        <f t="shared" si="2"/>
        <v/>
      </c>
      <c r="BP42" s="119" t="str">
        <f t="shared" si="3"/>
        <v/>
      </c>
      <c r="BQ42" s="119"/>
      <c r="BR42" s="119"/>
      <c r="BS42" s="119"/>
      <c r="BT42" s="119"/>
      <c r="BU42" s="121"/>
      <c r="BV42" s="121"/>
      <c r="BW42" s="121"/>
      <c r="BX42" s="121"/>
      <c r="BY42" s="121"/>
      <c r="BZ42" s="121"/>
      <c r="CB42" s="119">
        <f>SUM($CC$2:CC41)+ROW($CC$3)</f>
        <v>3</v>
      </c>
      <c r="CC42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42" s="120" t="str">
        <f t="shared" si="4"/>
        <v/>
      </c>
      <c r="CE42" s="120" t="str">
        <f>IF(таблНКС[[#This Row],[Тех. Место]]&lt;&gt;"",IF(A42&lt;&gt;"","ID","Тех. место"),"")</f>
        <v/>
      </c>
      <c r="CF42" s="120" t="str">
        <f t="shared" si="5"/>
        <v/>
      </c>
      <c r="CG42" s="119" t="str">
        <f t="shared" si="6"/>
        <v/>
      </c>
      <c r="CH42" s="119" t="str">
        <f t="shared" si="7"/>
        <v/>
      </c>
      <c r="CI42" s="119"/>
      <c r="CJ42" s="119"/>
      <c r="CK42" s="119"/>
      <c r="CL42" s="119"/>
      <c r="CM42" s="121"/>
      <c r="CN42" s="121"/>
      <c r="CO42" s="121"/>
      <c r="CP42" s="121"/>
      <c r="CQ42" s="121"/>
      <c r="CR42" s="121"/>
    </row>
    <row r="43" spans="52:96">
      <c r="AZ43" s="117"/>
      <c r="BJ43" s="119">
        <f>SUM($BK$2:BK42)+ROW($BK$3)</f>
        <v>3</v>
      </c>
      <c r="BK43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43" s="120" t="str">
        <f t="shared" si="0"/>
        <v/>
      </c>
      <c r="BM43" s="120" t="str">
        <f>IF(таблКоррозия[[#This Row],[Тех. Место]]&lt;&gt;"",IF(A43&lt;&gt;"","ID","Тех. место"),"")</f>
        <v/>
      </c>
      <c r="BN43" s="120" t="str">
        <f t="shared" si="8"/>
        <v/>
      </c>
      <c r="BO43" s="119" t="str">
        <f t="shared" si="2"/>
        <v/>
      </c>
      <c r="BP43" s="119" t="str">
        <f t="shared" si="3"/>
        <v/>
      </c>
      <c r="BQ43" s="119"/>
      <c r="BR43" s="119"/>
      <c r="BS43" s="119"/>
      <c r="BT43" s="119"/>
      <c r="BU43" s="121"/>
      <c r="BV43" s="121"/>
      <c r="BW43" s="121"/>
      <c r="BX43" s="121"/>
      <c r="BY43" s="121"/>
      <c r="BZ43" s="121"/>
      <c r="CB43" s="119">
        <f>SUM($CC$2:CC42)+ROW($CC$3)</f>
        <v>3</v>
      </c>
      <c r="CC43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43" s="120" t="str">
        <f t="shared" si="4"/>
        <v/>
      </c>
      <c r="CE43" s="120" t="str">
        <f>IF(таблНКС[[#This Row],[Тех. Место]]&lt;&gt;"",IF(A43&lt;&gt;"","ID","Тех. место"),"")</f>
        <v/>
      </c>
      <c r="CF43" s="120" t="str">
        <f t="shared" si="5"/>
        <v/>
      </c>
      <c r="CG43" s="119" t="str">
        <f t="shared" si="6"/>
        <v/>
      </c>
      <c r="CH43" s="119" t="str">
        <f t="shared" si="7"/>
        <v/>
      </c>
      <c r="CI43" s="119"/>
      <c r="CJ43" s="119"/>
      <c r="CK43" s="119"/>
      <c r="CL43" s="119"/>
      <c r="CM43" s="121"/>
      <c r="CN43" s="121"/>
      <c r="CO43" s="121"/>
      <c r="CP43" s="121"/>
      <c r="CQ43" s="121"/>
      <c r="CR43" s="121"/>
    </row>
    <row r="44" spans="52:96">
      <c r="AZ44" s="117"/>
      <c r="BJ44" s="119">
        <f>SUM($BK$2:BK43)+ROW($BK$3)</f>
        <v>3</v>
      </c>
      <c r="BK44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44" s="120" t="str">
        <f t="shared" si="0"/>
        <v/>
      </c>
      <c r="BM44" s="120" t="str">
        <f>IF(таблКоррозия[[#This Row],[Тех. Место]]&lt;&gt;"",IF(A44&lt;&gt;"","ID","Тех. место"),"")</f>
        <v/>
      </c>
      <c r="BN44" s="120" t="str">
        <f t="shared" si="8"/>
        <v/>
      </c>
      <c r="BO44" s="119" t="str">
        <f t="shared" si="2"/>
        <v/>
      </c>
      <c r="BP44" s="119" t="str">
        <f t="shared" si="3"/>
        <v/>
      </c>
      <c r="BQ44" s="119"/>
      <c r="BR44" s="119"/>
      <c r="BS44" s="119"/>
      <c r="BT44" s="119"/>
      <c r="BU44" s="121"/>
      <c r="BV44" s="121"/>
      <c r="BW44" s="121"/>
      <c r="BX44" s="121"/>
      <c r="BY44" s="121"/>
      <c r="BZ44" s="121"/>
      <c r="CB44" s="119">
        <f>SUM($CC$2:CC43)+ROW($CC$3)</f>
        <v>3</v>
      </c>
      <c r="CC44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44" s="120" t="str">
        <f t="shared" si="4"/>
        <v/>
      </c>
      <c r="CE44" s="120" t="str">
        <f>IF(таблНКС[[#This Row],[Тех. Место]]&lt;&gt;"",IF(A44&lt;&gt;"","ID","Тех. место"),"")</f>
        <v/>
      </c>
      <c r="CF44" s="120" t="str">
        <f t="shared" si="5"/>
        <v/>
      </c>
      <c r="CG44" s="119" t="str">
        <f t="shared" si="6"/>
        <v/>
      </c>
      <c r="CH44" s="119" t="str">
        <f t="shared" si="7"/>
        <v/>
      </c>
      <c r="CI44" s="119"/>
      <c r="CJ44" s="119"/>
      <c r="CK44" s="119"/>
      <c r="CL44" s="119"/>
      <c r="CM44" s="121"/>
      <c r="CN44" s="121"/>
      <c r="CO44" s="121"/>
      <c r="CP44" s="121"/>
      <c r="CQ44" s="121"/>
      <c r="CR44" s="121"/>
    </row>
    <row r="45" spans="52:96">
      <c r="BJ45" s="119">
        <f>SUM($BK$2:BK44)+ROW($BK$3)</f>
        <v>3</v>
      </c>
      <c r="BK45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45" s="120" t="str">
        <f t="shared" si="0"/>
        <v/>
      </c>
      <c r="BM45" s="120" t="str">
        <f>IF(таблКоррозия[[#This Row],[Тех. Место]]&lt;&gt;"",IF(A45&lt;&gt;"","ID","Тех. место"),"")</f>
        <v/>
      </c>
      <c r="BN45" s="120" t="str">
        <f t="shared" si="8"/>
        <v/>
      </c>
      <c r="BO45" s="119" t="str">
        <f t="shared" si="2"/>
        <v/>
      </c>
      <c r="BP45" s="119" t="str">
        <f t="shared" si="3"/>
        <v/>
      </c>
      <c r="BQ45" s="119"/>
      <c r="BR45" s="119"/>
      <c r="BS45" s="119"/>
      <c r="BT45" s="119"/>
      <c r="BU45" s="121"/>
      <c r="BV45" s="121"/>
      <c r="BW45" s="121"/>
      <c r="BX45" s="121"/>
      <c r="BY45" s="121"/>
      <c r="BZ45" s="121"/>
      <c r="CB45" s="119">
        <f>SUM($CC$2:CC44)+ROW($CC$3)</f>
        <v>3</v>
      </c>
      <c r="CC45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45" s="120" t="str">
        <f t="shared" si="4"/>
        <v/>
      </c>
      <c r="CE45" s="120" t="str">
        <f>IF(таблНКС[[#This Row],[Тех. Место]]&lt;&gt;"",IF(A45&lt;&gt;"","ID","Тех. место"),"")</f>
        <v/>
      </c>
      <c r="CF45" s="120" t="str">
        <f t="shared" si="5"/>
        <v/>
      </c>
      <c r="CG45" s="119" t="str">
        <f t="shared" si="6"/>
        <v/>
      </c>
      <c r="CH45" s="119" t="str">
        <f t="shared" si="7"/>
        <v/>
      </c>
      <c r="CI45" s="119"/>
      <c r="CJ45" s="119"/>
      <c r="CK45" s="119"/>
      <c r="CL45" s="119"/>
      <c r="CM45" s="121"/>
      <c r="CN45" s="121"/>
      <c r="CO45" s="121"/>
      <c r="CP45" s="121"/>
      <c r="CQ45" s="121"/>
      <c r="CR45" s="121"/>
    </row>
    <row r="46" spans="52:96">
      <c r="BJ46" s="119">
        <f>SUM($BK$2:BK45)+ROW($BK$3)</f>
        <v>3</v>
      </c>
      <c r="BK46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46" s="120" t="str">
        <f t="shared" si="0"/>
        <v/>
      </c>
      <c r="BM46" s="120" t="str">
        <f>IF(таблКоррозия[[#This Row],[Тех. Место]]&lt;&gt;"",IF(A46&lt;&gt;"","ID","Тех. место"),"")</f>
        <v/>
      </c>
      <c r="BN46" s="120" t="str">
        <f t="shared" si="8"/>
        <v/>
      </c>
      <c r="BO46" s="119" t="str">
        <f t="shared" si="2"/>
        <v/>
      </c>
      <c r="BP46" s="119" t="str">
        <f t="shared" si="3"/>
        <v/>
      </c>
      <c r="BQ46" s="119"/>
      <c r="BR46" s="119"/>
      <c r="BS46" s="119"/>
      <c r="BT46" s="119"/>
      <c r="BU46" s="121"/>
      <c r="BV46" s="121"/>
      <c r="BW46" s="121"/>
      <c r="BX46" s="121"/>
      <c r="BY46" s="121"/>
      <c r="BZ46" s="121"/>
      <c r="CB46" s="119">
        <f>SUM($CC$2:CC45)+ROW($CC$3)</f>
        <v>3</v>
      </c>
      <c r="CC46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46" s="120" t="str">
        <f t="shared" si="4"/>
        <v/>
      </c>
      <c r="CE46" s="120" t="str">
        <f>IF(таблНКС[[#This Row],[Тех. Место]]&lt;&gt;"",IF(A46&lt;&gt;"","ID","Тех. место"),"")</f>
        <v/>
      </c>
      <c r="CF46" s="120" t="str">
        <f t="shared" si="5"/>
        <v/>
      </c>
      <c r="CG46" s="119" t="str">
        <f t="shared" si="6"/>
        <v/>
      </c>
      <c r="CH46" s="119" t="str">
        <f t="shared" si="7"/>
        <v/>
      </c>
      <c r="CI46" s="119"/>
      <c r="CJ46" s="119"/>
      <c r="CK46" s="119"/>
      <c r="CL46" s="119"/>
      <c r="CM46" s="121"/>
      <c r="CN46" s="121"/>
      <c r="CO46" s="121"/>
      <c r="CP46" s="121"/>
      <c r="CQ46" s="121"/>
      <c r="CR46" s="121"/>
    </row>
    <row r="47" spans="52:96">
      <c r="BJ47" s="119">
        <f>SUM($BK$2:BK46)+ROW($BK$3)</f>
        <v>3</v>
      </c>
      <c r="BK47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47" s="120" t="str">
        <f t="shared" si="0"/>
        <v/>
      </c>
      <c r="BM47" s="120" t="str">
        <f>IF(таблКоррозия[[#This Row],[Тех. Место]]&lt;&gt;"",IF(A47&lt;&gt;"","ID","Тех. место"),"")</f>
        <v/>
      </c>
      <c r="BN47" s="120" t="str">
        <f t="shared" si="8"/>
        <v/>
      </c>
      <c r="BO47" s="119" t="str">
        <f t="shared" si="2"/>
        <v/>
      </c>
      <c r="BP47" s="119" t="str">
        <f t="shared" si="3"/>
        <v/>
      </c>
      <c r="BQ47" s="119"/>
      <c r="BR47" s="119"/>
      <c r="BS47" s="119"/>
      <c r="BT47" s="119"/>
      <c r="BU47" s="121"/>
      <c r="BV47" s="121"/>
      <c r="BW47" s="121"/>
      <c r="BX47" s="121"/>
      <c r="BY47" s="121"/>
      <c r="BZ47" s="121"/>
      <c r="CB47" s="119">
        <f>SUM($CC$2:CC46)+ROW($CC$3)</f>
        <v>3</v>
      </c>
      <c r="CC47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47" s="120" t="str">
        <f t="shared" si="4"/>
        <v/>
      </c>
      <c r="CE47" s="120" t="str">
        <f>IF(таблНКС[[#This Row],[Тех. Место]]&lt;&gt;"",IF(A47&lt;&gt;"","ID","Тех. место"),"")</f>
        <v/>
      </c>
      <c r="CF47" s="120" t="str">
        <f t="shared" si="5"/>
        <v/>
      </c>
      <c r="CG47" s="119" t="str">
        <f t="shared" si="6"/>
        <v/>
      </c>
      <c r="CH47" s="119" t="str">
        <f t="shared" si="7"/>
        <v/>
      </c>
      <c r="CI47" s="119"/>
      <c r="CJ47" s="119"/>
      <c r="CK47" s="119"/>
      <c r="CL47" s="119"/>
      <c r="CM47" s="121"/>
      <c r="CN47" s="121"/>
      <c r="CO47" s="121"/>
      <c r="CP47" s="121"/>
      <c r="CQ47" s="121"/>
      <c r="CR47" s="121"/>
    </row>
    <row r="48" spans="52:96">
      <c r="BJ48" s="119">
        <f>SUM($BK$2:BK47)+ROW($BK$3)</f>
        <v>3</v>
      </c>
      <c r="BK48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48" s="120" t="str">
        <f t="shared" si="0"/>
        <v/>
      </c>
      <c r="BM48" s="120" t="str">
        <f>IF(таблКоррозия[[#This Row],[Тех. Место]]&lt;&gt;"",IF(A48&lt;&gt;"","ID","Тех. место"),"")</f>
        <v/>
      </c>
      <c r="BN48" s="120" t="str">
        <f t="shared" si="8"/>
        <v/>
      </c>
      <c r="BO48" s="119" t="str">
        <f t="shared" si="2"/>
        <v/>
      </c>
      <c r="BP48" s="119" t="str">
        <f t="shared" si="3"/>
        <v/>
      </c>
      <c r="BQ48" s="119"/>
      <c r="BR48" s="119"/>
      <c r="BS48" s="119"/>
      <c r="BT48" s="119"/>
      <c r="BU48" s="121"/>
      <c r="BV48" s="121"/>
      <c r="BW48" s="121"/>
      <c r="BX48" s="121"/>
      <c r="BY48" s="121"/>
      <c r="BZ48" s="121"/>
      <c r="CB48" s="119">
        <f>SUM($CC$2:CC47)+ROW($CC$3)</f>
        <v>3</v>
      </c>
      <c r="CC48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48" s="120" t="str">
        <f t="shared" si="4"/>
        <v/>
      </c>
      <c r="CE48" s="120" t="str">
        <f>IF(таблНКС[[#This Row],[Тех. Место]]&lt;&gt;"",IF(A48&lt;&gt;"","ID","Тех. место"),"")</f>
        <v/>
      </c>
      <c r="CF48" s="120" t="str">
        <f t="shared" si="5"/>
        <v/>
      </c>
      <c r="CG48" s="119" t="str">
        <f t="shared" si="6"/>
        <v/>
      </c>
      <c r="CH48" s="119" t="str">
        <f t="shared" si="7"/>
        <v/>
      </c>
      <c r="CI48" s="119"/>
      <c r="CJ48" s="119"/>
      <c r="CK48" s="119"/>
      <c r="CL48" s="119"/>
      <c r="CM48" s="121"/>
      <c r="CN48" s="121"/>
      <c r="CO48" s="121"/>
      <c r="CP48" s="121"/>
      <c r="CQ48" s="121"/>
      <c r="CR48" s="121"/>
    </row>
    <row r="49" spans="62:96">
      <c r="BJ49" s="119">
        <f>SUM($BK$2:BK48)+ROW($BK$3)</f>
        <v>3</v>
      </c>
      <c r="BK49" s="119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49" s="120" t="str">
        <f t="shared" si="0"/>
        <v/>
      </c>
      <c r="BM49" s="120" t="str">
        <f>IF(таблКоррозия[[#This Row],[Тех. Место]]&lt;&gt;"",IF(A49&lt;&gt;"","ID","Тех. место"),"")</f>
        <v/>
      </c>
      <c r="BN49" s="120" t="str">
        <f t="shared" si="8"/>
        <v/>
      </c>
      <c r="BO49" s="119" t="str">
        <f t="shared" si="2"/>
        <v/>
      </c>
      <c r="BP49" s="119" t="str">
        <f t="shared" si="3"/>
        <v/>
      </c>
      <c r="BQ49" s="119"/>
      <c r="BR49" s="119"/>
      <c r="BS49" s="119"/>
      <c r="BT49" s="119"/>
      <c r="BU49" s="121"/>
      <c r="BV49" s="121"/>
      <c r="BW49" s="121"/>
      <c r="BX49" s="121"/>
      <c r="BY49" s="121"/>
      <c r="BZ49" s="121"/>
      <c r="CB49" s="119">
        <f>SUM($CC$2:CC48)+ROW($CC$3)</f>
        <v>3</v>
      </c>
      <c r="CC49" s="119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49" s="120" t="str">
        <f t="shared" si="4"/>
        <v/>
      </c>
      <c r="CE49" s="120" t="str">
        <f>IF(таблНКС[[#This Row],[Тех. Место]]&lt;&gt;"",IF(A49&lt;&gt;"","ID","Тех. место"),"")</f>
        <v/>
      </c>
      <c r="CF49" s="120" t="str">
        <f t="shared" si="5"/>
        <v/>
      </c>
      <c r="CG49" s="119" t="str">
        <f t="shared" si="6"/>
        <v/>
      </c>
      <c r="CH49" s="119" t="str">
        <f t="shared" si="7"/>
        <v/>
      </c>
      <c r="CI49" s="119"/>
      <c r="CJ49" s="119"/>
      <c r="CK49" s="119"/>
      <c r="CL49" s="119"/>
      <c r="CM49" s="121"/>
      <c r="CN49" s="121"/>
      <c r="CO49" s="121"/>
      <c r="CP49" s="121"/>
      <c r="CQ49" s="121"/>
      <c r="CR49" s="121"/>
    </row>
    <row r="50" spans="62:96">
      <c r="BJ50" s="122">
        <f>SUM($BK$2:BK50)+ROW($BK$3)</f>
        <v>3</v>
      </c>
      <c r="BK50" s="123" t="str">
        <f>IF(таблКоррозия[[#This Row],[Тех. Место]]&lt;&gt;"",IF(COUNTA(таблКоррозия[[#This Row],[Тип_кор №1]:[Тип_кор №10]])=0,"",COUNTA(таблКоррозия[[#This Row],[Тип_кор №1]:[Тип_кор №10]])),"")</f>
        <v/>
      </c>
      <c r="BL50" s="124" t="str">
        <f>CONCATENATE(F50)</f>
        <v/>
      </c>
      <c r="BM50" s="124" t="str">
        <f>IF(таблКоррозия[[#This Row],[Тех. Место]]&lt;&gt;"",IF(A50&lt;&gt;"","ID","Тех. место"),"")</f>
        <v/>
      </c>
      <c r="BN50" s="124" t="str">
        <f>IF(A50&lt;&gt;"",CONCATENATE(A50),CONCATENATE(C50))</f>
        <v/>
      </c>
      <c r="BO50" s="123" t="str">
        <f>CONCATENATE(AG50)</f>
        <v/>
      </c>
      <c r="BP50" s="123" t="str">
        <f>CONCATENATE(AH50)</f>
        <v/>
      </c>
      <c r="BQ50" s="121"/>
      <c r="BR50" s="121"/>
      <c r="BS50" s="121"/>
      <c r="BT50" s="121"/>
      <c r="BU50" s="121"/>
      <c r="BV50" s="121"/>
      <c r="BW50" s="121"/>
      <c r="BX50" s="121"/>
      <c r="BY50" s="121"/>
      <c r="BZ50" s="121"/>
      <c r="CB50" s="122">
        <f>SUM($CC$2:CC50)+ROW($CC$3)</f>
        <v>3</v>
      </c>
      <c r="CC50" s="123" t="str">
        <f>IF(таблНКС[[#This Row],[Тех. Место]]&lt;&gt;"",IF(COUNTA(таблНКС[[#This Row],[Неуч_комп_среды №1]:[Неуч_комп_среды №10]])=0,"",COUNTA(таблНКС[[#This Row],[Неуч_комп_среды №1]:[Неуч_комп_среды №10]])),"")</f>
        <v/>
      </c>
      <c r="CD50" s="124" t="str">
        <f>CONCATENATE(F50)</f>
        <v/>
      </c>
      <c r="CE50" s="124" t="str">
        <f>IF(таблНКС[[#This Row],[Тех. Место]]&lt;&gt;"",IF(A50&lt;&gt;"","ID","Тех. место"),"")</f>
        <v/>
      </c>
      <c r="CF50" s="124" t="str">
        <f>IF(A50&lt;&gt;"",CONCATENATE(A50),CONCATENATE(C50))</f>
        <v/>
      </c>
      <c r="CG50" s="123" t="str">
        <f>CONCATENATE(AG50)</f>
        <v/>
      </c>
      <c r="CH50" s="123" t="str">
        <f>CONCATENATE(AH50)</f>
        <v/>
      </c>
      <c r="CI50" s="121"/>
      <c r="CJ50" s="121"/>
      <c r="CK50" s="121"/>
      <c r="CL50" s="121"/>
      <c r="CM50" s="121"/>
      <c r="CN50" s="121"/>
      <c r="CO50" s="121"/>
      <c r="CP50" s="121"/>
      <c r="CQ50" s="121"/>
      <c r="CR50" s="121"/>
    </row>
  </sheetData>
  <autoFilter ref="A2:BH2"/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>
          <x14:formula1>
            <xm:f>СПРАВОЧНИК!$A$19:$A$78</xm:f>
          </x14:formula1>
          <xm:sqref>BQ3:BZ50</xm:sqref>
        </x14:dataValidation>
        <x14:dataValidation type="list" allowBlank="1" showInputMessage="1">
          <x14:formula1>
            <xm:f>СПРАВОЧНИК!$D$19:$D$30</xm:f>
          </x14:formula1>
          <xm:sqref>CI3:CR50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C30"/>
  <sheetViews>
    <sheetView workbookViewId="0">
      <selection activeCell="D3" sqref="D3"/>
    </sheetView>
  </sheetViews>
  <sheetFormatPr defaultRowHeight="12.75"/>
  <cols>
    <col min="1" max="1" width="41.7109375" style="127" customWidth="1"/>
    <col min="2" max="2" width="42.7109375" style="127" customWidth="1"/>
    <col min="3" max="3" width="38.7109375" style="127" customWidth="1"/>
    <col min="4" max="16384" width="9.140625" style="60"/>
  </cols>
  <sheetData>
    <row r="1" spans="1:3" ht="15">
      <c r="A1" s="128" t="s">
        <v>417</v>
      </c>
      <c r="B1" s="128" t="s">
        <v>418</v>
      </c>
      <c r="C1" s="129" t="s">
        <v>250</v>
      </c>
    </row>
    <row r="2" spans="1:3" ht="15">
      <c r="A2" s="130" t="s">
        <v>419</v>
      </c>
      <c r="B2" s="128" t="s">
        <v>420</v>
      </c>
      <c r="C2" s="131" t="s">
        <v>421</v>
      </c>
    </row>
    <row r="3" spans="1:3">
      <c r="A3" s="127" t="str">
        <f>CONCATENATE(Passport!C3)</f>
        <v/>
      </c>
      <c r="B3" s="127" t="str">
        <f>CONCATENATE(Passport!E3)</f>
        <v/>
      </c>
      <c r="C3" s="127" t="str">
        <f>IF(Passport!$C3="","",Passport!C3)</f>
        <v/>
      </c>
    </row>
    <row r="4" spans="1:3">
      <c r="A4" s="127" t="str">
        <f>IF(таблКоррозия[[#This Row],[Столбец2]]="Тех. место",таблКоррозия[[#This Row],[Тех. Место]],"")</f>
        <v/>
      </c>
      <c r="B4" s="127" t="str">
        <f>IF(A4&lt;&gt;"",VLOOKUP(A4,Passport!$C$3:$BH$50,3,FALSE),"")</f>
        <v/>
      </c>
      <c r="C4" s="127" t="str">
        <f t="shared" ref="C4:C30" si="0">A4</f>
        <v/>
      </c>
    </row>
    <row r="5" spans="1:3">
      <c r="A5" s="127" t="str">
        <f>IF(таблКоррозия[[#This Row],[Столбец2]]="Тех. место",таблКоррозия[[#This Row],[Тех. Место]],"")</f>
        <v/>
      </c>
      <c r="B5" s="127" t="str">
        <f>IF(A5&lt;&gt;"",VLOOKUP(A5,Passport!$C$3:$BH$50,3,FALSE),"")</f>
        <v/>
      </c>
      <c r="C5" s="127" t="str">
        <f t="shared" si="0"/>
        <v/>
      </c>
    </row>
    <row r="6" spans="1:3">
      <c r="A6" s="127" t="str">
        <f>IF(таблКоррозия[[#This Row],[Столбец2]]="Тех. место",таблКоррозия[[#This Row],[Тех. Место]],"")</f>
        <v/>
      </c>
      <c r="B6" s="127" t="str">
        <f>IF(A6&lt;&gt;"",VLOOKUP(A6,Passport!$C$3:$BH$50,3,FALSE),"")</f>
        <v/>
      </c>
      <c r="C6" s="127" t="str">
        <f t="shared" si="0"/>
        <v/>
      </c>
    </row>
    <row r="7" spans="1:3">
      <c r="A7" s="127" t="str">
        <f>IF(таблКоррозия[[#This Row],[Столбец2]]="Тех. место",таблКоррозия[[#This Row],[Тех. Место]],"")</f>
        <v/>
      </c>
      <c r="B7" s="127" t="str">
        <f>IF(A7&lt;&gt;"",VLOOKUP(A7,Passport!$C$3:$BH$50,3,FALSE),"")</f>
        <v/>
      </c>
      <c r="C7" s="127" t="str">
        <f t="shared" si="0"/>
        <v/>
      </c>
    </row>
    <row r="8" spans="1:3">
      <c r="A8" s="127" t="str">
        <f>IF(таблКоррозия[[#This Row],[Столбец2]]="Тех. место",таблКоррозия[[#This Row],[Тех. Место]],"")</f>
        <v/>
      </c>
      <c r="B8" s="127" t="str">
        <f>IF(A8&lt;&gt;"",VLOOKUP(A8,Passport!$C$3:$BH$50,3,FALSE),"")</f>
        <v/>
      </c>
      <c r="C8" s="127" t="str">
        <f t="shared" si="0"/>
        <v/>
      </c>
    </row>
    <row r="9" spans="1:3">
      <c r="A9" s="127" t="str">
        <f>IF(таблКоррозия[[#This Row],[Столбец2]]="Тех. место",таблКоррозия[[#This Row],[Тех. Место]],"")</f>
        <v/>
      </c>
      <c r="B9" s="127" t="str">
        <f>IF(A9&lt;&gt;"",VLOOKUP(A9,Passport!$C$3:$BH$50,3,FALSE),"")</f>
        <v/>
      </c>
      <c r="C9" s="127" t="str">
        <f t="shared" si="0"/>
        <v/>
      </c>
    </row>
    <row r="10" spans="1:3">
      <c r="A10" s="127" t="str">
        <f>IF(таблКоррозия[[#This Row],[Столбец2]]="Тех. место",таблКоррозия[[#This Row],[Тех. Место]],"")</f>
        <v/>
      </c>
      <c r="B10" s="127" t="str">
        <f>IF(A10&lt;&gt;"",VLOOKUP(A10,Passport!$C$3:$BH$50,3,FALSE),"")</f>
        <v/>
      </c>
      <c r="C10" s="127" t="str">
        <f t="shared" si="0"/>
        <v/>
      </c>
    </row>
    <row r="11" spans="1:3">
      <c r="A11" s="127" t="str">
        <f>IF(таблКоррозия[[#This Row],[Столбец2]]="Тех. место",таблКоррозия[[#This Row],[Тех. Место]],"")</f>
        <v/>
      </c>
      <c r="B11" s="127" t="str">
        <f>IF(A11&lt;&gt;"",VLOOKUP(A11,Passport!$C$3:$BH$50,3,FALSE),"")</f>
        <v/>
      </c>
      <c r="C11" s="127" t="str">
        <f t="shared" si="0"/>
        <v/>
      </c>
    </row>
    <row r="12" spans="1:3">
      <c r="A12" s="127" t="str">
        <f>IF(таблКоррозия[[#This Row],[Столбец2]]="Тех. место",таблКоррозия[[#This Row],[Тех. Место]],"")</f>
        <v/>
      </c>
      <c r="B12" s="127" t="str">
        <f>IF(A12&lt;&gt;"",VLOOKUP(A12,Passport!$C$3:$BH$50,3,FALSE),"")</f>
        <v/>
      </c>
      <c r="C12" s="127" t="str">
        <f t="shared" si="0"/>
        <v/>
      </c>
    </row>
    <row r="13" spans="1:3">
      <c r="A13" s="127" t="str">
        <f>IF(таблКоррозия[[#This Row],[Столбец2]]="Тех. место",таблКоррозия[[#This Row],[Тех. Место]],"")</f>
        <v/>
      </c>
      <c r="B13" s="127" t="str">
        <f>IF(A13&lt;&gt;"",VLOOKUP(A13,Passport!$C$3:$BH$50,3,FALSE),"")</f>
        <v/>
      </c>
      <c r="C13" s="127" t="str">
        <f t="shared" si="0"/>
        <v/>
      </c>
    </row>
    <row r="14" spans="1:3">
      <c r="A14" s="127" t="str">
        <f>IF(таблКоррозия[[#This Row],[Столбец2]]="Тех. место",таблКоррозия[[#This Row],[Тех. Место]],"")</f>
        <v/>
      </c>
      <c r="B14" s="127" t="str">
        <f>IF(A14&lt;&gt;"",VLOOKUP(A14,Passport!$C$3:$BH$50,3,FALSE),"")</f>
        <v/>
      </c>
      <c r="C14" s="127" t="str">
        <f t="shared" si="0"/>
        <v/>
      </c>
    </row>
    <row r="15" spans="1:3">
      <c r="A15" s="127" t="str">
        <f>IF(таблКоррозия[[#This Row],[Столбец2]]="Тех. место",таблКоррозия[[#This Row],[Тех. Место]],"")</f>
        <v/>
      </c>
      <c r="B15" s="127" t="str">
        <f>IF(A15&lt;&gt;"",VLOOKUP(A15,Passport!$C$3:$BH$50,3,FALSE),"")</f>
        <v/>
      </c>
      <c r="C15" s="127" t="str">
        <f t="shared" si="0"/>
        <v/>
      </c>
    </row>
    <row r="16" spans="1:3">
      <c r="A16" s="127" t="str">
        <f>IF(таблКоррозия[[#This Row],[Столбец2]]="Тех. место",таблКоррозия[[#This Row],[Тех. Место]],"")</f>
        <v/>
      </c>
      <c r="B16" s="127" t="str">
        <f>IF(A16&lt;&gt;"",VLOOKUP(A16,Passport!$C$3:$BH$50,3,FALSE),"")</f>
        <v/>
      </c>
      <c r="C16" s="127" t="str">
        <f t="shared" si="0"/>
        <v/>
      </c>
    </row>
    <row r="17" spans="1:3">
      <c r="A17" s="127" t="str">
        <f>IF(таблКоррозия[[#This Row],[Столбец2]]="Тех. место",таблКоррозия[[#This Row],[Тех. Место]],"")</f>
        <v/>
      </c>
      <c r="B17" s="127" t="str">
        <f>IF(A17&lt;&gt;"",VLOOKUP(A17,Passport!$C$3:$BH$50,3,FALSE),"")</f>
        <v/>
      </c>
      <c r="C17" s="127" t="str">
        <f t="shared" si="0"/>
        <v/>
      </c>
    </row>
    <row r="18" spans="1:3">
      <c r="A18" s="127" t="str">
        <f>IF(таблКоррозия[[#This Row],[Столбец2]]="Тех. место",таблКоррозия[[#This Row],[Тех. Место]],"")</f>
        <v/>
      </c>
      <c r="B18" s="127" t="str">
        <f>IF(A18&lt;&gt;"",VLOOKUP(A18,Passport!$C$3:$BH$50,3,FALSE),"")</f>
        <v/>
      </c>
      <c r="C18" s="127" t="str">
        <f t="shared" si="0"/>
        <v/>
      </c>
    </row>
    <row r="19" spans="1:3">
      <c r="A19" s="127" t="str">
        <f>IF(таблКоррозия[[#This Row],[Столбец2]]="Тех. место",таблКоррозия[[#This Row],[Тех. Место]],"")</f>
        <v/>
      </c>
      <c r="B19" s="127" t="str">
        <f>IF(A19&lt;&gt;"",VLOOKUP(A19,Passport!$C$3:$BH$50,3,FALSE),"")</f>
        <v/>
      </c>
      <c r="C19" s="127" t="str">
        <f t="shared" si="0"/>
        <v/>
      </c>
    </row>
    <row r="20" spans="1:3">
      <c r="A20" s="127" t="str">
        <f>IF(таблКоррозия[[#This Row],[Столбец2]]="Тех. место",таблКоррозия[[#This Row],[Тех. Место]],"")</f>
        <v/>
      </c>
      <c r="B20" s="127" t="str">
        <f>IF(A20&lt;&gt;"",VLOOKUP(A20,Passport!$C$3:$BH$50,3,FALSE),"")</f>
        <v/>
      </c>
      <c r="C20" s="127" t="str">
        <f t="shared" si="0"/>
        <v/>
      </c>
    </row>
    <row r="21" spans="1:3">
      <c r="A21" s="127" t="str">
        <f>IF(таблКоррозия[[#This Row],[Столбец2]]="Тех. место",таблКоррозия[[#This Row],[Тех. Место]],"")</f>
        <v/>
      </c>
      <c r="B21" s="127" t="str">
        <f>IF(A21&lt;&gt;"",VLOOKUP(A21,Passport!$C$3:$BH$50,3,FALSE),"")</f>
        <v/>
      </c>
      <c r="C21" s="127" t="str">
        <f t="shared" si="0"/>
        <v/>
      </c>
    </row>
    <row r="22" spans="1:3">
      <c r="A22" s="127" t="str">
        <f>IF(таблКоррозия[[#This Row],[Столбец2]]="Тех. место",таблКоррозия[[#This Row],[Тех. Место]],"")</f>
        <v/>
      </c>
      <c r="B22" s="127" t="str">
        <f>IF(A22&lt;&gt;"",VLOOKUP(A22,Passport!$C$3:$BH$50,3,FALSE),"")</f>
        <v/>
      </c>
      <c r="C22" s="127" t="str">
        <f t="shared" si="0"/>
        <v/>
      </c>
    </row>
    <row r="23" spans="1:3">
      <c r="A23" s="127" t="str">
        <f>IF(таблКоррозия[[#This Row],[Столбец2]]="Тех. место",таблКоррозия[[#This Row],[Тех. Место]],"")</f>
        <v/>
      </c>
      <c r="B23" s="127" t="str">
        <f>IF(A23&lt;&gt;"",VLOOKUP(A23,Passport!$C$3:$BH$50,3,FALSE),"")</f>
        <v/>
      </c>
      <c r="C23" s="127" t="str">
        <f t="shared" si="0"/>
        <v/>
      </c>
    </row>
    <row r="24" spans="1:3">
      <c r="A24" s="127" t="str">
        <f>IF(таблКоррозия[[#This Row],[Столбец2]]="Тех. место",таблКоррозия[[#This Row],[Тех. Место]],"")</f>
        <v/>
      </c>
      <c r="B24" s="127" t="str">
        <f>IF(A24&lt;&gt;"",VLOOKUP(A24,Passport!$C$3:$BH$50,3,FALSE),"")</f>
        <v/>
      </c>
      <c r="C24" s="127" t="str">
        <f t="shared" si="0"/>
        <v/>
      </c>
    </row>
    <row r="25" spans="1:3">
      <c r="A25" s="127" t="str">
        <f>IF(таблКоррозия[[#This Row],[Столбец2]]="Тех. место",таблКоррозия[[#This Row],[Тех. Место]],"")</f>
        <v/>
      </c>
      <c r="B25" s="127" t="str">
        <f>IF(A25&lt;&gt;"",VLOOKUP(A25,Passport!$C$3:$BH$50,3,FALSE),"")</f>
        <v/>
      </c>
      <c r="C25" s="127" t="str">
        <f t="shared" si="0"/>
        <v/>
      </c>
    </row>
    <row r="26" spans="1:3">
      <c r="A26" s="127" t="str">
        <f>IF(таблКоррозия[[#This Row],[Столбец2]]="Тех. место",таблКоррозия[[#This Row],[Тех. Место]],"")</f>
        <v/>
      </c>
      <c r="B26" s="127" t="str">
        <f>IF(A26&lt;&gt;"",VLOOKUP(A26,Passport!$C$3:$BH$50,3,FALSE),"")</f>
        <v/>
      </c>
      <c r="C26" s="127" t="str">
        <f t="shared" si="0"/>
        <v/>
      </c>
    </row>
    <row r="27" spans="1:3">
      <c r="A27" s="127" t="str">
        <f>IF(таблКоррозия[[#This Row],[Столбец2]]="Тех. место",таблКоррозия[[#This Row],[Тех. Место]],"")</f>
        <v/>
      </c>
      <c r="B27" s="127" t="str">
        <f>IF(A27&lt;&gt;"",VLOOKUP(A27,Passport!$C$3:$BH$50,3,FALSE),"")</f>
        <v/>
      </c>
      <c r="C27" s="127" t="str">
        <f t="shared" si="0"/>
        <v/>
      </c>
    </row>
    <row r="28" spans="1:3">
      <c r="A28" s="127" t="str">
        <f>IF(таблКоррозия[[#This Row],[Столбец2]]="Тех. место",таблКоррозия[[#This Row],[Тех. Место]],"")</f>
        <v/>
      </c>
      <c r="B28" s="127" t="str">
        <f>IF(A28&lt;&gt;"",VLOOKUP(A28,Passport!$C$3:$BH$50,3,FALSE),"")</f>
        <v/>
      </c>
      <c r="C28" s="127" t="str">
        <f t="shared" si="0"/>
        <v/>
      </c>
    </row>
    <row r="29" spans="1:3">
      <c r="A29" s="127" t="str">
        <f>IF(таблКоррозия[[#This Row],[Столбец2]]="Тех. место",таблКоррозия[[#This Row],[Тех. Место]],"")</f>
        <v/>
      </c>
      <c r="B29" s="127" t="str">
        <f>IF(A29&lt;&gt;"",VLOOKUP(A29,Passport!$C$3:$BH$50,3,FALSE),"")</f>
        <v/>
      </c>
      <c r="C29" s="127" t="str">
        <f t="shared" si="0"/>
        <v/>
      </c>
    </row>
    <row r="30" spans="1:3">
      <c r="A30" s="127" t="str">
        <f>IF(таблКоррозия[[#This Row],[Столбец2]]="Тех. место",таблКоррозия[[#This Row],[Тех. Место]],"")</f>
        <v/>
      </c>
      <c r="B30" s="127" t="str">
        <f>IF(A30&lt;&gt;"",VLOOKUP(A30,Passport!$C$3:$BH$50,3,FALSE),"")</f>
        <v/>
      </c>
      <c r="C30" s="127" t="str">
        <f t="shared" si="0"/>
        <v/>
      </c>
    </row>
  </sheetData>
  <autoFilter ref="A1:C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C1976"/>
  <sheetViews>
    <sheetView workbookViewId="0">
      <selection activeCell="D3" sqref="D3"/>
    </sheetView>
  </sheetViews>
  <sheetFormatPr defaultRowHeight="12.75"/>
  <cols>
    <col min="1" max="1" width="38.7109375" style="138" customWidth="1"/>
    <col min="2" max="2" width="42.7109375" style="138" customWidth="1"/>
    <col min="3" max="3" width="38.7109375" style="138" customWidth="1"/>
    <col min="4" max="16384" width="9.140625" style="60"/>
  </cols>
  <sheetData>
    <row r="1" spans="1:3" ht="15">
      <c r="A1" s="132" t="s">
        <v>422</v>
      </c>
      <c r="B1" s="132" t="s">
        <v>418</v>
      </c>
      <c r="C1" s="129" t="s">
        <v>250</v>
      </c>
    </row>
    <row r="2" spans="1:3" ht="15">
      <c r="A2" s="133" t="s">
        <v>423</v>
      </c>
      <c r="B2" s="133" t="s">
        <v>424</v>
      </c>
      <c r="C2" s="134" t="s">
        <v>421</v>
      </c>
    </row>
    <row r="3" spans="1:3">
      <c r="A3" s="135" t="str">
        <f>CONCATENATE(Passport!A3)</f>
        <v/>
      </c>
      <c r="B3" s="136" t="str">
        <f>CONCATENATE(Passport!E3)</f>
        <v/>
      </c>
      <c r="C3" s="135" t="str">
        <f>A3</f>
        <v/>
      </c>
    </row>
    <row r="4" spans="1:3">
      <c r="A4" s="135" t="str">
        <f>IF(таблКоррозия[[#This Row],[Столбец2]]="ID",таблКоррозия[[#This Row],[Тех. Место]],"")</f>
        <v/>
      </c>
      <c r="B4" s="136" t="str">
        <f>IF(A4&lt;&gt;"",VLOOKUP(A4,Passport!$A$3:$BH$50,5,FALSE),"")</f>
        <v/>
      </c>
      <c r="C4" s="135" t="str">
        <f t="shared" ref="C4:C20" si="0">A4</f>
        <v/>
      </c>
    </row>
    <row r="5" spans="1:3">
      <c r="A5" s="135" t="str">
        <f>IF(таблКоррозия[[#This Row],[Столбец2]]="ID",таблКоррозия[[#This Row],[Тех. Место]],"")</f>
        <v/>
      </c>
      <c r="B5" s="136" t="str">
        <f>IF(A5&lt;&gt;"",VLOOKUP(A5,Passport!$A$3:$BH$50,5,FALSE),"")</f>
        <v/>
      </c>
      <c r="C5" s="135" t="str">
        <f t="shared" si="0"/>
        <v/>
      </c>
    </row>
    <row r="6" spans="1:3">
      <c r="A6" s="135" t="str">
        <f>IF(таблКоррозия[[#This Row],[Столбец2]]="ID",таблКоррозия[[#This Row],[Тех. Место]],"")</f>
        <v/>
      </c>
      <c r="B6" s="136" t="str">
        <f>IF(A6&lt;&gt;"",VLOOKUP(A6,Passport!$A$3:$BH$50,5,FALSE),"")</f>
        <v/>
      </c>
      <c r="C6" s="135" t="str">
        <f t="shared" si="0"/>
        <v/>
      </c>
    </row>
    <row r="7" spans="1:3">
      <c r="A7" s="135" t="str">
        <f>IF(таблКоррозия[[#This Row],[Столбец2]]="ID",таблКоррозия[[#This Row],[Тех. Место]],"")</f>
        <v/>
      </c>
      <c r="B7" s="136" t="str">
        <f>IF(A7&lt;&gt;"",VLOOKUP(A7,Passport!$A$3:$BH$50,5,FALSE),"")</f>
        <v/>
      </c>
      <c r="C7" s="135" t="str">
        <f t="shared" si="0"/>
        <v/>
      </c>
    </row>
    <row r="8" spans="1:3">
      <c r="A8" s="135" t="str">
        <f>IF(таблКоррозия[[#This Row],[Столбец2]]="ID",таблКоррозия[[#This Row],[Тех. Место]],"")</f>
        <v/>
      </c>
      <c r="B8" s="136" t="str">
        <f>IF(A8&lt;&gt;"",VLOOKUP(A8,Passport!$A$3:$BH$50,5,FALSE),"")</f>
        <v/>
      </c>
      <c r="C8" s="135" t="str">
        <f t="shared" si="0"/>
        <v/>
      </c>
    </row>
    <row r="9" spans="1:3">
      <c r="A9" s="135" t="str">
        <f>IF(таблКоррозия[[#This Row],[Столбец2]]="ID",таблКоррозия[[#This Row],[Тех. Место]],"")</f>
        <v/>
      </c>
      <c r="B9" s="136" t="str">
        <f>IF(A9&lt;&gt;"",VLOOKUP(A9,Passport!$A$3:$BH$50,5,FALSE),"")</f>
        <v/>
      </c>
      <c r="C9" s="135" t="str">
        <f t="shared" si="0"/>
        <v/>
      </c>
    </row>
    <row r="10" spans="1:3">
      <c r="A10" s="135" t="str">
        <f>IF(таблКоррозия[[#This Row],[Столбец2]]="ID",таблКоррозия[[#This Row],[Тех. Место]],"")</f>
        <v/>
      </c>
      <c r="B10" s="136" t="str">
        <f>IF(A10&lt;&gt;"",VLOOKUP(A10,Passport!$A$3:$BH$50,5,FALSE),"")</f>
        <v/>
      </c>
      <c r="C10" s="135" t="str">
        <f t="shared" si="0"/>
        <v/>
      </c>
    </row>
    <row r="11" spans="1:3">
      <c r="A11" s="135" t="str">
        <f>IF(таблКоррозия[[#This Row],[Столбец2]]="ID",таблКоррозия[[#This Row],[Тех. Место]],"")</f>
        <v/>
      </c>
      <c r="B11" s="136" t="str">
        <f>IF(A11&lt;&gt;"",VLOOKUP(A11,Passport!$A$3:$BH$50,5,FALSE),"")</f>
        <v/>
      </c>
      <c r="C11" s="135" t="str">
        <f t="shared" si="0"/>
        <v/>
      </c>
    </row>
    <row r="12" spans="1:3">
      <c r="A12" s="135" t="str">
        <f>IF(таблКоррозия[[#This Row],[Столбец2]]="ID",таблКоррозия[[#This Row],[Тех. Место]],"")</f>
        <v/>
      </c>
      <c r="B12" s="136" t="str">
        <f>IF(A12&lt;&gt;"",VLOOKUP(A12,Passport!$A$3:$BH$50,5,FALSE),"")</f>
        <v/>
      </c>
      <c r="C12" s="135" t="str">
        <f t="shared" si="0"/>
        <v/>
      </c>
    </row>
    <row r="13" spans="1:3">
      <c r="A13" s="135" t="str">
        <f>IF(таблКоррозия[[#This Row],[Столбец2]]="ID",таблКоррозия[[#This Row],[Тех. Место]],"")</f>
        <v/>
      </c>
      <c r="B13" s="136" t="str">
        <f>IF(A13&lt;&gt;"",VLOOKUP(A13,Passport!$A$3:$BH$50,5,FALSE),"")</f>
        <v/>
      </c>
      <c r="C13" s="135" t="str">
        <f t="shared" si="0"/>
        <v/>
      </c>
    </row>
    <row r="14" spans="1:3">
      <c r="A14" s="135" t="str">
        <f>IF(таблКоррозия[[#This Row],[Столбец2]]="ID",таблКоррозия[[#This Row],[Тех. Место]],"")</f>
        <v/>
      </c>
      <c r="B14" s="136" t="str">
        <f>IF(A14&lt;&gt;"",VLOOKUP(A14,Passport!$A$3:$BH$50,5,FALSE),"")</f>
        <v/>
      </c>
      <c r="C14" s="135" t="str">
        <f t="shared" si="0"/>
        <v/>
      </c>
    </row>
    <row r="15" spans="1:3">
      <c r="A15" s="135" t="str">
        <f>IF(таблКоррозия[[#This Row],[Столбец2]]="ID",таблКоррозия[[#This Row],[Тех. Место]],"")</f>
        <v/>
      </c>
      <c r="B15" s="136" t="str">
        <f>IF(A15&lt;&gt;"",VLOOKUP(A15,Passport!$A$3:$BH$50,5,FALSE),"")</f>
        <v/>
      </c>
      <c r="C15" s="135" t="str">
        <f t="shared" si="0"/>
        <v/>
      </c>
    </row>
    <row r="16" spans="1:3">
      <c r="A16" s="135" t="str">
        <f>IF(таблКоррозия[[#This Row],[Столбец2]]="ID",таблКоррозия[[#This Row],[Тех. Место]],"")</f>
        <v/>
      </c>
      <c r="B16" s="136" t="str">
        <f>IF(A16&lt;&gt;"",VLOOKUP(A16,Passport!$A$3:$BH$50,5,FALSE),"")</f>
        <v/>
      </c>
      <c r="C16" s="135" t="str">
        <f t="shared" si="0"/>
        <v/>
      </c>
    </row>
    <row r="17" spans="1:3">
      <c r="A17" s="135" t="str">
        <f>IF(таблКоррозия[[#This Row],[Столбец2]]="ID",таблКоррозия[[#This Row],[Тех. Место]],"")</f>
        <v/>
      </c>
      <c r="B17" s="136" t="str">
        <f>IF(A17&lt;&gt;"",VLOOKUP(A17,Passport!$A$3:$BH$50,5,FALSE),"")</f>
        <v/>
      </c>
      <c r="C17" s="135" t="str">
        <f t="shared" si="0"/>
        <v/>
      </c>
    </row>
    <row r="18" spans="1:3">
      <c r="A18" s="135" t="str">
        <f>IF(таблКоррозия[[#This Row],[Столбец2]]="ID",таблКоррозия[[#This Row],[Тех. Место]],"")</f>
        <v/>
      </c>
      <c r="B18" s="136" t="str">
        <f>IF(A18&lt;&gt;"",VLOOKUP(A18,Passport!$A$3:$BH$50,5,FALSE),"")</f>
        <v/>
      </c>
      <c r="C18" s="135" t="str">
        <f t="shared" si="0"/>
        <v/>
      </c>
    </row>
    <row r="19" spans="1:3">
      <c r="A19" s="135" t="str">
        <f>IF(таблКоррозия[[#This Row],[Столбец2]]="ID",таблКоррозия[[#This Row],[Тех. Место]],"")</f>
        <v/>
      </c>
      <c r="B19" s="136" t="str">
        <f>IF(A19&lt;&gt;"",VLOOKUP(A19,Passport!$A$3:$BH$50,5,FALSE),"")</f>
        <v/>
      </c>
      <c r="C19" s="135" t="str">
        <f t="shared" si="0"/>
        <v/>
      </c>
    </row>
    <row r="20" spans="1:3">
      <c r="A20" s="135" t="str">
        <f>IF(таблКоррозия[[#This Row],[Столбец2]]="ID",таблКоррозия[[#This Row],[Тех. Место]],"")</f>
        <v/>
      </c>
      <c r="B20" s="136" t="str">
        <f>IF(A20&lt;&gt;"",VLOOKUP(A20,Passport!$A$3:$BH$50,5,FALSE),"")</f>
        <v/>
      </c>
      <c r="C20" s="135" t="str">
        <f t="shared" si="0"/>
        <v/>
      </c>
    </row>
    <row r="21" spans="1:3">
      <c r="A21" s="135" t="str">
        <f>IF(таблКоррозия[[#This Row],[Столбец2]]="ID",таблКоррозия[[#This Row],[Тех. Место]],"")</f>
        <v/>
      </c>
      <c r="B21" s="136" t="str">
        <f>IF(A21&lt;&gt;"",VLOOKUP(A21,Passport!$A$3:$BH$50,5,FALSE),"")</f>
        <v/>
      </c>
      <c r="C21" s="135" t="str">
        <f t="shared" ref="C21:C27" si="1">A21</f>
        <v/>
      </c>
    </row>
    <row r="22" spans="1:3">
      <c r="A22" s="135" t="str">
        <f>IF(таблКоррозия[[#This Row],[Столбец2]]="ID",таблКоррозия[[#This Row],[Тех. Место]],"")</f>
        <v/>
      </c>
      <c r="B22" s="136" t="str">
        <f>IF(A22&lt;&gt;"",VLOOKUP(A22,Passport!$A$3:$BH$50,5,FALSE),"")</f>
        <v/>
      </c>
      <c r="C22" s="135" t="str">
        <f t="shared" si="1"/>
        <v/>
      </c>
    </row>
    <row r="23" spans="1:3">
      <c r="A23" s="135" t="str">
        <f>IF(таблКоррозия[[#This Row],[Столбец2]]="ID",таблКоррозия[[#This Row],[Тех. Место]],"")</f>
        <v/>
      </c>
      <c r="B23" s="136" t="str">
        <f>IF(A23&lt;&gt;"",VLOOKUP(A23,Passport!$A$3:$BH$50,5,FALSE),"")</f>
        <v/>
      </c>
      <c r="C23" s="135" t="str">
        <f t="shared" si="1"/>
        <v/>
      </c>
    </row>
    <row r="24" spans="1:3">
      <c r="A24" s="135" t="str">
        <f>IF(таблКоррозия[[#This Row],[Столбец2]]="ID",таблКоррозия[[#This Row],[Тех. Место]],"")</f>
        <v/>
      </c>
      <c r="B24" s="136" t="str">
        <f>IF(A24&lt;&gt;"",VLOOKUP(A24,Passport!$A$3:$BH$50,5,FALSE),"")</f>
        <v/>
      </c>
      <c r="C24" s="135" t="str">
        <f t="shared" si="1"/>
        <v/>
      </c>
    </row>
    <row r="25" spans="1:3">
      <c r="A25" s="135" t="str">
        <f>IF(таблКоррозия[[#This Row],[Столбец2]]="ID",таблКоррозия[[#This Row],[Тех. Место]],"")</f>
        <v/>
      </c>
      <c r="B25" s="136" t="str">
        <f>IF(A25&lt;&gt;"",VLOOKUP(A25,Passport!$A$3:$BH$50,5,FALSE),"")</f>
        <v/>
      </c>
      <c r="C25" s="135" t="str">
        <f t="shared" si="1"/>
        <v/>
      </c>
    </row>
    <row r="26" spans="1:3">
      <c r="A26" s="135" t="str">
        <f>IF(таблКоррозия[[#This Row],[Столбец2]]="ID",таблКоррозия[[#This Row],[Тех. Место]],"")</f>
        <v/>
      </c>
      <c r="B26" s="136" t="str">
        <f>IF(A26&lt;&gt;"",VLOOKUP(A26,Passport!$A$3:$BH$50,5,FALSE),"")</f>
        <v/>
      </c>
      <c r="C26" s="135" t="str">
        <f t="shared" si="1"/>
        <v/>
      </c>
    </row>
    <row r="27" spans="1:3">
      <c r="A27" s="135" t="str">
        <f>IF(таблКоррозия[[#This Row],[Столбец2]]="ID",таблКоррозия[[#This Row],[Тех. Место]],"")</f>
        <v/>
      </c>
      <c r="B27" s="136" t="str">
        <f>IF(A27&lt;&gt;"",VLOOKUP(A27,Passport!$A$3:$BH$50,5,FALSE),"")</f>
        <v/>
      </c>
      <c r="C27" s="135" t="str">
        <f t="shared" si="1"/>
        <v/>
      </c>
    </row>
    <row r="28" spans="1:3">
      <c r="A28" s="135" t="str">
        <f>IF(таблКоррозия[[#This Row],[Столбец2]]="ID",таблКоррозия[[#This Row],[Тех. Место]],"")</f>
        <v/>
      </c>
      <c r="B28" s="136" t="str">
        <f>IF(A28&lt;&gt;"",VLOOKUP(A28,Passport!$A$3:$BH$50,5,FALSE),"")</f>
        <v/>
      </c>
      <c r="C28" s="137"/>
    </row>
    <row r="29" spans="1:3">
      <c r="A29" s="135" t="str">
        <f>IF(таблКоррозия[[#This Row],[Столбец2]]="ID",таблКоррозия[[#This Row],[Тех. Место]],"")</f>
        <v/>
      </c>
      <c r="B29" s="136" t="str">
        <f>IF(A29&lt;&gt;"",VLOOKUP(A29,Passport!$A$3:$BH$50,5,FALSE),"")</f>
        <v/>
      </c>
      <c r="C29" s="137"/>
    </row>
    <row r="30" spans="1:3">
      <c r="A30" s="135"/>
      <c r="B30" s="136"/>
      <c r="C30" s="137"/>
    </row>
    <row r="31" spans="1:3">
      <c r="A31" s="137"/>
      <c r="B31" s="136"/>
      <c r="C31" s="137"/>
    </row>
    <row r="32" spans="1:3">
      <c r="A32" s="137"/>
      <c r="B32" s="136"/>
      <c r="C32" s="137"/>
    </row>
    <row r="33" spans="1:3">
      <c r="A33" s="137"/>
      <c r="B33" s="136"/>
      <c r="C33" s="137"/>
    </row>
    <row r="34" spans="1:3">
      <c r="A34" s="137"/>
      <c r="B34" s="136"/>
      <c r="C34" s="137"/>
    </row>
    <row r="35" spans="1:3">
      <c r="A35" s="137"/>
      <c r="B35" s="136"/>
      <c r="C35" s="137"/>
    </row>
    <row r="36" spans="1:3">
      <c r="A36" s="137"/>
      <c r="B36" s="136"/>
      <c r="C36" s="137"/>
    </row>
    <row r="37" spans="1:3">
      <c r="A37" s="137"/>
      <c r="B37" s="136"/>
      <c r="C37" s="137"/>
    </row>
    <row r="38" spans="1:3">
      <c r="A38" s="137"/>
      <c r="B38" s="136"/>
      <c r="C38" s="137"/>
    </row>
    <row r="39" spans="1:3">
      <c r="A39" s="137"/>
      <c r="B39" s="136"/>
      <c r="C39" s="137"/>
    </row>
    <row r="40" spans="1:3">
      <c r="A40" s="137"/>
      <c r="B40" s="136"/>
      <c r="C40" s="137"/>
    </row>
    <row r="41" spans="1:3">
      <c r="A41" s="137"/>
      <c r="B41" s="136"/>
      <c r="C41" s="137"/>
    </row>
    <row r="42" spans="1:3">
      <c r="A42" s="137"/>
      <c r="B42" s="136"/>
      <c r="C42" s="137"/>
    </row>
    <row r="43" spans="1:3">
      <c r="A43" s="137"/>
      <c r="B43" s="136"/>
      <c r="C43" s="137"/>
    </row>
    <row r="44" spans="1:3">
      <c r="A44" s="137"/>
      <c r="B44" s="136"/>
      <c r="C44" s="137"/>
    </row>
    <row r="45" spans="1:3">
      <c r="A45" s="137"/>
      <c r="B45" s="136"/>
      <c r="C45" s="137"/>
    </row>
    <row r="46" spans="1:3">
      <c r="A46" s="137"/>
      <c r="B46" s="136"/>
      <c r="C46" s="137"/>
    </row>
    <row r="47" spans="1:3">
      <c r="A47" s="137"/>
      <c r="B47" s="136"/>
      <c r="C47" s="137"/>
    </row>
    <row r="48" spans="1:3">
      <c r="A48" s="137"/>
      <c r="B48" s="136"/>
      <c r="C48" s="137"/>
    </row>
    <row r="49" spans="1:3">
      <c r="A49" s="137"/>
      <c r="B49" s="136"/>
      <c r="C49" s="137"/>
    </row>
    <row r="50" spans="1:3">
      <c r="A50" s="137"/>
      <c r="B50" s="136"/>
      <c r="C50" s="137"/>
    </row>
    <row r="51" spans="1:3">
      <c r="A51" s="137"/>
      <c r="B51" s="136"/>
      <c r="C51" s="137"/>
    </row>
    <row r="52" spans="1:3">
      <c r="A52" s="137"/>
      <c r="B52" s="136"/>
      <c r="C52" s="137"/>
    </row>
    <row r="53" spans="1:3">
      <c r="A53" s="137"/>
      <c r="B53" s="136"/>
      <c r="C53" s="137"/>
    </row>
    <row r="54" spans="1:3">
      <c r="A54" s="137"/>
      <c r="B54" s="136"/>
      <c r="C54" s="137"/>
    </row>
    <row r="55" spans="1:3">
      <c r="A55" s="137"/>
      <c r="B55" s="136"/>
      <c r="C55" s="137"/>
    </row>
    <row r="56" spans="1:3">
      <c r="A56" s="137"/>
      <c r="B56" s="136"/>
      <c r="C56" s="137"/>
    </row>
    <row r="57" spans="1:3">
      <c r="A57" s="137"/>
      <c r="B57" s="136"/>
      <c r="C57" s="137"/>
    </row>
    <row r="58" spans="1:3">
      <c r="A58" s="137"/>
      <c r="B58" s="136"/>
      <c r="C58" s="137"/>
    </row>
    <row r="59" spans="1:3">
      <c r="A59" s="137"/>
      <c r="B59" s="136"/>
      <c r="C59" s="137"/>
    </row>
    <row r="60" spans="1:3">
      <c r="A60" s="137"/>
      <c r="B60" s="136"/>
      <c r="C60" s="137"/>
    </row>
    <row r="61" spans="1:3">
      <c r="A61" s="137"/>
      <c r="B61" s="136"/>
      <c r="C61" s="137"/>
    </row>
    <row r="62" spans="1:3">
      <c r="A62" s="137"/>
      <c r="B62" s="136"/>
      <c r="C62" s="137"/>
    </row>
    <row r="63" spans="1:3">
      <c r="A63" s="137"/>
      <c r="B63" s="136"/>
      <c r="C63" s="137"/>
    </row>
    <row r="64" spans="1:3">
      <c r="A64" s="137"/>
      <c r="B64" s="136"/>
      <c r="C64" s="137"/>
    </row>
    <row r="65" spans="1:3">
      <c r="A65" s="137"/>
      <c r="B65" s="136"/>
      <c r="C65" s="137"/>
    </row>
    <row r="66" spans="1:3">
      <c r="A66" s="137"/>
      <c r="B66" s="136"/>
      <c r="C66" s="137"/>
    </row>
    <row r="67" spans="1:3">
      <c r="A67" s="137"/>
      <c r="B67" s="136"/>
      <c r="C67" s="137"/>
    </row>
    <row r="68" spans="1:3">
      <c r="A68" s="137"/>
      <c r="B68" s="136"/>
      <c r="C68" s="137"/>
    </row>
    <row r="69" spans="1:3">
      <c r="A69" s="137"/>
      <c r="B69" s="136"/>
      <c r="C69" s="137"/>
    </row>
    <row r="70" spans="1:3">
      <c r="A70" s="137"/>
      <c r="B70" s="136"/>
      <c r="C70" s="137"/>
    </row>
    <row r="71" spans="1:3">
      <c r="A71" s="137"/>
      <c r="B71" s="136"/>
      <c r="C71" s="137"/>
    </row>
    <row r="72" spans="1:3">
      <c r="A72" s="137"/>
      <c r="B72" s="136"/>
      <c r="C72" s="137"/>
    </row>
    <row r="73" spans="1:3">
      <c r="A73" s="137"/>
      <c r="B73" s="136"/>
      <c r="C73" s="137"/>
    </row>
    <row r="74" spans="1:3">
      <c r="A74" s="137"/>
      <c r="B74" s="136"/>
      <c r="C74" s="137"/>
    </row>
    <row r="75" spans="1:3">
      <c r="A75" s="137"/>
      <c r="B75" s="136"/>
      <c r="C75" s="137"/>
    </row>
    <row r="76" spans="1:3">
      <c r="A76" s="137"/>
      <c r="B76" s="136"/>
      <c r="C76" s="137"/>
    </row>
    <row r="77" spans="1:3">
      <c r="A77" s="137"/>
      <c r="B77" s="136"/>
      <c r="C77" s="137"/>
    </row>
    <row r="78" spans="1:3">
      <c r="A78" s="137"/>
      <c r="B78" s="136"/>
      <c r="C78" s="137"/>
    </row>
    <row r="79" spans="1:3">
      <c r="A79" s="137"/>
      <c r="B79" s="136"/>
      <c r="C79" s="137"/>
    </row>
    <row r="80" spans="1:3">
      <c r="A80" s="137"/>
      <c r="B80" s="136"/>
      <c r="C80" s="137"/>
    </row>
    <row r="81" spans="1:3">
      <c r="A81" s="137"/>
      <c r="B81" s="136"/>
      <c r="C81" s="137"/>
    </row>
    <row r="82" spans="1:3">
      <c r="A82" s="137"/>
      <c r="B82" s="136"/>
      <c r="C82" s="137"/>
    </row>
    <row r="83" spans="1:3">
      <c r="A83" s="137"/>
      <c r="B83" s="136"/>
      <c r="C83" s="137"/>
    </row>
    <row r="84" spans="1:3">
      <c r="A84" s="137"/>
      <c r="B84" s="136"/>
      <c r="C84" s="137"/>
    </row>
    <row r="85" spans="1:3">
      <c r="A85" s="137"/>
      <c r="B85" s="136"/>
      <c r="C85" s="137"/>
    </row>
    <row r="86" spans="1:3">
      <c r="A86" s="137"/>
      <c r="B86" s="136"/>
      <c r="C86" s="137"/>
    </row>
    <row r="87" spans="1:3">
      <c r="A87" s="137"/>
      <c r="B87" s="136"/>
      <c r="C87" s="137"/>
    </row>
    <row r="88" spans="1:3">
      <c r="A88" s="137"/>
      <c r="B88" s="136"/>
      <c r="C88" s="137"/>
    </row>
    <row r="89" spans="1:3">
      <c r="A89" s="137"/>
      <c r="B89" s="136"/>
      <c r="C89" s="137"/>
    </row>
    <row r="90" spans="1:3">
      <c r="A90" s="137"/>
      <c r="B90" s="136"/>
      <c r="C90" s="137"/>
    </row>
    <row r="91" spans="1:3">
      <c r="A91" s="137"/>
      <c r="B91" s="136"/>
      <c r="C91" s="137"/>
    </row>
    <row r="92" spans="1:3">
      <c r="A92" s="137"/>
      <c r="B92" s="136"/>
      <c r="C92" s="137"/>
    </row>
    <row r="93" spans="1:3">
      <c r="A93" s="137"/>
      <c r="B93" s="136"/>
      <c r="C93" s="137"/>
    </row>
    <row r="94" spans="1:3">
      <c r="A94" s="137"/>
      <c r="B94" s="136"/>
      <c r="C94" s="137"/>
    </row>
    <row r="95" spans="1:3">
      <c r="A95" s="137"/>
      <c r="B95" s="136"/>
      <c r="C95" s="137"/>
    </row>
    <row r="96" spans="1:3">
      <c r="A96" s="137"/>
      <c r="B96" s="136"/>
      <c r="C96" s="137"/>
    </row>
    <row r="97" spans="1:3">
      <c r="A97" s="137"/>
      <c r="B97" s="136"/>
      <c r="C97" s="137"/>
    </row>
    <row r="98" spans="1:3">
      <c r="A98" s="137"/>
      <c r="B98" s="136"/>
      <c r="C98" s="137"/>
    </row>
    <row r="99" spans="1:3">
      <c r="A99" s="137"/>
      <c r="B99" s="136"/>
      <c r="C99" s="137"/>
    </row>
    <row r="100" spans="1:3">
      <c r="A100" s="137"/>
      <c r="B100" s="136"/>
      <c r="C100" s="137"/>
    </row>
    <row r="101" spans="1:3">
      <c r="A101" s="137"/>
      <c r="B101" s="136"/>
      <c r="C101" s="137"/>
    </row>
    <row r="102" spans="1:3">
      <c r="A102" s="137"/>
      <c r="B102" s="136"/>
      <c r="C102" s="137"/>
    </row>
    <row r="103" spans="1:3">
      <c r="A103" s="137"/>
      <c r="B103" s="136"/>
      <c r="C103" s="137"/>
    </row>
    <row r="104" spans="1:3">
      <c r="A104" s="137"/>
      <c r="B104" s="136"/>
      <c r="C104" s="137"/>
    </row>
    <row r="105" spans="1:3">
      <c r="A105" s="137"/>
      <c r="B105" s="136"/>
      <c r="C105" s="137"/>
    </row>
    <row r="106" spans="1:3">
      <c r="A106" s="137"/>
      <c r="B106" s="136"/>
      <c r="C106" s="137"/>
    </row>
    <row r="107" spans="1:3">
      <c r="A107" s="137"/>
      <c r="B107" s="136"/>
      <c r="C107" s="137"/>
    </row>
    <row r="108" spans="1:3">
      <c r="A108" s="137"/>
      <c r="B108" s="136"/>
      <c r="C108" s="137"/>
    </row>
    <row r="109" spans="1:3">
      <c r="A109" s="137"/>
      <c r="B109" s="136"/>
      <c r="C109" s="137"/>
    </row>
    <row r="110" spans="1:3">
      <c r="A110" s="137"/>
      <c r="B110" s="136"/>
      <c r="C110" s="137"/>
    </row>
    <row r="111" spans="1:3">
      <c r="A111" s="137"/>
      <c r="B111" s="136"/>
      <c r="C111" s="137"/>
    </row>
    <row r="112" spans="1:3">
      <c r="A112" s="137"/>
      <c r="B112" s="136"/>
      <c r="C112" s="137"/>
    </row>
    <row r="113" spans="1:3">
      <c r="A113" s="137"/>
      <c r="B113" s="136"/>
      <c r="C113" s="137"/>
    </row>
    <row r="114" spans="1:3">
      <c r="A114" s="137"/>
      <c r="B114" s="136"/>
      <c r="C114" s="137"/>
    </row>
    <row r="115" spans="1:3">
      <c r="A115" s="137"/>
      <c r="B115" s="136"/>
      <c r="C115" s="137"/>
    </row>
    <row r="116" spans="1:3">
      <c r="A116" s="137"/>
      <c r="B116" s="136"/>
      <c r="C116" s="137"/>
    </row>
    <row r="117" spans="1:3">
      <c r="A117" s="137"/>
      <c r="B117" s="136"/>
      <c r="C117" s="137"/>
    </row>
    <row r="118" spans="1:3">
      <c r="A118" s="137"/>
      <c r="B118" s="136"/>
      <c r="C118" s="137"/>
    </row>
    <row r="119" spans="1:3">
      <c r="A119" s="137"/>
      <c r="B119" s="136"/>
      <c r="C119" s="137"/>
    </row>
    <row r="120" spans="1:3">
      <c r="A120" s="137"/>
      <c r="B120" s="136"/>
      <c r="C120" s="137"/>
    </row>
    <row r="121" spans="1:3">
      <c r="A121" s="137"/>
      <c r="B121" s="136"/>
      <c r="C121" s="137"/>
    </row>
    <row r="122" spans="1:3">
      <c r="A122" s="137"/>
      <c r="B122" s="136"/>
      <c r="C122" s="137"/>
    </row>
    <row r="123" spans="1:3">
      <c r="A123" s="137"/>
      <c r="B123" s="136"/>
      <c r="C123" s="137"/>
    </row>
    <row r="124" spans="1:3">
      <c r="A124" s="137"/>
      <c r="B124" s="136"/>
      <c r="C124" s="137"/>
    </row>
    <row r="125" spans="1:3">
      <c r="A125" s="137"/>
      <c r="B125" s="136"/>
      <c r="C125" s="137"/>
    </row>
    <row r="126" spans="1:3">
      <c r="A126" s="137"/>
      <c r="B126" s="136"/>
      <c r="C126" s="137"/>
    </row>
    <row r="127" spans="1:3">
      <c r="A127" s="137"/>
      <c r="B127" s="136"/>
      <c r="C127" s="137"/>
    </row>
    <row r="128" spans="1:3">
      <c r="A128" s="137"/>
      <c r="B128" s="136"/>
      <c r="C128" s="137"/>
    </row>
    <row r="129" spans="1:3">
      <c r="A129" s="137"/>
      <c r="B129" s="136"/>
      <c r="C129" s="137"/>
    </row>
    <row r="130" spans="1:3">
      <c r="A130" s="137"/>
      <c r="B130" s="136"/>
      <c r="C130" s="137"/>
    </row>
    <row r="131" spans="1:3">
      <c r="A131" s="137"/>
      <c r="B131" s="136"/>
      <c r="C131" s="137"/>
    </row>
    <row r="132" spans="1:3">
      <c r="A132" s="137"/>
      <c r="B132" s="136"/>
      <c r="C132" s="137"/>
    </row>
    <row r="133" spans="1:3">
      <c r="A133" s="137"/>
      <c r="B133" s="136"/>
      <c r="C133" s="137"/>
    </row>
    <row r="134" spans="1:3">
      <c r="A134" s="137"/>
      <c r="B134" s="136"/>
      <c r="C134" s="137"/>
    </row>
    <row r="135" spans="1:3">
      <c r="A135" s="137"/>
      <c r="B135" s="136"/>
      <c r="C135" s="137"/>
    </row>
    <row r="136" spans="1:3">
      <c r="A136" s="137"/>
      <c r="B136" s="136"/>
      <c r="C136" s="137"/>
    </row>
    <row r="137" spans="1:3">
      <c r="A137" s="137"/>
      <c r="B137" s="136"/>
      <c r="C137" s="137"/>
    </row>
    <row r="138" spans="1:3">
      <c r="A138" s="137"/>
      <c r="B138" s="136"/>
      <c r="C138" s="137"/>
    </row>
    <row r="139" spans="1:3">
      <c r="A139" s="137"/>
      <c r="B139" s="136"/>
      <c r="C139" s="137"/>
    </row>
    <row r="140" spans="1:3">
      <c r="A140" s="137"/>
      <c r="B140" s="136"/>
      <c r="C140" s="137"/>
    </row>
    <row r="141" spans="1:3">
      <c r="A141" s="137"/>
      <c r="B141" s="136"/>
      <c r="C141" s="137"/>
    </row>
    <row r="142" spans="1:3">
      <c r="A142" s="137"/>
      <c r="B142" s="136"/>
      <c r="C142" s="137"/>
    </row>
    <row r="143" spans="1:3">
      <c r="A143" s="137"/>
      <c r="B143" s="136"/>
      <c r="C143" s="137"/>
    </row>
    <row r="144" spans="1:3">
      <c r="A144" s="137"/>
      <c r="B144" s="136"/>
      <c r="C144" s="137"/>
    </row>
    <row r="145" spans="1:3">
      <c r="A145" s="137"/>
      <c r="B145" s="136"/>
      <c r="C145" s="137"/>
    </row>
    <row r="146" spans="1:3">
      <c r="A146" s="137"/>
      <c r="B146" s="136"/>
      <c r="C146" s="137"/>
    </row>
    <row r="147" spans="1:3">
      <c r="A147" s="137"/>
      <c r="B147" s="136"/>
      <c r="C147" s="137"/>
    </row>
    <row r="148" spans="1:3">
      <c r="A148" s="137"/>
      <c r="B148" s="136"/>
      <c r="C148" s="137"/>
    </row>
    <row r="149" spans="1:3">
      <c r="A149" s="137"/>
      <c r="B149" s="136"/>
      <c r="C149" s="137"/>
    </row>
    <row r="150" spans="1:3">
      <c r="A150" s="137"/>
      <c r="B150" s="136"/>
      <c r="C150" s="137"/>
    </row>
    <row r="151" spans="1:3">
      <c r="A151" s="137"/>
      <c r="B151" s="136"/>
      <c r="C151" s="137"/>
    </row>
    <row r="152" spans="1:3">
      <c r="A152" s="137"/>
      <c r="B152" s="136"/>
      <c r="C152" s="137"/>
    </row>
    <row r="153" spans="1:3">
      <c r="A153" s="137"/>
      <c r="B153" s="136"/>
      <c r="C153" s="137"/>
    </row>
    <row r="154" spans="1:3">
      <c r="A154" s="137"/>
      <c r="B154" s="136"/>
      <c r="C154" s="137"/>
    </row>
    <row r="155" spans="1:3">
      <c r="A155" s="137"/>
      <c r="B155" s="136"/>
      <c r="C155" s="137"/>
    </row>
    <row r="156" spans="1:3">
      <c r="A156" s="137"/>
      <c r="B156" s="136"/>
      <c r="C156" s="137"/>
    </row>
    <row r="157" spans="1:3">
      <c r="A157" s="137"/>
      <c r="B157" s="136"/>
      <c r="C157" s="137"/>
    </row>
    <row r="158" spans="1:3">
      <c r="A158" s="137"/>
      <c r="B158" s="136"/>
      <c r="C158" s="137"/>
    </row>
    <row r="159" spans="1:3">
      <c r="A159" s="137"/>
      <c r="B159" s="136"/>
      <c r="C159" s="137"/>
    </row>
    <row r="160" spans="1:3">
      <c r="A160" s="137"/>
      <c r="B160" s="136"/>
      <c r="C160" s="137"/>
    </row>
    <row r="161" spans="1:3">
      <c r="A161" s="137"/>
      <c r="B161" s="136"/>
      <c r="C161" s="137"/>
    </row>
    <row r="162" spans="1:3">
      <c r="A162" s="137"/>
      <c r="B162" s="136"/>
      <c r="C162" s="137"/>
    </row>
    <row r="163" spans="1:3">
      <c r="A163" s="137"/>
      <c r="B163" s="136"/>
      <c r="C163" s="137"/>
    </row>
    <row r="164" spans="1:3">
      <c r="A164" s="137"/>
      <c r="B164" s="136"/>
      <c r="C164" s="137"/>
    </row>
    <row r="165" spans="1:3">
      <c r="A165" s="137"/>
      <c r="B165" s="136"/>
      <c r="C165" s="137"/>
    </row>
    <row r="166" spans="1:3">
      <c r="A166" s="137"/>
      <c r="B166" s="136"/>
      <c r="C166" s="137"/>
    </row>
    <row r="167" spans="1:3">
      <c r="A167" s="137"/>
      <c r="B167" s="136"/>
      <c r="C167" s="137"/>
    </row>
    <row r="168" spans="1:3">
      <c r="A168" s="137"/>
      <c r="B168" s="136"/>
      <c r="C168" s="137"/>
    </row>
    <row r="169" spans="1:3">
      <c r="A169" s="137"/>
      <c r="B169" s="136"/>
      <c r="C169" s="137"/>
    </row>
    <row r="170" spans="1:3">
      <c r="A170" s="137"/>
      <c r="B170" s="136"/>
      <c r="C170" s="137"/>
    </row>
    <row r="171" spans="1:3">
      <c r="A171" s="137"/>
      <c r="B171" s="136"/>
      <c r="C171" s="137"/>
    </row>
    <row r="172" spans="1:3">
      <c r="A172" s="137"/>
      <c r="B172" s="136"/>
      <c r="C172" s="137"/>
    </row>
    <row r="173" spans="1:3">
      <c r="A173" s="137"/>
      <c r="B173" s="136"/>
      <c r="C173" s="137"/>
    </row>
    <row r="174" spans="1:3">
      <c r="A174" s="137"/>
      <c r="B174" s="136"/>
      <c r="C174" s="137"/>
    </row>
    <row r="175" spans="1:3">
      <c r="A175" s="137"/>
      <c r="B175" s="136"/>
      <c r="C175" s="137"/>
    </row>
    <row r="176" spans="1:3">
      <c r="A176" s="137"/>
      <c r="B176" s="136"/>
      <c r="C176" s="137"/>
    </row>
    <row r="177" spans="1:3">
      <c r="A177" s="137"/>
      <c r="B177" s="136"/>
      <c r="C177" s="137"/>
    </row>
    <row r="178" spans="1:3">
      <c r="A178" s="137"/>
      <c r="B178" s="136"/>
      <c r="C178" s="137"/>
    </row>
    <row r="179" spans="1:3">
      <c r="A179" s="137"/>
      <c r="B179" s="136"/>
      <c r="C179" s="137"/>
    </row>
    <row r="180" spans="1:3">
      <c r="A180" s="137"/>
      <c r="B180" s="136"/>
      <c r="C180" s="137"/>
    </row>
    <row r="181" spans="1:3">
      <c r="A181" s="137"/>
      <c r="B181" s="136"/>
      <c r="C181" s="137"/>
    </row>
    <row r="182" spans="1:3">
      <c r="A182" s="137"/>
      <c r="B182" s="136"/>
      <c r="C182" s="137"/>
    </row>
    <row r="183" spans="1:3">
      <c r="A183" s="137"/>
      <c r="B183" s="136"/>
      <c r="C183" s="137"/>
    </row>
    <row r="184" spans="1:3">
      <c r="A184" s="137"/>
      <c r="B184" s="136"/>
      <c r="C184" s="137"/>
    </row>
    <row r="185" spans="1:3">
      <c r="A185" s="137"/>
      <c r="B185" s="136"/>
      <c r="C185" s="137"/>
    </row>
    <row r="186" spans="1:3">
      <c r="A186" s="137"/>
      <c r="B186" s="136"/>
      <c r="C186" s="137"/>
    </row>
    <row r="187" spans="1:3">
      <c r="A187" s="137"/>
      <c r="B187" s="136"/>
      <c r="C187" s="137"/>
    </row>
    <row r="188" spans="1:3">
      <c r="A188" s="137"/>
      <c r="B188" s="136"/>
      <c r="C188" s="137"/>
    </row>
    <row r="189" spans="1:3">
      <c r="A189" s="137"/>
      <c r="B189" s="136"/>
      <c r="C189" s="137"/>
    </row>
    <row r="190" spans="1:3">
      <c r="A190" s="137"/>
      <c r="B190" s="136"/>
      <c r="C190" s="137"/>
    </row>
    <row r="191" spans="1:3">
      <c r="A191" s="137"/>
      <c r="B191" s="136"/>
      <c r="C191" s="137"/>
    </row>
    <row r="192" spans="1:3">
      <c r="A192" s="137"/>
      <c r="B192" s="136"/>
      <c r="C192" s="137"/>
    </row>
    <row r="193" spans="1:3">
      <c r="A193" s="137"/>
      <c r="B193" s="136"/>
      <c r="C193" s="137"/>
    </row>
    <row r="194" spans="1:3">
      <c r="A194" s="137"/>
      <c r="B194" s="136"/>
      <c r="C194" s="137"/>
    </row>
    <row r="195" spans="1:3">
      <c r="A195" s="137"/>
      <c r="B195" s="136"/>
      <c r="C195" s="137"/>
    </row>
    <row r="196" spans="1:3">
      <c r="A196" s="137"/>
      <c r="B196" s="136"/>
      <c r="C196" s="137"/>
    </row>
    <row r="197" spans="1:3">
      <c r="A197" s="137"/>
      <c r="B197" s="136"/>
      <c r="C197" s="137"/>
    </row>
    <row r="198" spans="1:3">
      <c r="A198" s="137"/>
      <c r="B198" s="136"/>
      <c r="C198" s="137"/>
    </row>
    <row r="199" spans="1:3">
      <c r="A199" s="137"/>
      <c r="B199" s="136"/>
      <c r="C199" s="137"/>
    </row>
    <row r="200" spans="1:3">
      <c r="A200" s="137"/>
      <c r="B200" s="136"/>
      <c r="C200" s="137"/>
    </row>
    <row r="201" spans="1:3">
      <c r="A201" s="137"/>
      <c r="B201" s="136"/>
      <c r="C201" s="137"/>
    </row>
    <row r="202" spans="1:3">
      <c r="A202" s="137"/>
      <c r="B202" s="136"/>
      <c r="C202" s="137"/>
    </row>
    <row r="203" spans="1:3">
      <c r="A203" s="137"/>
      <c r="B203" s="136"/>
      <c r="C203" s="137"/>
    </row>
    <row r="204" spans="1:3">
      <c r="A204" s="137"/>
      <c r="B204" s="136"/>
      <c r="C204" s="137"/>
    </row>
    <row r="205" spans="1:3">
      <c r="A205" s="137"/>
      <c r="B205" s="136"/>
      <c r="C205" s="137"/>
    </row>
    <row r="206" spans="1:3">
      <c r="A206" s="137"/>
      <c r="B206" s="136"/>
      <c r="C206" s="137"/>
    </row>
    <row r="207" spans="1:3">
      <c r="A207" s="137"/>
      <c r="B207" s="136"/>
      <c r="C207" s="137"/>
    </row>
    <row r="208" spans="1:3">
      <c r="A208" s="137"/>
      <c r="B208" s="136"/>
      <c r="C208" s="137"/>
    </row>
    <row r="209" spans="1:3">
      <c r="A209" s="137"/>
      <c r="B209" s="136"/>
      <c r="C209" s="137"/>
    </row>
    <row r="210" spans="1:3">
      <c r="A210" s="137"/>
      <c r="B210" s="136"/>
      <c r="C210" s="137"/>
    </row>
    <row r="211" spans="1:3">
      <c r="A211" s="137"/>
      <c r="B211" s="136"/>
      <c r="C211" s="137"/>
    </row>
    <row r="212" spans="1:3">
      <c r="A212" s="137"/>
      <c r="B212" s="136"/>
      <c r="C212" s="137"/>
    </row>
    <row r="213" spans="1:3">
      <c r="A213" s="137"/>
      <c r="B213" s="136"/>
      <c r="C213" s="137"/>
    </row>
    <row r="214" spans="1:3">
      <c r="A214" s="137"/>
      <c r="B214" s="136"/>
      <c r="C214" s="137"/>
    </row>
    <row r="215" spans="1:3">
      <c r="A215" s="137"/>
      <c r="B215" s="136"/>
      <c r="C215" s="137"/>
    </row>
    <row r="216" spans="1:3">
      <c r="A216" s="137"/>
      <c r="B216" s="136"/>
      <c r="C216" s="137"/>
    </row>
    <row r="217" spans="1:3">
      <c r="A217" s="137"/>
      <c r="B217" s="136"/>
      <c r="C217" s="137"/>
    </row>
    <row r="218" spans="1:3">
      <c r="A218" s="137"/>
      <c r="B218" s="136"/>
      <c r="C218" s="137"/>
    </row>
    <row r="219" spans="1:3">
      <c r="A219" s="137"/>
      <c r="B219" s="136"/>
      <c r="C219" s="137"/>
    </row>
    <row r="220" spans="1:3">
      <c r="A220" s="137"/>
      <c r="B220" s="136"/>
      <c r="C220" s="137"/>
    </row>
    <row r="221" spans="1:3">
      <c r="A221" s="137"/>
      <c r="B221" s="136"/>
      <c r="C221" s="137"/>
    </row>
    <row r="222" spans="1:3">
      <c r="A222" s="137"/>
      <c r="B222" s="136"/>
      <c r="C222" s="137"/>
    </row>
    <row r="223" spans="1:3">
      <c r="A223" s="137"/>
      <c r="B223" s="136"/>
      <c r="C223" s="137"/>
    </row>
    <row r="224" spans="1:3">
      <c r="A224" s="137"/>
      <c r="B224" s="136"/>
      <c r="C224" s="137"/>
    </row>
    <row r="225" spans="1:3">
      <c r="A225" s="137"/>
      <c r="B225" s="136"/>
      <c r="C225" s="137"/>
    </row>
    <row r="226" spans="1:3">
      <c r="A226" s="137"/>
      <c r="B226" s="136"/>
      <c r="C226" s="137"/>
    </row>
    <row r="227" spans="1:3">
      <c r="A227" s="137"/>
      <c r="B227" s="136"/>
      <c r="C227" s="137"/>
    </row>
    <row r="228" spans="1:3">
      <c r="A228" s="137"/>
      <c r="B228" s="136"/>
      <c r="C228" s="137"/>
    </row>
    <row r="229" spans="1:3">
      <c r="A229" s="137"/>
      <c r="B229" s="136"/>
      <c r="C229" s="137"/>
    </row>
    <row r="230" spans="1:3">
      <c r="A230" s="137"/>
      <c r="B230" s="136"/>
      <c r="C230" s="137"/>
    </row>
    <row r="231" spans="1:3">
      <c r="A231" s="137"/>
      <c r="B231" s="136"/>
      <c r="C231" s="137"/>
    </row>
    <row r="232" spans="1:3">
      <c r="A232" s="137"/>
      <c r="B232" s="136"/>
      <c r="C232" s="137"/>
    </row>
    <row r="233" spans="1:3">
      <c r="A233" s="137"/>
      <c r="B233" s="136"/>
      <c r="C233" s="137"/>
    </row>
    <row r="234" spans="1:3">
      <c r="A234" s="137"/>
      <c r="B234" s="136"/>
      <c r="C234" s="137"/>
    </row>
    <row r="235" spans="1:3">
      <c r="A235" s="137"/>
      <c r="B235" s="136"/>
      <c r="C235" s="137"/>
    </row>
    <row r="236" spans="1:3">
      <c r="A236" s="137"/>
      <c r="B236" s="136"/>
      <c r="C236" s="137"/>
    </row>
    <row r="237" spans="1:3">
      <c r="A237" s="137"/>
      <c r="B237" s="136"/>
      <c r="C237" s="137"/>
    </row>
    <row r="238" spans="1:3">
      <c r="A238" s="137"/>
      <c r="B238" s="136"/>
      <c r="C238" s="137"/>
    </row>
    <row r="239" spans="1:3">
      <c r="A239" s="137"/>
      <c r="B239" s="136"/>
      <c r="C239" s="137"/>
    </row>
    <row r="240" spans="1:3">
      <c r="A240" s="137"/>
      <c r="B240" s="136"/>
      <c r="C240" s="137"/>
    </row>
    <row r="241" spans="1:3">
      <c r="A241" s="137"/>
      <c r="B241" s="136"/>
      <c r="C241" s="137"/>
    </row>
    <row r="242" spans="1:3">
      <c r="A242" s="137"/>
      <c r="B242" s="136"/>
      <c r="C242" s="137"/>
    </row>
    <row r="243" spans="1:3">
      <c r="A243" s="137"/>
      <c r="B243" s="136"/>
      <c r="C243" s="137"/>
    </row>
    <row r="244" spans="1:3">
      <c r="A244" s="137"/>
      <c r="B244" s="136"/>
      <c r="C244" s="137"/>
    </row>
    <row r="245" spans="1:3">
      <c r="A245" s="137"/>
      <c r="B245" s="136"/>
      <c r="C245" s="137"/>
    </row>
    <row r="246" spans="1:3">
      <c r="A246" s="137"/>
      <c r="B246" s="136"/>
      <c r="C246" s="137"/>
    </row>
    <row r="247" spans="1:3">
      <c r="A247" s="137"/>
      <c r="B247" s="136"/>
      <c r="C247" s="137"/>
    </row>
    <row r="248" spans="1:3">
      <c r="A248" s="137"/>
      <c r="B248" s="136"/>
      <c r="C248" s="137"/>
    </row>
    <row r="249" spans="1:3">
      <c r="A249" s="137"/>
      <c r="B249" s="136"/>
      <c r="C249" s="137"/>
    </row>
    <row r="250" spans="1:3">
      <c r="A250" s="137"/>
      <c r="B250" s="136"/>
      <c r="C250" s="137"/>
    </row>
    <row r="251" spans="1:3">
      <c r="A251" s="137"/>
      <c r="B251" s="136"/>
      <c r="C251" s="137"/>
    </row>
    <row r="252" spans="1:3">
      <c r="A252" s="137"/>
      <c r="B252" s="136"/>
      <c r="C252" s="137"/>
    </row>
    <row r="253" spans="1:3">
      <c r="A253" s="137"/>
      <c r="B253" s="136"/>
      <c r="C253" s="137"/>
    </row>
    <row r="254" spans="1:3">
      <c r="A254" s="137"/>
      <c r="B254" s="136"/>
      <c r="C254" s="137"/>
    </row>
    <row r="255" spans="1:3">
      <c r="A255" s="137"/>
      <c r="B255" s="136"/>
      <c r="C255" s="137"/>
    </row>
    <row r="256" spans="1:3">
      <c r="A256" s="137"/>
      <c r="B256" s="136"/>
      <c r="C256" s="137"/>
    </row>
    <row r="257" spans="1:3">
      <c r="A257" s="137"/>
      <c r="B257" s="136"/>
      <c r="C257" s="137"/>
    </row>
    <row r="258" spans="1:3">
      <c r="A258" s="137"/>
      <c r="B258" s="136"/>
      <c r="C258" s="137"/>
    </row>
    <row r="259" spans="1:3">
      <c r="A259" s="137"/>
      <c r="B259" s="136"/>
      <c r="C259" s="137"/>
    </row>
    <row r="260" spans="1:3">
      <c r="A260" s="137"/>
      <c r="B260" s="136"/>
      <c r="C260" s="137"/>
    </row>
    <row r="261" spans="1:3">
      <c r="A261" s="137"/>
      <c r="B261" s="136"/>
      <c r="C261" s="137"/>
    </row>
    <row r="262" spans="1:3">
      <c r="A262" s="137"/>
      <c r="B262" s="136"/>
      <c r="C262" s="137"/>
    </row>
    <row r="263" spans="1:3">
      <c r="A263" s="137"/>
      <c r="B263" s="136"/>
      <c r="C263" s="137"/>
    </row>
    <row r="264" spans="1:3">
      <c r="A264" s="137"/>
      <c r="B264" s="136"/>
      <c r="C264" s="137"/>
    </row>
    <row r="265" spans="1:3">
      <c r="A265" s="137"/>
      <c r="B265" s="136"/>
      <c r="C265" s="137"/>
    </row>
    <row r="266" spans="1:3">
      <c r="A266" s="137"/>
      <c r="B266" s="136"/>
      <c r="C266" s="137"/>
    </row>
    <row r="267" spans="1:3">
      <c r="A267" s="137"/>
      <c r="B267" s="136"/>
      <c r="C267" s="137"/>
    </row>
    <row r="268" spans="1:3">
      <c r="A268" s="137"/>
      <c r="B268" s="136"/>
      <c r="C268" s="137"/>
    </row>
    <row r="269" spans="1:3">
      <c r="A269" s="137"/>
      <c r="B269" s="136"/>
      <c r="C269" s="137"/>
    </row>
    <row r="270" spans="1:3">
      <c r="A270" s="137"/>
      <c r="B270" s="136"/>
      <c r="C270" s="137"/>
    </row>
    <row r="271" spans="1:3">
      <c r="A271" s="137"/>
      <c r="B271" s="136"/>
      <c r="C271" s="137"/>
    </row>
    <row r="272" spans="1:3">
      <c r="A272" s="137"/>
      <c r="B272" s="136"/>
      <c r="C272" s="137"/>
    </row>
    <row r="273" spans="1:3">
      <c r="A273" s="137"/>
      <c r="B273" s="136"/>
      <c r="C273" s="137"/>
    </row>
    <row r="274" spans="1:3">
      <c r="A274" s="137"/>
      <c r="B274" s="136"/>
      <c r="C274" s="137"/>
    </row>
    <row r="275" spans="1:3">
      <c r="A275" s="137"/>
      <c r="B275" s="136"/>
      <c r="C275" s="137"/>
    </row>
    <row r="276" spans="1:3">
      <c r="A276" s="137"/>
      <c r="B276" s="136"/>
      <c r="C276" s="137"/>
    </row>
    <row r="277" spans="1:3">
      <c r="A277" s="137"/>
      <c r="B277" s="136"/>
      <c r="C277" s="137"/>
    </row>
    <row r="278" spans="1:3">
      <c r="A278" s="137"/>
      <c r="B278" s="136"/>
      <c r="C278" s="137"/>
    </row>
    <row r="279" spans="1:3">
      <c r="A279" s="137"/>
      <c r="B279" s="136"/>
      <c r="C279" s="137"/>
    </row>
    <row r="280" spans="1:3">
      <c r="A280" s="137"/>
      <c r="B280" s="136"/>
      <c r="C280" s="137"/>
    </row>
    <row r="281" spans="1:3">
      <c r="A281" s="137"/>
      <c r="B281" s="136"/>
      <c r="C281" s="137"/>
    </row>
    <row r="282" spans="1:3">
      <c r="A282" s="137"/>
      <c r="B282" s="136"/>
      <c r="C282" s="137"/>
    </row>
    <row r="283" spans="1:3">
      <c r="A283" s="137"/>
      <c r="B283" s="136"/>
      <c r="C283" s="137"/>
    </row>
    <row r="284" spans="1:3">
      <c r="A284" s="137"/>
      <c r="B284" s="136"/>
      <c r="C284" s="137"/>
    </row>
    <row r="285" spans="1:3">
      <c r="A285" s="137"/>
      <c r="B285" s="136"/>
      <c r="C285" s="137"/>
    </row>
    <row r="286" spans="1:3">
      <c r="A286" s="137"/>
      <c r="B286" s="136"/>
      <c r="C286" s="137"/>
    </row>
    <row r="287" spans="1:3">
      <c r="A287" s="137"/>
      <c r="B287" s="136"/>
      <c r="C287" s="137"/>
    </row>
    <row r="288" spans="1:3">
      <c r="A288" s="137"/>
      <c r="B288" s="136"/>
      <c r="C288" s="137"/>
    </row>
    <row r="289" spans="1:3">
      <c r="A289" s="137"/>
      <c r="B289" s="136"/>
      <c r="C289" s="137"/>
    </row>
    <row r="290" spans="1:3">
      <c r="A290" s="137"/>
      <c r="B290" s="136"/>
      <c r="C290" s="137"/>
    </row>
    <row r="291" spans="1:3">
      <c r="A291" s="137"/>
      <c r="B291" s="136"/>
      <c r="C291" s="137"/>
    </row>
    <row r="292" spans="1:3">
      <c r="A292" s="137"/>
      <c r="B292" s="136"/>
      <c r="C292" s="137"/>
    </row>
    <row r="293" spans="1:3">
      <c r="A293" s="137"/>
      <c r="B293" s="136"/>
      <c r="C293" s="137"/>
    </row>
    <row r="294" spans="1:3">
      <c r="A294" s="137"/>
      <c r="B294" s="136"/>
      <c r="C294" s="137"/>
    </row>
    <row r="295" spans="1:3">
      <c r="A295" s="137"/>
      <c r="B295" s="136"/>
      <c r="C295" s="137"/>
    </row>
    <row r="296" spans="1:3">
      <c r="A296" s="137"/>
      <c r="B296" s="136"/>
      <c r="C296" s="137"/>
    </row>
    <row r="297" spans="1:3">
      <c r="A297" s="137"/>
      <c r="B297" s="136"/>
      <c r="C297" s="137"/>
    </row>
    <row r="298" spans="1:3">
      <c r="A298" s="137"/>
      <c r="B298" s="136"/>
      <c r="C298" s="137"/>
    </row>
    <row r="299" spans="1:3">
      <c r="A299" s="137"/>
      <c r="B299" s="136"/>
      <c r="C299" s="137"/>
    </row>
    <row r="300" spans="1:3">
      <c r="A300" s="137"/>
      <c r="B300" s="136"/>
      <c r="C300" s="137"/>
    </row>
    <row r="301" spans="1:3">
      <c r="A301" s="137"/>
      <c r="B301" s="136"/>
      <c r="C301" s="137"/>
    </row>
    <row r="302" spans="1:3">
      <c r="A302" s="137"/>
      <c r="B302" s="136"/>
      <c r="C302" s="137"/>
    </row>
    <row r="303" spans="1:3">
      <c r="A303" s="137"/>
      <c r="B303" s="136"/>
      <c r="C303" s="137"/>
    </row>
    <row r="304" spans="1:3">
      <c r="A304" s="137"/>
      <c r="B304" s="136"/>
      <c r="C304" s="137"/>
    </row>
    <row r="305" spans="1:3">
      <c r="A305" s="137"/>
      <c r="B305" s="136"/>
      <c r="C305" s="137"/>
    </row>
    <row r="306" spans="1:3">
      <c r="A306" s="137"/>
      <c r="B306" s="136"/>
      <c r="C306" s="137"/>
    </row>
    <row r="307" spans="1:3">
      <c r="A307" s="137"/>
      <c r="B307" s="136"/>
      <c r="C307" s="137"/>
    </row>
    <row r="308" spans="1:3">
      <c r="A308" s="137"/>
      <c r="B308" s="136"/>
      <c r="C308" s="137"/>
    </row>
    <row r="309" spans="1:3">
      <c r="A309" s="137"/>
      <c r="B309" s="136"/>
      <c r="C309" s="137"/>
    </row>
    <row r="310" spans="1:3">
      <c r="A310" s="137"/>
      <c r="B310" s="136"/>
      <c r="C310" s="137"/>
    </row>
    <row r="311" spans="1:3">
      <c r="A311" s="137"/>
      <c r="B311" s="136"/>
      <c r="C311" s="137"/>
    </row>
    <row r="312" spans="1:3">
      <c r="A312" s="137"/>
      <c r="B312" s="136"/>
      <c r="C312" s="137"/>
    </row>
    <row r="313" spans="1:3">
      <c r="A313" s="137"/>
      <c r="B313" s="136"/>
      <c r="C313" s="137"/>
    </row>
    <row r="314" spans="1:3">
      <c r="A314" s="137"/>
      <c r="B314" s="136"/>
      <c r="C314" s="137"/>
    </row>
    <row r="315" spans="1:3">
      <c r="A315" s="137"/>
      <c r="B315" s="136"/>
      <c r="C315" s="137"/>
    </row>
    <row r="316" spans="1:3">
      <c r="A316" s="137"/>
      <c r="B316" s="136"/>
      <c r="C316" s="137"/>
    </row>
    <row r="317" spans="1:3">
      <c r="A317" s="137"/>
      <c r="B317" s="136"/>
      <c r="C317" s="137"/>
    </row>
    <row r="318" spans="1:3">
      <c r="A318" s="137"/>
      <c r="B318" s="136"/>
      <c r="C318" s="137"/>
    </row>
    <row r="319" spans="1:3">
      <c r="A319" s="137"/>
      <c r="B319" s="136"/>
      <c r="C319" s="137"/>
    </row>
    <row r="320" spans="1:3">
      <c r="A320" s="137"/>
      <c r="B320" s="136"/>
      <c r="C320" s="137"/>
    </row>
    <row r="321" spans="1:3">
      <c r="A321" s="137"/>
      <c r="B321" s="136"/>
      <c r="C321" s="137"/>
    </row>
    <row r="322" spans="1:3">
      <c r="A322" s="137"/>
      <c r="B322" s="136"/>
      <c r="C322" s="137"/>
    </row>
    <row r="323" spans="1:3">
      <c r="A323" s="137"/>
      <c r="B323" s="136"/>
      <c r="C323" s="137"/>
    </row>
    <row r="324" spans="1:3">
      <c r="A324" s="137"/>
      <c r="B324" s="136"/>
      <c r="C324" s="137"/>
    </row>
    <row r="325" spans="1:3">
      <c r="A325" s="137"/>
      <c r="B325" s="136"/>
      <c r="C325" s="137"/>
    </row>
    <row r="326" spans="1:3">
      <c r="A326" s="137"/>
      <c r="B326" s="136"/>
      <c r="C326" s="137"/>
    </row>
    <row r="327" spans="1:3">
      <c r="A327" s="137"/>
      <c r="B327" s="136"/>
      <c r="C327" s="137"/>
    </row>
    <row r="328" spans="1:3">
      <c r="A328" s="137"/>
      <c r="B328" s="136"/>
      <c r="C328" s="137"/>
    </row>
    <row r="329" spans="1:3">
      <c r="A329" s="137"/>
      <c r="B329" s="136"/>
      <c r="C329" s="137"/>
    </row>
    <row r="330" spans="1:3">
      <c r="A330" s="137"/>
      <c r="B330" s="136"/>
      <c r="C330" s="137"/>
    </row>
    <row r="331" spans="1:3">
      <c r="A331" s="137"/>
      <c r="B331" s="136"/>
      <c r="C331" s="137"/>
    </row>
    <row r="332" spans="1:3">
      <c r="A332" s="137"/>
      <c r="B332" s="136"/>
      <c r="C332" s="137"/>
    </row>
    <row r="333" spans="1:3">
      <c r="A333" s="137"/>
      <c r="B333" s="136"/>
      <c r="C333" s="137"/>
    </row>
    <row r="334" spans="1:3">
      <c r="A334" s="137"/>
      <c r="B334" s="136"/>
      <c r="C334" s="137"/>
    </row>
    <row r="335" spans="1:3">
      <c r="A335" s="137"/>
      <c r="B335" s="136"/>
      <c r="C335" s="137"/>
    </row>
    <row r="336" spans="1:3">
      <c r="A336" s="137"/>
      <c r="B336" s="136"/>
      <c r="C336" s="137"/>
    </row>
    <row r="337" spans="1:3">
      <c r="A337" s="137"/>
      <c r="B337" s="136"/>
      <c r="C337" s="137"/>
    </row>
    <row r="338" spans="1:3">
      <c r="A338" s="137"/>
      <c r="B338" s="136"/>
      <c r="C338" s="137"/>
    </row>
    <row r="339" spans="1:3">
      <c r="A339" s="137"/>
      <c r="B339" s="136"/>
      <c r="C339" s="137"/>
    </row>
    <row r="340" spans="1:3">
      <c r="A340" s="137"/>
      <c r="B340" s="136"/>
      <c r="C340" s="137"/>
    </row>
    <row r="341" spans="1:3">
      <c r="A341" s="137"/>
      <c r="B341" s="136"/>
      <c r="C341" s="137"/>
    </row>
    <row r="342" spans="1:3">
      <c r="A342" s="137"/>
      <c r="B342" s="136"/>
      <c r="C342" s="137"/>
    </row>
    <row r="343" spans="1:3">
      <c r="A343" s="137"/>
      <c r="B343" s="136"/>
      <c r="C343" s="137"/>
    </row>
    <row r="344" spans="1:3">
      <c r="A344" s="137"/>
      <c r="B344" s="136"/>
      <c r="C344" s="137"/>
    </row>
    <row r="345" spans="1:3">
      <c r="A345" s="137"/>
      <c r="B345" s="136"/>
      <c r="C345" s="137"/>
    </row>
    <row r="346" spans="1:3">
      <c r="A346" s="137"/>
      <c r="B346" s="136"/>
      <c r="C346" s="137"/>
    </row>
    <row r="347" spans="1:3">
      <c r="A347" s="137"/>
      <c r="B347" s="136"/>
      <c r="C347" s="137"/>
    </row>
    <row r="348" spans="1:3">
      <c r="A348" s="137"/>
      <c r="B348" s="136"/>
      <c r="C348" s="137"/>
    </row>
    <row r="349" spans="1:3">
      <c r="A349" s="137"/>
      <c r="B349" s="136"/>
      <c r="C349" s="137"/>
    </row>
    <row r="350" spans="1:3">
      <c r="A350" s="137"/>
      <c r="B350" s="136"/>
      <c r="C350" s="137"/>
    </row>
    <row r="351" spans="1:3">
      <c r="A351" s="137"/>
      <c r="B351" s="136"/>
      <c r="C351" s="137"/>
    </row>
    <row r="352" spans="1:3">
      <c r="A352" s="137"/>
      <c r="B352" s="136"/>
      <c r="C352" s="137"/>
    </row>
    <row r="353" spans="1:3">
      <c r="A353" s="137"/>
      <c r="B353" s="136"/>
      <c r="C353" s="137"/>
    </row>
    <row r="354" spans="1:3">
      <c r="A354" s="137"/>
      <c r="B354" s="136"/>
      <c r="C354" s="137"/>
    </row>
    <row r="355" spans="1:3">
      <c r="A355" s="137"/>
      <c r="B355" s="136"/>
      <c r="C355" s="137"/>
    </row>
    <row r="356" spans="1:3">
      <c r="A356" s="137"/>
      <c r="B356" s="136"/>
      <c r="C356" s="137"/>
    </row>
    <row r="357" spans="1:3">
      <c r="A357" s="137"/>
      <c r="B357" s="136"/>
      <c r="C357" s="137"/>
    </row>
    <row r="358" spans="1:3">
      <c r="A358" s="137"/>
      <c r="B358" s="136"/>
      <c r="C358" s="137"/>
    </row>
    <row r="359" spans="1:3">
      <c r="A359" s="137"/>
      <c r="B359" s="136"/>
      <c r="C359" s="137"/>
    </row>
    <row r="360" spans="1:3">
      <c r="A360" s="137"/>
      <c r="B360" s="136"/>
      <c r="C360" s="137"/>
    </row>
    <row r="361" spans="1:3">
      <c r="A361" s="137"/>
      <c r="B361" s="136"/>
      <c r="C361" s="137"/>
    </row>
    <row r="362" spans="1:3">
      <c r="A362" s="137"/>
      <c r="B362" s="136"/>
      <c r="C362" s="137"/>
    </row>
    <row r="363" spans="1:3">
      <c r="A363" s="137"/>
      <c r="B363" s="136"/>
      <c r="C363" s="137"/>
    </row>
    <row r="364" spans="1:3">
      <c r="A364" s="137"/>
      <c r="B364" s="136"/>
      <c r="C364" s="137"/>
    </row>
    <row r="365" spans="1:3">
      <c r="A365" s="137"/>
      <c r="B365" s="136"/>
      <c r="C365" s="137"/>
    </row>
    <row r="366" spans="1:3">
      <c r="A366" s="137"/>
      <c r="B366" s="136"/>
      <c r="C366" s="137"/>
    </row>
    <row r="367" spans="1:3">
      <c r="A367" s="137"/>
      <c r="B367" s="136"/>
      <c r="C367" s="137"/>
    </row>
    <row r="368" spans="1:3">
      <c r="A368" s="137"/>
      <c r="B368" s="136"/>
      <c r="C368" s="137"/>
    </row>
    <row r="369" spans="1:3">
      <c r="A369" s="137"/>
      <c r="B369" s="136"/>
      <c r="C369" s="137"/>
    </row>
    <row r="370" spans="1:3">
      <c r="A370" s="137"/>
      <c r="B370" s="136"/>
      <c r="C370" s="137"/>
    </row>
    <row r="371" spans="1:3">
      <c r="A371" s="137"/>
      <c r="B371" s="136"/>
      <c r="C371" s="137"/>
    </row>
    <row r="372" spans="1:3">
      <c r="A372" s="137"/>
      <c r="B372" s="136"/>
      <c r="C372" s="137"/>
    </row>
    <row r="373" spans="1:3">
      <c r="A373" s="137"/>
      <c r="B373" s="136"/>
      <c r="C373" s="137"/>
    </row>
    <row r="374" spans="1:3">
      <c r="A374" s="137"/>
      <c r="B374" s="136"/>
      <c r="C374" s="137"/>
    </row>
    <row r="375" spans="1:3">
      <c r="A375" s="137"/>
      <c r="B375" s="136"/>
      <c r="C375" s="137"/>
    </row>
    <row r="376" spans="1:3">
      <c r="A376" s="137"/>
      <c r="B376" s="136"/>
      <c r="C376" s="137"/>
    </row>
    <row r="377" spans="1:3">
      <c r="A377" s="137"/>
      <c r="B377" s="136"/>
      <c r="C377" s="137"/>
    </row>
    <row r="378" spans="1:3">
      <c r="A378" s="137"/>
      <c r="B378" s="136"/>
      <c r="C378" s="137"/>
    </row>
    <row r="379" spans="1:3">
      <c r="A379" s="137"/>
      <c r="B379" s="136"/>
      <c r="C379" s="137"/>
    </row>
    <row r="380" spans="1:3">
      <c r="A380" s="137"/>
      <c r="B380" s="136"/>
      <c r="C380" s="137"/>
    </row>
    <row r="381" spans="1:3">
      <c r="A381" s="137"/>
      <c r="B381" s="136"/>
      <c r="C381" s="137"/>
    </row>
    <row r="382" spans="1:3">
      <c r="A382" s="137"/>
      <c r="B382" s="136"/>
      <c r="C382" s="137"/>
    </row>
    <row r="383" spans="1:3">
      <c r="A383" s="137"/>
      <c r="B383" s="136"/>
      <c r="C383" s="137"/>
    </row>
    <row r="384" spans="1:3">
      <c r="A384" s="137"/>
      <c r="B384" s="136"/>
      <c r="C384" s="137"/>
    </row>
    <row r="385" spans="1:3">
      <c r="A385" s="137"/>
      <c r="B385" s="136"/>
      <c r="C385" s="137"/>
    </row>
    <row r="386" spans="1:3">
      <c r="A386" s="137"/>
      <c r="B386" s="136"/>
      <c r="C386" s="137"/>
    </row>
    <row r="387" spans="1:3">
      <c r="A387" s="137"/>
      <c r="B387" s="136"/>
      <c r="C387" s="137"/>
    </row>
    <row r="388" spans="1:3">
      <c r="A388" s="137"/>
      <c r="B388" s="136"/>
      <c r="C388" s="137"/>
    </row>
    <row r="389" spans="1:3">
      <c r="A389" s="137"/>
      <c r="B389" s="136"/>
      <c r="C389" s="137"/>
    </row>
    <row r="390" spans="1:3">
      <c r="A390" s="137"/>
      <c r="B390" s="136"/>
      <c r="C390" s="137"/>
    </row>
    <row r="391" spans="1:3">
      <c r="A391" s="137"/>
      <c r="B391" s="136"/>
      <c r="C391" s="137"/>
    </row>
    <row r="392" spans="1:3">
      <c r="A392" s="137"/>
      <c r="B392" s="136"/>
      <c r="C392" s="137"/>
    </row>
    <row r="393" spans="1:3">
      <c r="A393" s="137"/>
      <c r="B393" s="136"/>
      <c r="C393" s="137"/>
    </row>
    <row r="394" spans="1:3">
      <c r="A394" s="137"/>
      <c r="B394" s="136"/>
      <c r="C394" s="137"/>
    </row>
    <row r="395" spans="1:3">
      <c r="A395" s="137"/>
      <c r="B395" s="136"/>
      <c r="C395" s="137"/>
    </row>
    <row r="396" spans="1:3">
      <c r="A396" s="137"/>
      <c r="B396" s="136"/>
      <c r="C396" s="137"/>
    </row>
    <row r="397" spans="1:3">
      <c r="A397" s="137"/>
      <c r="B397" s="136"/>
      <c r="C397" s="137"/>
    </row>
    <row r="398" spans="1:3">
      <c r="A398" s="137"/>
      <c r="B398" s="136"/>
      <c r="C398" s="137"/>
    </row>
    <row r="399" spans="1:3">
      <c r="A399" s="137"/>
      <c r="B399" s="136"/>
      <c r="C399" s="137"/>
    </row>
    <row r="400" spans="1:3">
      <c r="A400" s="137"/>
      <c r="B400" s="136"/>
      <c r="C400" s="137"/>
    </row>
    <row r="401" spans="1:3">
      <c r="A401" s="137"/>
      <c r="B401" s="136"/>
      <c r="C401" s="137"/>
    </row>
    <row r="402" spans="1:3">
      <c r="A402" s="137"/>
      <c r="B402" s="136"/>
      <c r="C402" s="137"/>
    </row>
    <row r="403" spans="1:3">
      <c r="A403" s="137"/>
      <c r="B403" s="136"/>
      <c r="C403" s="137"/>
    </row>
    <row r="404" spans="1:3">
      <c r="A404" s="137"/>
      <c r="B404" s="136"/>
      <c r="C404" s="137"/>
    </row>
    <row r="405" spans="1:3">
      <c r="A405" s="137"/>
      <c r="B405" s="136"/>
      <c r="C405" s="137"/>
    </row>
    <row r="406" spans="1:3">
      <c r="A406" s="137"/>
      <c r="B406" s="136"/>
      <c r="C406" s="137"/>
    </row>
    <row r="407" spans="1:3">
      <c r="A407" s="137"/>
      <c r="B407" s="136"/>
      <c r="C407" s="137"/>
    </row>
    <row r="408" spans="1:3">
      <c r="A408" s="137"/>
      <c r="B408" s="136"/>
      <c r="C408" s="137"/>
    </row>
    <row r="409" spans="1:3">
      <c r="A409" s="137"/>
      <c r="B409" s="136"/>
      <c r="C409" s="137"/>
    </row>
    <row r="410" spans="1:3">
      <c r="A410" s="137"/>
      <c r="B410" s="136"/>
      <c r="C410" s="137"/>
    </row>
    <row r="411" spans="1:3">
      <c r="A411" s="137"/>
      <c r="B411" s="136"/>
      <c r="C411" s="137"/>
    </row>
    <row r="412" spans="1:3">
      <c r="A412" s="137"/>
      <c r="B412" s="136"/>
      <c r="C412" s="137"/>
    </row>
    <row r="413" spans="1:3">
      <c r="A413" s="137"/>
      <c r="B413" s="136"/>
      <c r="C413" s="137"/>
    </row>
    <row r="414" spans="1:3">
      <c r="A414" s="137"/>
      <c r="B414" s="136"/>
      <c r="C414" s="137"/>
    </row>
    <row r="415" spans="1:3">
      <c r="A415" s="137"/>
      <c r="B415" s="136"/>
      <c r="C415" s="137"/>
    </row>
    <row r="416" spans="1:3">
      <c r="A416" s="137"/>
      <c r="B416" s="136"/>
      <c r="C416" s="137"/>
    </row>
    <row r="417" spans="1:3">
      <c r="A417" s="137"/>
      <c r="B417" s="136"/>
      <c r="C417" s="137"/>
    </row>
    <row r="418" spans="1:3">
      <c r="A418" s="137"/>
      <c r="B418" s="136"/>
      <c r="C418" s="137"/>
    </row>
    <row r="419" spans="1:3">
      <c r="A419" s="137"/>
      <c r="B419" s="136"/>
      <c r="C419" s="137"/>
    </row>
    <row r="420" spans="1:3">
      <c r="A420" s="137"/>
      <c r="B420" s="136"/>
      <c r="C420" s="137"/>
    </row>
    <row r="421" spans="1:3">
      <c r="A421" s="137"/>
      <c r="B421" s="136"/>
      <c r="C421" s="137"/>
    </row>
    <row r="422" spans="1:3">
      <c r="A422" s="137"/>
      <c r="B422" s="136"/>
      <c r="C422" s="137"/>
    </row>
    <row r="423" spans="1:3">
      <c r="A423" s="137"/>
      <c r="B423" s="136"/>
      <c r="C423" s="137"/>
    </row>
    <row r="424" spans="1:3">
      <c r="A424" s="137"/>
      <c r="B424" s="136"/>
      <c r="C424" s="137"/>
    </row>
    <row r="425" spans="1:3">
      <c r="A425" s="137"/>
      <c r="B425" s="136"/>
      <c r="C425" s="137"/>
    </row>
    <row r="426" spans="1:3">
      <c r="A426" s="137"/>
      <c r="B426" s="136"/>
      <c r="C426" s="137"/>
    </row>
    <row r="427" spans="1:3">
      <c r="A427" s="137"/>
      <c r="B427" s="136"/>
      <c r="C427" s="137"/>
    </row>
    <row r="428" spans="1:3">
      <c r="A428" s="137"/>
      <c r="B428" s="136"/>
      <c r="C428" s="137"/>
    </row>
    <row r="429" spans="1:3">
      <c r="A429" s="137"/>
      <c r="B429" s="136"/>
      <c r="C429" s="137"/>
    </row>
    <row r="430" spans="1:3">
      <c r="A430" s="137"/>
      <c r="B430" s="136"/>
      <c r="C430" s="137"/>
    </row>
    <row r="431" spans="1:3">
      <c r="A431" s="137"/>
      <c r="B431" s="136"/>
      <c r="C431" s="137"/>
    </row>
    <row r="432" spans="1:3">
      <c r="A432" s="137"/>
      <c r="B432" s="136"/>
      <c r="C432" s="137"/>
    </row>
    <row r="433" spans="1:3">
      <c r="A433" s="137"/>
      <c r="B433" s="136"/>
      <c r="C433" s="137"/>
    </row>
    <row r="434" spans="1:3">
      <c r="A434" s="137"/>
      <c r="B434" s="136"/>
      <c r="C434" s="137"/>
    </row>
    <row r="435" spans="1:3">
      <c r="A435" s="137"/>
      <c r="B435" s="136"/>
      <c r="C435" s="137"/>
    </row>
    <row r="436" spans="1:3">
      <c r="A436" s="137"/>
      <c r="B436" s="136"/>
      <c r="C436" s="137"/>
    </row>
    <row r="437" spans="1:3">
      <c r="A437" s="137"/>
      <c r="B437" s="136"/>
      <c r="C437" s="137"/>
    </row>
    <row r="438" spans="1:3">
      <c r="A438" s="137"/>
      <c r="B438" s="136"/>
      <c r="C438" s="137"/>
    </row>
    <row r="439" spans="1:3">
      <c r="A439" s="137"/>
      <c r="B439" s="136"/>
      <c r="C439" s="137"/>
    </row>
    <row r="440" spans="1:3">
      <c r="A440" s="137"/>
      <c r="B440" s="136"/>
      <c r="C440" s="137"/>
    </row>
    <row r="441" spans="1:3">
      <c r="A441" s="137"/>
      <c r="B441" s="136"/>
      <c r="C441" s="137"/>
    </row>
    <row r="442" spans="1:3">
      <c r="A442" s="137"/>
      <c r="B442" s="136"/>
      <c r="C442" s="137"/>
    </row>
    <row r="443" spans="1:3">
      <c r="A443" s="137"/>
      <c r="B443" s="136"/>
      <c r="C443" s="137"/>
    </row>
    <row r="444" spans="1:3">
      <c r="A444" s="137"/>
      <c r="B444" s="136"/>
      <c r="C444" s="137"/>
    </row>
    <row r="445" spans="1:3">
      <c r="A445" s="137"/>
      <c r="B445" s="136"/>
      <c r="C445" s="137"/>
    </row>
    <row r="446" spans="1:3">
      <c r="A446" s="137"/>
      <c r="B446" s="136"/>
      <c r="C446" s="137"/>
    </row>
    <row r="447" spans="1:3">
      <c r="A447" s="137"/>
      <c r="B447" s="136"/>
      <c r="C447" s="137"/>
    </row>
    <row r="448" spans="1:3">
      <c r="A448" s="137"/>
      <c r="B448" s="136"/>
      <c r="C448" s="137"/>
    </row>
    <row r="449" spans="1:3">
      <c r="A449" s="137"/>
      <c r="B449" s="136"/>
      <c r="C449" s="137"/>
    </row>
    <row r="450" spans="1:3">
      <c r="A450" s="137"/>
      <c r="B450" s="136"/>
      <c r="C450" s="137"/>
    </row>
    <row r="451" spans="1:3">
      <c r="A451" s="137"/>
      <c r="B451" s="136"/>
      <c r="C451" s="137"/>
    </row>
    <row r="452" spans="1:3">
      <c r="A452" s="137"/>
      <c r="B452" s="136"/>
      <c r="C452" s="137"/>
    </row>
    <row r="453" spans="1:3">
      <c r="A453" s="137"/>
      <c r="B453" s="136"/>
      <c r="C453" s="137"/>
    </row>
    <row r="454" spans="1:3">
      <c r="A454" s="137"/>
      <c r="B454" s="136"/>
      <c r="C454" s="137"/>
    </row>
    <row r="455" spans="1:3">
      <c r="A455" s="137"/>
      <c r="B455" s="136"/>
      <c r="C455" s="137"/>
    </row>
    <row r="456" spans="1:3">
      <c r="A456" s="137"/>
      <c r="B456" s="136"/>
      <c r="C456" s="137"/>
    </row>
    <row r="457" spans="1:3">
      <c r="A457" s="137"/>
      <c r="B457" s="136"/>
      <c r="C457" s="137"/>
    </row>
    <row r="458" spans="1:3">
      <c r="A458" s="137"/>
      <c r="B458" s="136"/>
      <c r="C458" s="137"/>
    </row>
    <row r="459" spans="1:3">
      <c r="A459" s="137"/>
      <c r="B459" s="136"/>
      <c r="C459" s="137"/>
    </row>
    <row r="460" spans="1:3">
      <c r="A460" s="137"/>
      <c r="B460" s="136"/>
      <c r="C460" s="137"/>
    </row>
    <row r="461" spans="1:3">
      <c r="A461" s="137"/>
      <c r="B461" s="136"/>
      <c r="C461" s="137"/>
    </row>
    <row r="462" spans="1:3">
      <c r="A462" s="137"/>
      <c r="B462" s="136"/>
      <c r="C462" s="137"/>
    </row>
    <row r="463" spans="1:3">
      <c r="A463" s="137"/>
      <c r="B463" s="136"/>
      <c r="C463" s="137"/>
    </row>
    <row r="464" spans="1:3">
      <c r="A464" s="137"/>
      <c r="B464" s="136"/>
      <c r="C464" s="137"/>
    </row>
    <row r="465" spans="1:3">
      <c r="A465" s="137"/>
      <c r="B465" s="136"/>
      <c r="C465" s="137"/>
    </row>
    <row r="466" spans="1:3">
      <c r="A466" s="137"/>
      <c r="B466" s="136"/>
      <c r="C466" s="137"/>
    </row>
    <row r="467" spans="1:3">
      <c r="A467" s="137"/>
      <c r="B467" s="136"/>
      <c r="C467" s="137"/>
    </row>
    <row r="468" spans="1:3">
      <c r="A468" s="137"/>
      <c r="B468" s="136"/>
      <c r="C468" s="137"/>
    </row>
    <row r="469" spans="1:3">
      <c r="A469" s="137"/>
      <c r="B469" s="136"/>
      <c r="C469" s="137"/>
    </row>
    <row r="470" spans="1:3">
      <c r="A470" s="137"/>
      <c r="B470" s="136"/>
      <c r="C470" s="137"/>
    </row>
    <row r="471" spans="1:3">
      <c r="A471" s="137"/>
      <c r="B471" s="136"/>
      <c r="C471" s="137"/>
    </row>
    <row r="472" spans="1:3">
      <c r="A472" s="137"/>
      <c r="B472" s="136"/>
      <c r="C472" s="137"/>
    </row>
    <row r="473" spans="1:3">
      <c r="A473" s="137"/>
      <c r="B473" s="136"/>
      <c r="C473" s="137"/>
    </row>
    <row r="474" spans="1:3">
      <c r="A474" s="137"/>
      <c r="B474" s="136"/>
      <c r="C474" s="137"/>
    </row>
    <row r="475" spans="1:3">
      <c r="A475" s="137"/>
      <c r="B475" s="136"/>
      <c r="C475" s="137"/>
    </row>
    <row r="476" spans="1:3">
      <c r="A476" s="137"/>
      <c r="B476" s="136"/>
      <c r="C476" s="137"/>
    </row>
    <row r="477" spans="1:3">
      <c r="A477" s="137"/>
      <c r="B477" s="136"/>
      <c r="C477" s="137"/>
    </row>
    <row r="478" spans="1:3">
      <c r="A478" s="137"/>
      <c r="B478" s="136"/>
      <c r="C478" s="137"/>
    </row>
    <row r="479" spans="1:3">
      <c r="A479" s="137"/>
      <c r="B479" s="136"/>
      <c r="C479" s="137"/>
    </row>
    <row r="480" spans="1:3">
      <c r="A480" s="137"/>
      <c r="B480" s="136"/>
      <c r="C480" s="137"/>
    </row>
    <row r="481" spans="1:3">
      <c r="A481" s="137"/>
      <c r="B481" s="136"/>
      <c r="C481" s="137"/>
    </row>
    <row r="482" spans="1:3">
      <c r="A482" s="137"/>
      <c r="B482" s="136"/>
      <c r="C482" s="137"/>
    </row>
    <row r="483" spans="1:3">
      <c r="A483" s="137"/>
      <c r="B483" s="136"/>
      <c r="C483" s="137"/>
    </row>
    <row r="484" spans="1:3">
      <c r="A484" s="137"/>
      <c r="B484" s="136"/>
      <c r="C484" s="137"/>
    </row>
    <row r="485" spans="1:3">
      <c r="A485" s="137"/>
      <c r="B485" s="136"/>
      <c r="C485" s="137"/>
    </row>
    <row r="486" spans="1:3">
      <c r="A486" s="137"/>
      <c r="B486" s="136"/>
      <c r="C486" s="137"/>
    </row>
    <row r="487" spans="1:3">
      <c r="A487" s="137"/>
      <c r="B487" s="136"/>
      <c r="C487" s="137"/>
    </row>
    <row r="488" spans="1:3">
      <c r="A488" s="137"/>
      <c r="B488" s="136"/>
      <c r="C488" s="137"/>
    </row>
    <row r="489" spans="1:3">
      <c r="A489" s="137"/>
      <c r="B489" s="136"/>
      <c r="C489" s="137"/>
    </row>
    <row r="490" spans="1:3">
      <c r="A490" s="137"/>
      <c r="B490" s="136"/>
      <c r="C490" s="137"/>
    </row>
    <row r="491" spans="1:3">
      <c r="A491" s="137"/>
      <c r="B491" s="136"/>
      <c r="C491" s="137"/>
    </row>
    <row r="492" spans="1:3">
      <c r="A492" s="137"/>
      <c r="B492" s="136"/>
      <c r="C492" s="137"/>
    </row>
    <row r="493" spans="1:3">
      <c r="A493" s="137"/>
      <c r="B493" s="136"/>
      <c r="C493" s="137"/>
    </row>
    <row r="494" spans="1:3">
      <c r="A494" s="137"/>
      <c r="B494" s="136"/>
      <c r="C494" s="137"/>
    </row>
    <row r="495" spans="1:3">
      <c r="A495" s="137"/>
      <c r="B495" s="136"/>
      <c r="C495" s="137"/>
    </row>
    <row r="496" spans="1:3">
      <c r="A496" s="137"/>
      <c r="B496" s="136"/>
      <c r="C496" s="137"/>
    </row>
    <row r="497" spans="1:3">
      <c r="A497" s="137"/>
      <c r="B497" s="136"/>
      <c r="C497" s="137"/>
    </row>
    <row r="498" spans="1:3">
      <c r="A498" s="137"/>
      <c r="B498" s="136"/>
      <c r="C498" s="137"/>
    </row>
    <row r="499" spans="1:3">
      <c r="A499" s="137"/>
      <c r="B499" s="136"/>
      <c r="C499" s="137"/>
    </row>
    <row r="500" spans="1:3">
      <c r="A500" s="137"/>
      <c r="B500" s="136"/>
      <c r="C500" s="137"/>
    </row>
    <row r="501" spans="1:3">
      <c r="A501" s="137"/>
      <c r="B501" s="136"/>
      <c r="C501" s="137"/>
    </row>
    <row r="502" spans="1:3">
      <c r="A502" s="137"/>
      <c r="B502" s="136"/>
      <c r="C502" s="137"/>
    </row>
    <row r="503" spans="1:3">
      <c r="A503" s="137"/>
      <c r="B503" s="136"/>
      <c r="C503" s="137"/>
    </row>
    <row r="504" spans="1:3">
      <c r="A504" s="137"/>
      <c r="B504" s="136"/>
      <c r="C504" s="137"/>
    </row>
    <row r="505" spans="1:3">
      <c r="A505" s="137"/>
      <c r="B505" s="136"/>
      <c r="C505" s="137"/>
    </row>
    <row r="506" spans="1:3">
      <c r="A506" s="137"/>
      <c r="B506" s="136"/>
      <c r="C506" s="137"/>
    </row>
    <row r="507" spans="1:3">
      <c r="A507" s="137"/>
      <c r="B507" s="136"/>
      <c r="C507" s="137"/>
    </row>
    <row r="508" spans="1:3">
      <c r="A508" s="137"/>
      <c r="B508" s="136"/>
      <c r="C508" s="137"/>
    </row>
    <row r="509" spans="1:3">
      <c r="A509" s="137"/>
      <c r="B509" s="136"/>
      <c r="C509" s="137"/>
    </row>
    <row r="510" spans="1:3">
      <c r="A510" s="137"/>
      <c r="B510" s="136"/>
      <c r="C510" s="137"/>
    </row>
    <row r="511" spans="1:3">
      <c r="A511" s="137"/>
      <c r="B511" s="136"/>
      <c r="C511" s="137"/>
    </row>
    <row r="512" spans="1:3">
      <c r="A512" s="137"/>
      <c r="B512" s="136"/>
      <c r="C512" s="137"/>
    </row>
    <row r="513" spans="1:3">
      <c r="A513" s="137"/>
      <c r="B513" s="136"/>
      <c r="C513" s="137"/>
    </row>
    <row r="514" spans="1:3">
      <c r="A514" s="137"/>
      <c r="B514" s="136"/>
      <c r="C514" s="137"/>
    </row>
    <row r="515" spans="1:3">
      <c r="A515" s="137"/>
      <c r="B515" s="136"/>
      <c r="C515" s="137"/>
    </row>
    <row r="516" spans="1:3">
      <c r="A516" s="137"/>
      <c r="B516" s="136"/>
      <c r="C516" s="137"/>
    </row>
    <row r="517" spans="1:3">
      <c r="A517" s="137"/>
      <c r="B517" s="136"/>
      <c r="C517" s="137"/>
    </row>
    <row r="518" spans="1:3">
      <c r="A518" s="137"/>
      <c r="B518" s="136"/>
      <c r="C518" s="137"/>
    </row>
    <row r="519" spans="1:3">
      <c r="A519" s="137"/>
      <c r="B519" s="136"/>
      <c r="C519" s="137"/>
    </row>
    <row r="520" spans="1:3">
      <c r="A520" s="137"/>
      <c r="B520" s="136"/>
      <c r="C520" s="137"/>
    </row>
    <row r="521" spans="1:3">
      <c r="A521" s="137"/>
      <c r="B521" s="136"/>
      <c r="C521" s="137"/>
    </row>
    <row r="522" spans="1:3">
      <c r="A522" s="137"/>
      <c r="B522" s="136"/>
      <c r="C522" s="137"/>
    </row>
    <row r="523" spans="1:3">
      <c r="A523" s="137"/>
      <c r="B523" s="136"/>
      <c r="C523" s="137"/>
    </row>
    <row r="524" spans="1:3">
      <c r="A524" s="137"/>
      <c r="B524" s="136"/>
      <c r="C524" s="137"/>
    </row>
    <row r="525" spans="1:3">
      <c r="A525" s="137"/>
      <c r="B525" s="136"/>
      <c r="C525" s="137"/>
    </row>
    <row r="526" spans="1:3">
      <c r="A526" s="137"/>
      <c r="B526" s="136"/>
      <c r="C526" s="137"/>
    </row>
    <row r="527" spans="1:3">
      <c r="A527" s="137"/>
      <c r="B527" s="136"/>
      <c r="C527" s="137"/>
    </row>
    <row r="528" spans="1:3">
      <c r="A528" s="137"/>
      <c r="B528" s="136"/>
      <c r="C528" s="137"/>
    </row>
    <row r="529" spans="1:3">
      <c r="A529" s="137"/>
      <c r="B529" s="136"/>
      <c r="C529" s="137"/>
    </row>
    <row r="530" spans="1:3">
      <c r="A530" s="137"/>
      <c r="B530" s="136"/>
      <c r="C530" s="137"/>
    </row>
    <row r="531" spans="1:3">
      <c r="A531" s="137"/>
      <c r="B531" s="136"/>
      <c r="C531" s="137"/>
    </row>
    <row r="532" spans="1:3">
      <c r="A532" s="137"/>
      <c r="B532" s="136"/>
      <c r="C532" s="137"/>
    </row>
    <row r="533" spans="1:3">
      <c r="A533" s="137"/>
      <c r="B533" s="136"/>
      <c r="C533" s="137"/>
    </row>
    <row r="534" spans="1:3">
      <c r="A534" s="137"/>
      <c r="B534" s="136"/>
      <c r="C534" s="137"/>
    </row>
    <row r="535" spans="1:3">
      <c r="A535" s="137"/>
      <c r="B535" s="136"/>
      <c r="C535" s="137"/>
    </row>
    <row r="536" spans="1:3">
      <c r="A536" s="137"/>
      <c r="B536" s="136"/>
      <c r="C536" s="137"/>
    </row>
    <row r="537" spans="1:3">
      <c r="A537" s="137"/>
      <c r="B537" s="136"/>
      <c r="C537" s="137"/>
    </row>
    <row r="538" spans="1:3">
      <c r="A538" s="137"/>
      <c r="B538" s="136"/>
      <c r="C538" s="137"/>
    </row>
    <row r="539" spans="1:3">
      <c r="A539" s="137"/>
      <c r="B539" s="136"/>
      <c r="C539" s="137"/>
    </row>
    <row r="540" spans="1:3">
      <c r="A540" s="137"/>
      <c r="B540" s="136"/>
      <c r="C540" s="137"/>
    </row>
    <row r="541" spans="1:3">
      <c r="A541" s="137"/>
      <c r="B541" s="136"/>
      <c r="C541" s="137"/>
    </row>
    <row r="542" spans="1:3">
      <c r="A542" s="137"/>
      <c r="B542" s="136"/>
      <c r="C542" s="137"/>
    </row>
    <row r="543" spans="1:3">
      <c r="A543" s="137"/>
      <c r="B543" s="136"/>
      <c r="C543" s="137"/>
    </row>
    <row r="544" spans="1:3">
      <c r="A544" s="137"/>
      <c r="B544" s="136"/>
      <c r="C544" s="137"/>
    </row>
    <row r="545" spans="1:3">
      <c r="A545" s="137"/>
      <c r="B545" s="136"/>
      <c r="C545" s="137"/>
    </row>
    <row r="546" spans="1:3">
      <c r="A546" s="137"/>
      <c r="B546" s="136"/>
      <c r="C546" s="137"/>
    </row>
    <row r="547" spans="1:3">
      <c r="A547" s="137"/>
      <c r="B547" s="136"/>
      <c r="C547" s="137"/>
    </row>
    <row r="548" spans="1:3">
      <c r="A548" s="137"/>
      <c r="B548" s="136"/>
      <c r="C548" s="137"/>
    </row>
    <row r="549" spans="1:3">
      <c r="A549" s="137"/>
      <c r="B549" s="136"/>
      <c r="C549" s="137"/>
    </row>
    <row r="550" spans="1:3">
      <c r="A550" s="137"/>
      <c r="B550" s="136"/>
      <c r="C550" s="137"/>
    </row>
    <row r="551" spans="1:3">
      <c r="A551" s="137"/>
      <c r="B551" s="136"/>
      <c r="C551" s="137"/>
    </row>
    <row r="552" spans="1:3">
      <c r="A552" s="137"/>
      <c r="B552" s="136"/>
      <c r="C552" s="137"/>
    </row>
    <row r="553" spans="1:3">
      <c r="A553" s="137"/>
      <c r="B553" s="136"/>
      <c r="C553" s="137"/>
    </row>
    <row r="554" spans="1:3">
      <c r="A554" s="137"/>
      <c r="B554" s="136"/>
      <c r="C554" s="137"/>
    </row>
    <row r="555" spans="1:3">
      <c r="A555" s="137"/>
      <c r="B555" s="136"/>
      <c r="C555" s="137"/>
    </row>
    <row r="556" spans="1:3">
      <c r="A556" s="137"/>
      <c r="B556" s="136"/>
      <c r="C556" s="137"/>
    </row>
    <row r="557" spans="1:3">
      <c r="A557" s="137"/>
      <c r="B557" s="136"/>
      <c r="C557" s="137"/>
    </row>
    <row r="558" spans="1:3">
      <c r="A558" s="137"/>
      <c r="B558" s="136"/>
      <c r="C558" s="137"/>
    </row>
    <row r="559" spans="1:3">
      <c r="A559" s="137"/>
      <c r="B559" s="136"/>
      <c r="C559" s="137"/>
    </row>
    <row r="560" spans="1:3">
      <c r="A560" s="137"/>
      <c r="B560" s="136"/>
      <c r="C560" s="137"/>
    </row>
    <row r="561" spans="1:3">
      <c r="A561" s="137"/>
      <c r="B561" s="136"/>
      <c r="C561" s="137"/>
    </row>
    <row r="562" spans="1:3">
      <c r="A562" s="137"/>
      <c r="B562" s="136"/>
      <c r="C562" s="137"/>
    </row>
    <row r="563" spans="1:3">
      <c r="A563" s="137"/>
      <c r="B563" s="136"/>
      <c r="C563" s="137"/>
    </row>
    <row r="564" spans="1:3">
      <c r="A564" s="137"/>
      <c r="B564" s="136"/>
      <c r="C564" s="137"/>
    </row>
    <row r="565" spans="1:3">
      <c r="A565" s="137"/>
      <c r="B565" s="136"/>
      <c r="C565" s="137"/>
    </row>
    <row r="566" spans="1:3">
      <c r="A566" s="137"/>
      <c r="B566" s="136"/>
      <c r="C566" s="137"/>
    </row>
    <row r="567" spans="1:3">
      <c r="A567" s="137"/>
      <c r="B567" s="136"/>
      <c r="C567" s="137"/>
    </row>
    <row r="568" spans="1:3">
      <c r="A568" s="137"/>
      <c r="B568" s="136"/>
      <c r="C568" s="137"/>
    </row>
    <row r="569" spans="1:3">
      <c r="A569" s="137"/>
      <c r="B569" s="136"/>
      <c r="C569" s="137"/>
    </row>
    <row r="570" spans="1:3">
      <c r="A570" s="137"/>
      <c r="B570" s="136"/>
      <c r="C570" s="137"/>
    </row>
    <row r="571" spans="1:3">
      <c r="A571" s="137"/>
      <c r="B571" s="136"/>
      <c r="C571" s="137"/>
    </row>
    <row r="572" spans="1:3">
      <c r="A572" s="137"/>
      <c r="B572" s="136"/>
      <c r="C572" s="137"/>
    </row>
    <row r="573" spans="1:3">
      <c r="A573" s="137"/>
      <c r="B573" s="136"/>
      <c r="C573" s="137"/>
    </row>
    <row r="574" spans="1:3">
      <c r="A574" s="137"/>
      <c r="B574" s="136"/>
      <c r="C574" s="137"/>
    </row>
    <row r="575" spans="1:3">
      <c r="A575" s="137"/>
      <c r="B575" s="136"/>
      <c r="C575" s="137"/>
    </row>
    <row r="576" spans="1:3">
      <c r="A576" s="137"/>
      <c r="B576" s="136"/>
      <c r="C576" s="137"/>
    </row>
    <row r="577" spans="1:3">
      <c r="A577" s="137"/>
      <c r="B577" s="136"/>
      <c r="C577" s="137"/>
    </row>
    <row r="578" spans="1:3">
      <c r="A578" s="137"/>
      <c r="B578" s="136"/>
      <c r="C578" s="137"/>
    </row>
    <row r="579" spans="1:3">
      <c r="A579" s="137"/>
      <c r="B579" s="136"/>
      <c r="C579" s="137"/>
    </row>
    <row r="580" spans="1:3">
      <c r="A580" s="137"/>
      <c r="B580" s="136"/>
      <c r="C580" s="137"/>
    </row>
    <row r="581" spans="1:3">
      <c r="A581" s="137"/>
      <c r="B581" s="136"/>
      <c r="C581" s="137"/>
    </row>
    <row r="582" spans="1:3">
      <c r="A582" s="137"/>
      <c r="B582" s="136"/>
      <c r="C582" s="137"/>
    </row>
    <row r="583" spans="1:3">
      <c r="A583" s="137"/>
      <c r="B583" s="136"/>
      <c r="C583" s="137"/>
    </row>
    <row r="584" spans="1:3">
      <c r="A584" s="137"/>
      <c r="B584" s="136"/>
      <c r="C584" s="137"/>
    </row>
    <row r="585" spans="1:3">
      <c r="A585" s="137"/>
      <c r="B585" s="136"/>
      <c r="C585" s="137"/>
    </row>
    <row r="586" spans="1:3">
      <c r="A586" s="137"/>
      <c r="B586" s="136"/>
      <c r="C586" s="137"/>
    </row>
    <row r="587" spans="1:3">
      <c r="A587" s="137"/>
      <c r="B587" s="136"/>
      <c r="C587" s="137"/>
    </row>
    <row r="588" spans="1:3">
      <c r="A588" s="137"/>
      <c r="B588" s="136"/>
      <c r="C588" s="137"/>
    </row>
    <row r="589" spans="1:3">
      <c r="A589" s="137"/>
      <c r="B589" s="136"/>
      <c r="C589" s="137"/>
    </row>
    <row r="590" spans="1:3">
      <c r="A590" s="137"/>
      <c r="B590" s="136"/>
      <c r="C590" s="137"/>
    </row>
    <row r="591" spans="1:3">
      <c r="A591" s="137"/>
      <c r="B591" s="136"/>
      <c r="C591" s="137"/>
    </row>
    <row r="592" spans="1:3">
      <c r="A592" s="137"/>
      <c r="B592" s="136"/>
      <c r="C592" s="137"/>
    </row>
    <row r="593" spans="1:3">
      <c r="A593" s="137"/>
      <c r="B593" s="136"/>
      <c r="C593" s="137"/>
    </row>
    <row r="594" spans="1:3">
      <c r="A594" s="137"/>
      <c r="B594" s="136"/>
      <c r="C594" s="137"/>
    </row>
    <row r="595" spans="1:3">
      <c r="A595" s="137"/>
      <c r="B595" s="136"/>
      <c r="C595" s="137"/>
    </row>
    <row r="596" spans="1:3">
      <c r="A596" s="137"/>
      <c r="B596" s="136"/>
      <c r="C596" s="137"/>
    </row>
    <row r="597" spans="1:3">
      <c r="A597" s="137"/>
      <c r="B597" s="136"/>
      <c r="C597" s="137"/>
    </row>
    <row r="598" spans="1:3">
      <c r="A598" s="137"/>
      <c r="B598" s="136"/>
      <c r="C598" s="137"/>
    </row>
    <row r="599" spans="1:3">
      <c r="A599" s="137"/>
      <c r="B599" s="136"/>
      <c r="C599" s="137"/>
    </row>
    <row r="600" spans="1:3">
      <c r="A600" s="137"/>
      <c r="B600" s="136"/>
      <c r="C600" s="137"/>
    </row>
    <row r="601" spans="1:3">
      <c r="A601" s="137"/>
      <c r="B601" s="136"/>
      <c r="C601" s="137"/>
    </row>
    <row r="602" spans="1:3">
      <c r="A602" s="137"/>
      <c r="B602" s="136"/>
      <c r="C602" s="137"/>
    </row>
    <row r="603" spans="1:3">
      <c r="A603" s="137"/>
      <c r="B603" s="136"/>
      <c r="C603" s="137"/>
    </row>
    <row r="604" spans="1:3">
      <c r="A604" s="137"/>
      <c r="B604" s="136"/>
      <c r="C604" s="137"/>
    </row>
    <row r="605" spans="1:3">
      <c r="A605" s="137"/>
      <c r="B605" s="136"/>
      <c r="C605" s="137"/>
    </row>
    <row r="606" spans="1:3">
      <c r="A606" s="137"/>
      <c r="B606" s="136"/>
      <c r="C606" s="137"/>
    </row>
    <row r="607" spans="1:3">
      <c r="A607" s="137"/>
      <c r="B607" s="136"/>
      <c r="C607" s="137"/>
    </row>
    <row r="608" spans="1:3">
      <c r="A608" s="137"/>
      <c r="B608" s="136"/>
      <c r="C608" s="137"/>
    </row>
    <row r="609" spans="1:3">
      <c r="A609" s="137"/>
      <c r="B609" s="136"/>
      <c r="C609" s="137"/>
    </row>
    <row r="610" spans="1:3">
      <c r="A610" s="137"/>
      <c r="B610" s="136"/>
      <c r="C610" s="137"/>
    </row>
    <row r="611" spans="1:3">
      <c r="A611" s="137"/>
      <c r="B611" s="136"/>
      <c r="C611" s="137"/>
    </row>
    <row r="612" spans="1:3">
      <c r="A612" s="137"/>
      <c r="B612" s="136"/>
      <c r="C612" s="137"/>
    </row>
    <row r="613" spans="1:3">
      <c r="A613" s="137"/>
      <c r="B613" s="136"/>
      <c r="C613" s="137"/>
    </row>
    <row r="614" spans="1:3">
      <c r="A614" s="137"/>
      <c r="B614" s="136"/>
      <c r="C614" s="137"/>
    </row>
    <row r="615" spans="1:3">
      <c r="A615" s="137"/>
      <c r="B615" s="136"/>
      <c r="C615" s="137"/>
    </row>
    <row r="616" spans="1:3">
      <c r="A616" s="137"/>
      <c r="B616" s="136"/>
      <c r="C616" s="137"/>
    </row>
    <row r="617" spans="1:3">
      <c r="A617" s="137"/>
      <c r="B617" s="136"/>
      <c r="C617" s="137"/>
    </row>
    <row r="618" spans="1:3">
      <c r="A618" s="137"/>
      <c r="B618" s="136"/>
      <c r="C618" s="137"/>
    </row>
    <row r="619" spans="1:3">
      <c r="A619" s="137"/>
      <c r="B619" s="136"/>
      <c r="C619" s="137"/>
    </row>
    <row r="620" spans="1:3">
      <c r="A620" s="137"/>
      <c r="B620" s="136"/>
      <c r="C620" s="137"/>
    </row>
    <row r="621" spans="1:3">
      <c r="A621" s="137"/>
      <c r="B621" s="136"/>
      <c r="C621" s="137"/>
    </row>
    <row r="622" spans="1:3">
      <c r="A622" s="137"/>
      <c r="B622" s="136"/>
      <c r="C622" s="137"/>
    </row>
    <row r="623" spans="1:3">
      <c r="A623" s="137"/>
      <c r="B623" s="136"/>
      <c r="C623" s="137"/>
    </row>
    <row r="624" spans="1:3">
      <c r="A624" s="137"/>
      <c r="B624" s="136"/>
      <c r="C624" s="137"/>
    </row>
    <row r="625" spans="1:3">
      <c r="A625" s="137"/>
      <c r="B625" s="136"/>
      <c r="C625" s="137"/>
    </row>
    <row r="626" spans="1:3">
      <c r="A626" s="137"/>
      <c r="B626" s="136"/>
      <c r="C626" s="137"/>
    </row>
    <row r="627" spans="1:3">
      <c r="A627" s="137"/>
      <c r="B627" s="136"/>
      <c r="C627" s="137"/>
    </row>
    <row r="628" spans="1:3">
      <c r="A628" s="137"/>
      <c r="B628" s="136"/>
      <c r="C628" s="137"/>
    </row>
    <row r="629" spans="1:3">
      <c r="A629" s="137"/>
      <c r="B629" s="136"/>
      <c r="C629" s="137"/>
    </row>
    <row r="630" spans="1:3">
      <c r="A630" s="137"/>
      <c r="B630" s="136"/>
      <c r="C630" s="137"/>
    </row>
    <row r="631" spans="1:3">
      <c r="A631" s="137"/>
      <c r="B631" s="136"/>
      <c r="C631" s="137"/>
    </row>
    <row r="632" spans="1:3">
      <c r="A632" s="137"/>
      <c r="B632" s="136"/>
      <c r="C632" s="137"/>
    </row>
    <row r="633" spans="1:3">
      <c r="A633" s="137"/>
      <c r="B633" s="136"/>
      <c r="C633" s="137"/>
    </row>
    <row r="634" spans="1:3">
      <c r="A634" s="137"/>
      <c r="B634" s="136"/>
      <c r="C634" s="137"/>
    </row>
    <row r="635" spans="1:3">
      <c r="A635" s="137"/>
      <c r="B635" s="136"/>
      <c r="C635" s="137"/>
    </row>
    <row r="636" spans="1:3">
      <c r="A636" s="137"/>
      <c r="B636" s="136"/>
      <c r="C636" s="137"/>
    </row>
    <row r="637" spans="1:3">
      <c r="A637" s="137"/>
      <c r="B637" s="136"/>
      <c r="C637" s="137"/>
    </row>
    <row r="638" spans="1:3">
      <c r="A638" s="137"/>
      <c r="B638" s="136"/>
      <c r="C638" s="137"/>
    </row>
    <row r="639" spans="1:3">
      <c r="A639" s="137"/>
      <c r="B639" s="136"/>
      <c r="C639" s="137"/>
    </row>
    <row r="640" spans="1:3">
      <c r="A640" s="137"/>
      <c r="B640" s="136"/>
      <c r="C640" s="137"/>
    </row>
    <row r="641" spans="1:3">
      <c r="A641" s="137"/>
      <c r="B641" s="136"/>
      <c r="C641" s="137"/>
    </row>
    <row r="642" spans="1:3">
      <c r="A642" s="137"/>
      <c r="B642" s="136"/>
      <c r="C642" s="137"/>
    </row>
    <row r="643" spans="1:3">
      <c r="A643" s="137"/>
      <c r="B643" s="136"/>
      <c r="C643" s="137"/>
    </row>
    <row r="644" spans="1:3">
      <c r="A644" s="137"/>
      <c r="B644" s="136"/>
      <c r="C644" s="137"/>
    </row>
    <row r="645" spans="1:3">
      <c r="A645" s="137"/>
      <c r="B645" s="136"/>
      <c r="C645" s="137"/>
    </row>
    <row r="646" spans="1:3">
      <c r="A646" s="137"/>
      <c r="B646" s="136"/>
      <c r="C646" s="137"/>
    </row>
    <row r="647" spans="1:3">
      <c r="A647" s="137"/>
      <c r="B647" s="136"/>
      <c r="C647" s="137"/>
    </row>
    <row r="648" spans="1:3">
      <c r="A648" s="137"/>
      <c r="B648" s="136"/>
      <c r="C648" s="137"/>
    </row>
    <row r="649" spans="1:3">
      <c r="A649" s="137"/>
      <c r="B649" s="136"/>
      <c r="C649" s="137"/>
    </row>
    <row r="650" spans="1:3">
      <c r="A650" s="137"/>
      <c r="B650" s="136"/>
      <c r="C650" s="137"/>
    </row>
    <row r="651" spans="1:3">
      <c r="A651" s="137"/>
      <c r="B651" s="136"/>
      <c r="C651" s="137"/>
    </row>
    <row r="652" spans="1:3">
      <c r="A652" s="137"/>
      <c r="B652" s="136"/>
      <c r="C652" s="137"/>
    </row>
    <row r="653" spans="1:3">
      <c r="A653" s="137"/>
      <c r="B653" s="136"/>
      <c r="C653" s="137"/>
    </row>
    <row r="654" spans="1:3">
      <c r="A654" s="137"/>
      <c r="B654" s="136"/>
      <c r="C654" s="137"/>
    </row>
    <row r="655" spans="1:3">
      <c r="A655" s="137"/>
      <c r="B655" s="136"/>
      <c r="C655" s="137"/>
    </row>
    <row r="656" spans="1:3">
      <c r="A656" s="137"/>
      <c r="B656" s="136"/>
      <c r="C656" s="137"/>
    </row>
    <row r="657" spans="1:3">
      <c r="A657" s="137"/>
      <c r="B657" s="136"/>
      <c r="C657" s="137"/>
    </row>
    <row r="658" spans="1:3">
      <c r="A658" s="137"/>
      <c r="B658" s="136"/>
      <c r="C658" s="137"/>
    </row>
    <row r="659" spans="1:3">
      <c r="A659" s="137"/>
      <c r="B659" s="136"/>
      <c r="C659" s="137"/>
    </row>
    <row r="660" spans="1:3">
      <c r="A660" s="137"/>
      <c r="B660" s="136"/>
      <c r="C660" s="137"/>
    </row>
    <row r="661" spans="1:3">
      <c r="A661" s="137"/>
      <c r="B661" s="136"/>
      <c r="C661" s="137"/>
    </row>
    <row r="662" spans="1:3">
      <c r="A662" s="137"/>
      <c r="B662" s="136"/>
      <c r="C662" s="137"/>
    </row>
    <row r="663" spans="1:3">
      <c r="A663" s="137"/>
      <c r="B663" s="136"/>
      <c r="C663" s="137"/>
    </row>
    <row r="664" spans="1:3">
      <c r="A664" s="137"/>
      <c r="B664" s="136"/>
      <c r="C664" s="137"/>
    </row>
    <row r="665" spans="1:3">
      <c r="A665" s="137"/>
      <c r="B665" s="136"/>
      <c r="C665" s="137"/>
    </row>
    <row r="666" spans="1:3">
      <c r="A666" s="137"/>
      <c r="B666" s="136"/>
      <c r="C666" s="137"/>
    </row>
    <row r="667" spans="1:3">
      <c r="A667" s="137"/>
      <c r="B667" s="136"/>
      <c r="C667" s="137"/>
    </row>
    <row r="668" spans="1:3">
      <c r="A668" s="137"/>
      <c r="B668" s="136"/>
      <c r="C668" s="137"/>
    </row>
    <row r="669" spans="1:3">
      <c r="A669" s="137"/>
      <c r="B669" s="136"/>
      <c r="C669" s="137"/>
    </row>
    <row r="670" spans="1:3">
      <c r="A670" s="137"/>
      <c r="B670" s="136"/>
      <c r="C670" s="137"/>
    </row>
    <row r="671" spans="1:3">
      <c r="A671" s="137"/>
      <c r="B671" s="136"/>
      <c r="C671" s="137"/>
    </row>
    <row r="672" spans="1:3">
      <c r="A672" s="137"/>
      <c r="B672" s="136"/>
      <c r="C672" s="137"/>
    </row>
    <row r="673" spans="1:3">
      <c r="A673" s="137"/>
      <c r="B673" s="136"/>
      <c r="C673" s="137"/>
    </row>
    <row r="674" spans="1:3">
      <c r="A674" s="137"/>
      <c r="B674" s="136"/>
      <c r="C674" s="137"/>
    </row>
    <row r="675" spans="1:3">
      <c r="A675" s="137"/>
      <c r="B675" s="136"/>
      <c r="C675" s="137"/>
    </row>
    <row r="676" spans="1:3">
      <c r="A676" s="137"/>
      <c r="B676" s="136"/>
      <c r="C676" s="137"/>
    </row>
    <row r="677" spans="1:3">
      <c r="A677" s="137"/>
      <c r="B677" s="136"/>
      <c r="C677" s="137"/>
    </row>
    <row r="678" spans="1:3">
      <c r="A678" s="137"/>
      <c r="B678" s="136"/>
      <c r="C678" s="137"/>
    </row>
    <row r="679" spans="1:3">
      <c r="A679" s="137"/>
      <c r="B679" s="136"/>
      <c r="C679" s="137"/>
    </row>
    <row r="680" spans="1:3">
      <c r="A680" s="137"/>
      <c r="B680" s="136"/>
      <c r="C680" s="137"/>
    </row>
    <row r="681" spans="1:3">
      <c r="A681" s="137"/>
      <c r="B681" s="136"/>
      <c r="C681" s="137"/>
    </row>
    <row r="682" spans="1:3">
      <c r="A682" s="137"/>
      <c r="B682" s="136"/>
      <c r="C682" s="137"/>
    </row>
    <row r="683" spans="1:3">
      <c r="A683" s="137"/>
      <c r="B683" s="136"/>
      <c r="C683" s="137"/>
    </row>
    <row r="684" spans="1:3">
      <c r="A684" s="137"/>
      <c r="B684" s="136"/>
      <c r="C684" s="137"/>
    </row>
    <row r="685" spans="1:3">
      <c r="A685" s="137"/>
      <c r="B685" s="136"/>
      <c r="C685" s="137"/>
    </row>
    <row r="686" spans="1:3">
      <c r="A686" s="137"/>
      <c r="B686" s="136"/>
      <c r="C686" s="137"/>
    </row>
    <row r="687" spans="1:3">
      <c r="A687" s="137"/>
      <c r="B687" s="136"/>
      <c r="C687" s="137"/>
    </row>
    <row r="688" spans="1:3">
      <c r="A688" s="137"/>
      <c r="B688" s="136"/>
      <c r="C688" s="137"/>
    </row>
    <row r="689" spans="1:3">
      <c r="A689" s="137"/>
      <c r="B689" s="136"/>
      <c r="C689" s="137"/>
    </row>
    <row r="690" spans="1:3">
      <c r="A690" s="137"/>
      <c r="B690" s="136"/>
      <c r="C690" s="137"/>
    </row>
    <row r="691" spans="1:3">
      <c r="A691" s="137"/>
      <c r="B691" s="136"/>
      <c r="C691" s="137"/>
    </row>
    <row r="692" spans="1:3">
      <c r="A692" s="137"/>
      <c r="B692" s="136"/>
      <c r="C692" s="137"/>
    </row>
    <row r="693" spans="1:3">
      <c r="A693" s="137"/>
      <c r="B693" s="136"/>
      <c r="C693" s="137"/>
    </row>
    <row r="694" spans="1:3">
      <c r="A694" s="137"/>
      <c r="B694" s="136"/>
      <c r="C694" s="137"/>
    </row>
    <row r="695" spans="1:3">
      <c r="A695" s="137"/>
      <c r="B695" s="136"/>
      <c r="C695" s="137"/>
    </row>
    <row r="696" spans="1:3">
      <c r="A696" s="137"/>
      <c r="B696" s="136"/>
      <c r="C696" s="137"/>
    </row>
    <row r="697" spans="1:3">
      <c r="A697" s="137"/>
      <c r="B697" s="136"/>
      <c r="C697" s="137"/>
    </row>
    <row r="698" spans="1:3">
      <c r="A698" s="137"/>
      <c r="B698" s="136"/>
      <c r="C698" s="137"/>
    </row>
    <row r="699" spans="1:3">
      <c r="A699" s="137"/>
      <c r="B699" s="136"/>
      <c r="C699" s="137"/>
    </row>
    <row r="700" spans="1:3">
      <c r="A700" s="137"/>
      <c r="B700" s="136"/>
      <c r="C700" s="137"/>
    </row>
    <row r="701" spans="1:3">
      <c r="A701" s="137"/>
      <c r="B701" s="136"/>
      <c r="C701" s="137"/>
    </row>
    <row r="702" spans="1:3">
      <c r="A702" s="137"/>
      <c r="B702" s="136"/>
      <c r="C702" s="137"/>
    </row>
    <row r="703" spans="1:3">
      <c r="A703" s="137"/>
      <c r="B703" s="136"/>
      <c r="C703" s="137"/>
    </row>
    <row r="704" spans="1:3">
      <c r="A704" s="137"/>
      <c r="B704" s="136"/>
      <c r="C704" s="137"/>
    </row>
    <row r="705" spans="1:3">
      <c r="A705" s="137"/>
      <c r="B705" s="136"/>
      <c r="C705" s="137"/>
    </row>
    <row r="706" spans="1:3">
      <c r="A706" s="137"/>
      <c r="B706" s="136"/>
      <c r="C706" s="137"/>
    </row>
    <row r="707" spans="1:3">
      <c r="A707" s="137"/>
      <c r="B707" s="136"/>
      <c r="C707" s="137"/>
    </row>
    <row r="708" spans="1:3">
      <c r="A708" s="137"/>
      <c r="B708" s="136"/>
      <c r="C708" s="137"/>
    </row>
    <row r="709" spans="1:3">
      <c r="A709" s="137"/>
      <c r="B709" s="136"/>
      <c r="C709" s="137"/>
    </row>
    <row r="710" spans="1:3">
      <c r="A710" s="137"/>
      <c r="B710" s="136"/>
      <c r="C710" s="137"/>
    </row>
    <row r="711" spans="1:3">
      <c r="A711" s="137"/>
      <c r="B711" s="136"/>
      <c r="C711" s="137"/>
    </row>
    <row r="712" spans="1:3">
      <c r="A712" s="137"/>
      <c r="B712" s="136"/>
      <c r="C712" s="137"/>
    </row>
    <row r="713" spans="1:3">
      <c r="A713" s="137"/>
      <c r="B713" s="136"/>
      <c r="C713" s="137"/>
    </row>
    <row r="714" spans="1:3">
      <c r="A714" s="137"/>
      <c r="B714" s="136"/>
      <c r="C714" s="137"/>
    </row>
    <row r="715" spans="1:3">
      <c r="A715" s="137"/>
      <c r="B715" s="136"/>
      <c r="C715" s="137"/>
    </row>
    <row r="716" spans="1:3">
      <c r="A716" s="137"/>
      <c r="B716" s="136"/>
      <c r="C716" s="137"/>
    </row>
    <row r="717" spans="1:3">
      <c r="A717" s="137"/>
      <c r="B717" s="136"/>
      <c r="C717" s="137"/>
    </row>
    <row r="718" spans="1:3">
      <c r="A718" s="137"/>
      <c r="B718" s="136"/>
      <c r="C718" s="137"/>
    </row>
    <row r="719" spans="1:3">
      <c r="A719" s="137"/>
      <c r="B719" s="136"/>
      <c r="C719" s="137"/>
    </row>
    <row r="720" spans="1:3">
      <c r="A720" s="137"/>
      <c r="B720" s="136"/>
      <c r="C720" s="137"/>
    </row>
    <row r="721" spans="1:3">
      <c r="A721" s="137"/>
      <c r="B721" s="136"/>
      <c r="C721" s="137"/>
    </row>
    <row r="722" spans="1:3">
      <c r="A722" s="137"/>
      <c r="B722" s="136"/>
      <c r="C722" s="137"/>
    </row>
    <row r="723" spans="1:3">
      <c r="A723" s="137"/>
      <c r="B723" s="136"/>
      <c r="C723" s="137"/>
    </row>
    <row r="724" spans="1:3">
      <c r="A724" s="137"/>
      <c r="B724" s="136"/>
      <c r="C724" s="137"/>
    </row>
    <row r="725" spans="1:3">
      <c r="A725" s="137"/>
      <c r="B725" s="136"/>
      <c r="C725" s="137"/>
    </row>
    <row r="726" spans="1:3">
      <c r="A726" s="137"/>
      <c r="B726" s="136"/>
      <c r="C726" s="137"/>
    </row>
    <row r="727" spans="1:3">
      <c r="A727" s="137"/>
      <c r="B727" s="136"/>
      <c r="C727" s="137"/>
    </row>
    <row r="728" spans="1:3">
      <c r="A728" s="137"/>
      <c r="B728" s="136"/>
      <c r="C728" s="137"/>
    </row>
    <row r="729" spans="1:3">
      <c r="A729" s="137"/>
      <c r="B729" s="136"/>
      <c r="C729" s="137"/>
    </row>
    <row r="730" spans="1:3">
      <c r="A730" s="137"/>
      <c r="B730" s="136"/>
      <c r="C730" s="137"/>
    </row>
    <row r="731" spans="1:3">
      <c r="A731" s="137"/>
      <c r="B731" s="136"/>
      <c r="C731" s="137"/>
    </row>
    <row r="732" spans="1:3">
      <c r="A732" s="137"/>
      <c r="B732" s="136"/>
      <c r="C732" s="137"/>
    </row>
    <row r="733" spans="1:3">
      <c r="A733" s="137"/>
      <c r="B733" s="136"/>
      <c r="C733" s="137"/>
    </row>
    <row r="734" spans="1:3">
      <c r="A734" s="137"/>
      <c r="B734" s="136"/>
      <c r="C734" s="137"/>
    </row>
    <row r="735" spans="1:3">
      <c r="A735" s="137"/>
      <c r="B735" s="136"/>
      <c r="C735" s="137"/>
    </row>
    <row r="736" spans="1:3">
      <c r="A736" s="137"/>
      <c r="B736" s="136"/>
      <c r="C736" s="137"/>
    </row>
    <row r="737" spans="1:3">
      <c r="A737" s="137"/>
      <c r="B737" s="136"/>
      <c r="C737" s="137"/>
    </row>
    <row r="738" spans="1:3">
      <c r="A738" s="137"/>
      <c r="B738" s="136"/>
      <c r="C738" s="137"/>
    </row>
    <row r="739" spans="1:3">
      <c r="A739" s="137"/>
      <c r="B739" s="136"/>
      <c r="C739" s="137"/>
    </row>
    <row r="740" spans="1:3">
      <c r="A740" s="137"/>
      <c r="B740" s="136"/>
      <c r="C740" s="137"/>
    </row>
    <row r="741" spans="1:3">
      <c r="A741" s="137"/>
      <c r="B741" s="136"/>
      <c r="C741" s="137"/>
    </row>
    <row r="742" spans="1:3">
      <c r="A742" s="137"/>
      <c r="B742" s="136"/>
      <c r="C742" s="137"/>
    </row>
    <row r="743" spans="1:3">
      <c r="A743" s="137"/>
      <c r="B743" s="136"/>
      <c r="C743" s="137"/>
    </row>
    <row r="744" spans="1:3">
      <c r="A744" s="137"/>
      <c r="B744" s="136"/>
      <c r="C744" s="137"/>
    </row>
    <row r="745" spans="1:3">
      <c r="A745" s="137"/>
      <c r="B745" s="136"/>
      <c r="C745" s="137"/>
    </row>
    <row r="746" spans="1:3">
      <c r="A746" s="137"/>
      <c r="B746" s="136"/>
      <c r="C746" s="137"/>
    </row>
    <row r="747" spans="1:3">
      <c r="A747" s="137"/>
      <c r="B747" s="136"/>
      <c r="C747" s="137"/>
    </row>
    <row r="748" spans="1:3">
      <c r="A748" s="137"/>
      <c r="B748" s="136"/>
      <c r="C748" s="137"/>
    </row>
    <row r="749" spans="1:3">
      <c r="A749" s="137"/>
      <c r="B749" s="136"/>
      <c r="C749" s="137"/>
    </row>
    <row r="750" spans="1:3">
      <c r="A750" s="137"/>
      <c r="B750" s="136"/>
      <c r="C750" s="137"/>
    </row>
    <row r="751" spans="1:3">
      <c r="A751" s="137"/>
      <c r="B751" s="136"/>
      <c r="C751" s="137"/>
    </row>
    <row r="752" spans="1:3">
      <c r="A752" s="137"/>
      <c r="B752" s="136"/>
      <c r="C752" s="137"/>
    </row>
    <row r="753" spans="1:3">
      <c r="A753" s="137"/>
      <c r="B753" s="136"/>
      <c r="C753" s="137"/>
    </row>
    <row r="754" spans="1:3">
      <c r="A754" s="137"/>
      <c r="B754" s="136"/>
      <c r="C754" s="137"/>
    </row>
    <row r="755" spans="1:3">
      <c r="A755" s="137"/>
      <c r="B755" s="136"/>
      <c r="C755" s="137"/>
    </row>
    <row r="756" spans="1:3">
      <c r="A756" s="137"/>
      <c r="B756" s="136"/>
      <c r="C756" s="137"/>
    </row>
    <row r="757" spans="1:3">
      <c r="A757" s="137"/>
      <c r="B757" s="136"/>
      <c r="C757" s="137"/>
    </row>
    <row r="758" spans="1:3">
      <c r="A758" s="137"/>
      <c r="B758" s="136"/>
      <c r="C758" s="137"/>
    </row>
    <row r="759" spans="1:3">
      <c r="A759" s="137"/>
      <c r="B759" s="136"/>
      <c r="C759" s="137"/>
    </row>
    <row r="760" spans="1:3">
      <c r="A760" s="137"/>
      <c r="B760" s="136"/>
      <c r="C760" s="137"/>
    </row>
    <row r="761" spans="1:3">
      <c r="A761" s="137"/>
      <c r="B761" s="136"/>
      <c r="C761" s="137"/>
    </row>
    <row r="762" spans="1:3">
      <c r="A762" s="137"/>
      <c r="B762" s="136"/>
      <c r="C762" s="137"/>
    </row>
    <row r="763" spans="1:3">
      <c r="A763" s="137"/>
      <c r="B763" s="136"/>
      <c r="C763" s="137"/>
    </row>
    <row r="764" spans="1:3">
      <c r="A764" s="137"/>
      <c r="B764" s="136"/>
      <c r="C764" s="137"/>
    </row>
    <row r="765" spans="1:3">
      <c r="A765" s="137"/>
      <c r="B765" s="136"/>
      <c r="C765" s="137"/>
    </row>
    <row r="766" spans="1:3">
      <c r="A766" s="137"/>
      <c r="B766" s="136"/>
      <c r="C766" s="137"/>
    </row>
    <row r="767" spans="1:3">
      <c r="A767" s="137"/>
      <c r="B767" s="136"/>
      <c r="C767" s="137"/>
    </row>
    <row r="768" spans="1:3">
      <c r="A768" s="137"/>
      <c r="B768" s="136"/>
      <c r="C768" s="137"/>
    </row>
    <row r="769" spans="1:3">
      <c r="A769" s="137"/>
      <c r="B769" s="136"/>
      <c r="C769" s="137"/>
    </row>
    <row r="770" spans="1:3">
      <c r="A770" s="137"/>
      <c r="B770" s="136"/>
      <c r="C770" s="137"/>
    </row>
    <row r="771" spans="1:3">
      <c r="A771" s="137"/>
      <c r="B771" s="136"/>
      <c r="C771" s="137"/>
    </row>
    <row r="772" spans="1:3">
      <c r="A772" s="137"/>
      <c r="B772" s="136"/>
      <c r="C772" s="137"/>
    </row>
    <row r="773" spans="1:3">
      <c r="A773" s="137"/>
      <c r="B773" s="136"/>
      <c r="C773" s="137"/>
    </row>
    <row r="774" spans="1:3">
      <c r="A774" s="137"/>
      <c r="B774" s="136"/>
      <c r="C774" s="137"/>
    </row>
    <row r="775" spans="1:3">
      <c r="A775" s="137"/>
      <c r="B775" s="136"/>
      <c r="C775" s="137"/>
    </row>
    <row r="776" spans="1:3">
      <c r="A776" s="137"/>
      <c r="B776" s="136"/>
      <c r="C776" s="137"/>
    </row>
    <row r="777" spans="1:3">
      <c r="A777" s="137"/>
      <c r="B777" s="136"/>
      <c r="C777" s="137"/>
    </row>
    <row r="778" spans="1:3">
      <c r="A778" s="137"/>
      <c r="B778" s="136"/>
      <c r="C778" s="137"/>
    </row>
    <row r="779" spans="1:3">
      <c r="A779" s="137"/>
      <c r="B779" s="136"/>
      <c r="C779" s="137"/>
    </row>
    <row r="780" spans="1:3">
      <c r="A780" s="137"/>
      <c r="B780" s="136"/>
      <c r="C780" s="137"/>
    </row>
    <row r="781" spans="1:3">
      <c r="A781" s="137"/>
      <c r="B781" s="136"/>
      <c r="C781" s="137"/>
    </row>
    <row r="782" spans="1:3">
      <c r="A782" s="137"/>
      <c r="B782" s="136"/>
      <c r="C782" s="137"/>
    </row>
    <row r="783" spans="1:3">
      <c r="A783" s="137"/>
      <c r="B783" s="136"/>
      <c r="C783" s="137"/>
    </row>
    <row r="784" spans="1:3">
      <c r="A784" s="137"/>
      <c r="B784" s="136"/>
      <c r="C784" s="137"/>
    </row>
    <row r="785" spans="1:3">
      <c r="A785" s="137"/>
      <c r="B785" s="136"/>
      <c r="C785" s="137"/>
    </row>
    <row r="786" spans="1:3">
      <c r="A786" s="137"/>
      <c r="B786" s="136"/>
      <c r="C786" s="137"/>
    </row>
    <row r="787" spans="1:3">
      <c r="A787" s="137"/>
      <c r="B787" s="136"/>
      <c r="C787" s="137"/>
    </row>
    <row r="788" spans="1:3">
      <c r="A788" s="137"/>
      <c r="B788" s="136"/>
      <c r="C788" s="137"/>
    </row>
    <row r="789" spans="1:3">
      <c r="A789" s="137"/>
      <c r="B789" s="136"/>
      <c r="C789" s="137"/>
    </row>
    <row r="790" spans="1:3">
      <c r="A790" s="137"/>
      <c r="B790" s="136"/>
      <c r="C790" s="137"/>
    </row>
    <row r="791" spans="1:3">
      <c r="A791" s="137"/>
      <c r="B791" s="136"/>
      <c r="C791" s="137"/>
    </row>
    <row r="792" spans="1:3">
      <c r="A792" s="137"/>
      <c r="B792" s="136"/>
      <c r="C792" s="137"/>
    </row>
    <row r="793" spans="1:3">
      <c r="A793" s="137"/>
      <c r="B793" s="136"/>
      <c r="C793" s="137"/>
    </row>
    <row r="794" spans="1:3">
      <c r="A794" s="137"/>
      <c r="B794" s="136"/>
      <c r="C794" s="137"/>
    </row>
    <row r="795" spans="1:3">
      <c r="A795" s="137"/>
      <c r="B795" s="136"/>
      <c r="C795" s="137"/>
    </row>
    <row r="796" spans="1:3">
      <c r="A796" s="137"/>
      <c r="B796" s="136"/>
      <c r="C796" s="137"/>
    </row>
    <row r="797" spans="1:3">
      <c r="A797" s="137"/>
      <c r="B797" s="136"/>
      <c r="C797" s="137"/>
    </row>
    <row r="798" spans="1:3">
      <c r="A798" s="137"/>
      <c r="B798" s="136"/>
      <c r="C798" s="137"/>
    </row>
    <row r="799" spans="1:3">
      <c r="A799" s="137"/>
      <c r="B799" s="136"/>
      <c r="C799" s="137"/>
    </row>
    <row r="800" spans="1:3">
      <c r="A800" s="137"/>
      <c r="B800" s="136"/>
      <c r="C800" s="137"/>
    </row>
    <row r="801" spans="1:3">
      <c r="A801" s="137"/>
      <c r="B801" s="136"/>
      <c r="C801" s="137"/>
    </row>
    <row r="802" spans="1:3">
      <c r="A802" s="137"/>
      <c r="B802" s="136"/>
      <c r="C802" s="137"/>
    </row>
    <row r="803" spans="1:3">
      <c r="A803" s="137"/>
      <c r="B803" s="136"/>
      <c r="C803" s="137"/>
    </row>
    <row r="804" spans="1:3">
      <c r="A804" s="137"/>
      <c r="B804" s="136"/>
      <c r="C804" s="137"/>
    </row>
    <row r="805" spans="1:3">
      <c r="A805" s="137"/>
      <c r="B805" s="136"/>
      <c r="C805" s="137"/>
    </row>
    <row r="806" spans="1:3">
      <c r="A806" s="137"/>
      <c r="B806" s="136"/>
      <c r="C806" s="137"/>
    </row>
    <row r="807" spans="1:3">
      <c r="A807" s="137"/>
      <c r="B807" s="136"/>
      <c r="C807" s="137"/>
    </row>
    <row r="808" spans="1:3">
      <c r="A808" s="137"/>
      <c r="B808" s="136"/>
      <c r="C808" s="137"/>
    </row>
    <row r="809" spans="1:3">
      <c r="A809" s="137"/>
      <c r="B809" s="136"/>
      <c r="C809" s="137"/>
    </row>
    <row r="810" spans="1:3">
      <c r="A810" s="137"/>
      <c r="B810" s="136"/>
      <c r="C810" s="137"/>
    </row>
    <row r="811" spans="1:3">
      <c r="A811" s="137"/>
      <c r="B811" s="136"/>
      <c r="C811" s="137"/>
    </row>
    <row r="812" spans="1:3">
      <c r="A812" s="137"/>
      <c r="B812" s="136"/>
      <c r="C812" s="137"/>
    </row>
    <row r="813" spans="1:3">
      <c r="A813" s="137"/>
      <c r="B813" s="136"/>
      <c r="C813" s="137"/>
    </row>
    <row r="814" spans="1:3">
      <c r="A814" s="137"/>
      <c r="B814" s="136"/>
      <c r="C814" s="137"/>
    </row>
    <row r="815" spans="1:3">
      <c r="A815" s="137"/>
      <c r="B815" s="136"/>
      <c r="C815" s="137"/>
    </row>
    <row r="816" spans="1:3">
      <c r="A816" s="137"/>
      <c r="B816" s="136"/>
      <c r="C816" s="137"/>
    </row>
    <row r="817" spans="1:3">
      <c r="A817" s="137"/>
      <c r="B817" s="136"/>
      <c r="C817" s="137"/>
    </row>
    <row r="818" spans="1:3">
      <c r="A818" s="137"/>
      <c r="B818" s="136"/>
      <c r="C818" s="137"/>
    </row>
    <row r="819" spans="1:3">
      <c r="A819" s="137"/>
      <c r="B819" s="136"/>
      <c r="C819" s="137"/>
    </row>
    <row r="820" spans="1:3">
      <c r="A820" s="137"/>
      <c r="B820" s="136"/>
      <c r="C820" s="137"/>
    </row>
    <row r="821" spans="1:3">
      <c r="A821" s="137"/>
      <c r="B821" s="136"/>
      <c r="C821" s="137"/>
    </row>
    <row r="822" spans="1:3">
      <c r="A822" s="137"/>
      <c r="B822" s="136"/>
      <c r="C822" s="137"/>
    </row>
    <row r="823" spans="1:3">
      <c r="A823" s="137"/>
      <c r="B823" s="136"/>
      <c r="C823" s="137"/>
    </row>
    <row r="824" spans="1:3">
      <c r="A824" s="137"/>
      <c r="B824" s="136"/>
      <c r="C824" s="137"/>
    </row>
    <row r="825" spans="1:3">
      <c r="A825" s="137"/>
      <c r="B825" s="136"/>
      <c r="C825" s="137"/>
    </row>
    <row r="826" spans="1:3">
      <c r="A826" s="137"/>
      <c r="B826" s="136"/>
      <c r="C826" s="137"/>
    </row>
    <row r="827" spans="1:3">
      <c r="A827" s="137"/>
      <c r="B827" s="136"/>
      <c r="C827" s="137"/>
    </row>
    <row r="828" spans="1:3">
      <c r="A828" s="137"/>
      <c r="B828" s="136"/>
      <c r="C828" s="137"/>
    </row>
    <row r="829" spans="1:3">
      <c r="A829" s="137"/>
      <c r="B829" s="136"/>
      <c r="C829" s="137"/>
    </row>
    <row r="830" spans="1:3">
      <c r="A830" s="137"/>
      <c r="B830" s="136"/>
      <c r="C830" s="137"/>
    </row>
    <row r="831" spans="1:3">
      <c r="A831" s="137"/>
      <c r="B831" s="136"/>
      <c r="C831" s="137"/>
    </row>
    <row r="832" spans="1:3">
      <c r="A832" s="137"/>
      <c r="B832" s="136"/>
      <c r="C832" s="137"/>
    </row>
    <row r="833" spans="1:3">
      <c r="A833" s="137"/>
      <c r="B833" s="136"/>
      <c r="C833" s="137"/>
    </row>
    <row r="834" spans="1:3">
      <c r="A834" s="137"/>
      <c r="B834" s="136"/>
      <c r="C834" s="137"/>
    </row>
    <row r="835" spans="1:3">
      <c r="A835" s="137"/>
      <c r="B835" s="136"/>
      <c r="C835" s="137"/>
    </row>
    <row r="836" spans="1:3">
      <c r="A836" s="137"/>
      <c r="B836" s="136"/>
      <c r="C836" s="137"/>
    </row>
    <row r="837" spans="1:3">
      <c r="A837" s="137"/>
      <c r="B837" s="136"/>
      <c r="C837" s="137"/>
    </row>
    <row r="838" spans="1:3">
      <c r="A838" s="137"/>
      <c r="B838" s="136"/>
      <c r="C838" s="137"/>
    </row>
    <row r="839" spans="1:3">
      <c r="A839" s="137"/>
      <c r="B839" s="136"/>
      <c r="C839" s="137"/>
    </row>
    <row r="840" spans="1:3">
      <c r="A840" s="137"/>
      <c r="B840" s="136"/>
      <c r="C840" s="137"/>
    </row>
    <row r="841" spans="1:3">
      <c r="A841" s="137"/>
      <c r="B841" s="136"/>
      <c r="C841" s="137"/>
    </row>
    <row r="842" spans="1:3">
      <c r="A842" s="137"/>
      <c r="B842" s="136"/>
      <c r="C842" s="137"/>
    </row>
    <row r="843" spans="1:3">
      <c r="A843" s="137"/>
      <c r="B843" s="136"/>
      <c r="C843" s="137"/>
    </row>
    <row r="844" spans="1:3">
      <c r="A844" s="137"/>
      <c r="B844" s="136"/>
      <c r="C844" s="137"/>
    </row>
    <row r="845" spans="1:3">
      <c r="A845" s="137"/>
      <c r="B845" s="136"/>
      <c r="C845" s="137"/>
    </row>
    <row r="846" spans="1:3">
      <c r="A846" s="137"/>
      <c r="B846" s="136"/>
      <c r="C846" s="137"/>
    </row>
    <row r="847" spans="1:3">
      <c r="A847" s="137"/>
      <c r="B847" s="136"/>
      <c r="C847" s="137"/>
    </row>
    <row r="848" spans="1:3">
      <c r="A848" s="137"/>
      <c r="B848" s="136"/>
      <c r="C848" s="137"/>
    </row>
    <row r="849" spans="1:3">
      <c r="A849" s="137"/>
      <c r="B849" s="136"/>
      <c r="C849" s="137"/>
    </row>
    <row r="850" spans="1:3">
      <c r="A850" s="137"/>
      <c r="B850" s="136"/>
      <c r="C850" s="137"/>
    </row>
    <row r="851" spans="1:3">
      <c r="A851" s="137"/>
      <c r="B851" s="136"/>
      <c r="C851" s="137"/>
    </row>
    <row r="852" spans="1:3">
      <c r="A852" s="137"/>
      <c r="B852" s="136"/>
      <c r="C852" s="137"/>
    </row>
    <row r="853" spans="1:3">
      <c r="A853" s="137"/>
      <c r="B853" s="136"/>
      <c r="C853" s="137"/>
    </row>
    <row r="854" spans="1:3">
      <c r="A854" s="137"/>
      <c r="B854" s="136"/>
      <c r="C854" s="137"/>
    </row>
    <row r="855" spans="1:3">
      <c r="A855" s="137"/>
      <c r="B855" s="136"/>
      <c r="C855" s="137"/>
    </row>
    <row r="856" spans="1:3">
      <c r="A856" s="137"/>
      <c r="B856" s="136"/>
      <c r="C856" s="137"/>
    </row>
    <row r="857" spans="1:3">
      <c r="A857" s="137"/>
      <c r="B857" s="136"/>
      <c r="C857" s="137"/>
    </row>
    <row r="858" spans="1:3">
      <c r="A858" s="137"/>
      <c r="B858" s="136"/>
      <c r="C858" s="137"/>
    </row>
    <row r="859" spans="1:3">
      <c r="A859" s="137"/>
      <c r="B859" s="136"/>
      <c r="C859" s="137"/>
    </row>
    <row r="860" spans="1:3">
      <c r="A860" s="137"/>
      <c r="B860" s="136"/>
      <c r="C860" s="137"/>
    </row>
    <row r="861" spans="1:3">
      <c r="A861" s="137"/>
      <c r="B861" s="136"/>
      <c r="C861" s="137"/>
    </row>
    <row r="862" spans="1:3">
      <c r="A862" s="137"/>
      <c r="B862" s="136"/>
      <c r="C862" s="137"/>
    </row>
    <row r="863" spans="1:3">
      <c r="A863" s="137"/>
      <c r="B863" s="136"/>
      <c r="C863" s="137"/>
    </row>
    <row r="864" spans="1:3">
      <c r="A864" s="137"/>
      <c r="B864" s="136"/>
      <c r="C864" s="137"/>
    </row>
    <row r="865" spans="1:3">
      <c r="A865" s="137"/>
      <c r="B865" s="136"/>
      <c r="C865" s="137"/>
    </row>
    <row r="866" spans="1:3">
      <c r="A866" s="137"/>
      <c r="B866" s="136"/>
      <c r="C866" s="137"/>
    </row>
    <row r="867" spans="1:3">
      <c r="A867" s="137"/>
      <c r="B867" s="136"/>
      <c r="C867" s="137"/>
    </row>
    <row r="868" spans="1:3">
      <c r="A868" s="137"/>
      <c r="B868" s="136"/>
      <c r="C868" s="137"/>
    </row>
    <row r="869" spans="1:3">
      <c r="A869" s="137"/>
      <c r="B869" s="136"/>
      <c r="C869" s="137"/>
    </row>
    <row r="870" spans="1:3">
      <c r="A870" s="137"/>
      <c r="B870" s="136"/>
      <c r="C870" s="137"/>
    </row>
    <row r="871" spans="1:3">
      <c r="A871" s="137"/>
      <c r="B871" s="136"/>
      <c r="C871" s="137"/>
    </row>
    <row r="872" spans="1:3">
      <c r="A872" s="137"/>
      <c r="B872" s="136"/>
      <c r="C872" s="137"/>
    </row>
    <row r="873" spans="1:3">
      <c r="A873" s="137"/>
      <c r="B873" s="136"/>
      <c r="C873" s="137"/>
    </row>
    <row r="874" spans="1:3">
      <c r="A874" s="137"/>
      <c r="B874" s="136"/>
      <c r="C874" s="137"/>
    </row>
    <row r="875" spans="1:3">
      <c r="A875" s="137"/>
      <c r="B875" s="136"/>
      <c r="C875" s="137"/>
    </row>
    <row r="876" spans="1:3">
      <c r="A876" s="137"/>
      <c r="B876" s="136"/>
      <c r="C876" s="137"/>
    </row>
    <row r="877" spans="1:3">
      <c r="A877" s="137"/>
      <c r="B877" s="136"/>
      <c r="C877" s="137"/>
    </row>
    <row r="878" spans="1:3">
      <c r="A878" s="137"/>
      <c r="B878" s="136"/>
      <c r="C878" s="137"/>
    </row>
    <row r="879" spans="1:3">
      <c r="A879" s="137"/>
      <c r="B879" s="136"/>
      <c r="C879" s="137"/>
    </row>
    <row r="880" spans="1:3">
      <c r="A880" s="137"/>
      <c r="B880" s="136"/>
      <c r="C880" s="137"/>
    </row>
    <row r="881" spans="1:3">
      <c r="A881" s="137"/>
      <c r="B881" s="136"/>
      <c r="C881" s="137"/>
    </row>
    <row r="882" spans="1:3">
      <c r="A882" s="137"/>
      <c r="B882" s="136"/>
      <c r="C882" s="137"/>
    </row>
    <row r="883" spans="1:3">
      <c r="A883" s="137"/>
      <c r="B883" s="136"/>
      <c r="C883" s="137"/>
    </row>
    <row r="884" spans="1:3">
      <c r="A884" s="137"/>
      <c r="B884" s="136"/>
      <c r="C884" s="137"/>
    </row>
    <row r="885" spans="1:3">
      <c r="A885" s="137"/>
      <c r="B885" s="136"/>
      <c r="C885" s="137"/>
    </row>
    <row r="886" spans="1:3">
      <c r="A886" s="137"/>
      <c r="B886" s="136"/>
      <c r="C886" s="137"/>
    </row>
    <row r="887" spans="1:3">
      <c r="A887" s="137"/>
      <c r="B887" s="136"/>
      <c r="C887" s="137"/>
    </row>
    <row r="888" spans="1:3">
      <c r="A888" s="137"/>
      <c r="B888" s="136"/>
      <c r="C888" s="137"/>
    </row>
    <row r="889" spans="1:3">
      <c r="A889" s="137"/>
      <c r="B889" s="136"/>
      <c r="C889" s="137"/>
    </row>
    <row r="890" spans="1:3">
      <c r="A890" s="137"/>
      <c r="B890" s="136"/>
      <c r="C890" s="137"/>
    </row>
    <row r="891" spans="1:3">
      <c r="A891" s="137"/>
      <c r="B891" s="136"/>
      <c r="C891" s="137"/>
    </row>
    <row r="892" spans="1:3">
      <c r="A892" s="137"/>
      <c r="B892" s="136"/>
      <c r="C892" s="137"/>
    </row>
    <row r="893" spans="1:3">
      <c r="A893" s="137"/>
      <c r="B893" s="136"/>
      <c r="C893" s="137"/>
    </row>
    <row r="894" spans="1:3">
      <c r="A894" s="137"/>
      <c r="B894" s="136"/>
      <c r="C894" s="137"/>
    </row>
    <row r="895" spans="1:3">
      <c r="A895" s="137"/>
      <c r="B895" s="136"/>
      <c r="C895" s="137"/>
    </row>
    <row r="896" spans="1:3">
      <c r="A896" s="137"/>
      <c r="B896" s="136"/>
      <c r="C896" s="137"/>
    </row>
    <row r="897" spans="1:3">
      <c r="A897" s="137"/>
      <c r="B897" s="136"/>
      <c r="C897" s="137"/>
    </row>
    <row r="898" spans="1:3">
      <c r="A898" s="137"/>
      <c r="B898" s="136"/>
      <c r="C898" s="137"/>
    </row>
    <row r="899" spans="1:3">
      <c r="A899" s="137"/>
      <c r="B899" s="136"/>
      <c r="C899" s="137"/>
    </row>
    <row r="900" spans="1:3">
      <c r="A900" s="137"/>
      <c r="B900" s="136"/>
      <c r="C900" s="137"/>
    </row>
    <row r="901" spans="1:3">
      <c r="A901" s="137"/>
      <c r="B901" s="136"/>
      <c r="C901" s="137"/>
    </row>
    <row r="902" spans="1:3">
      <c r="A902" s="137"/>
      <c r="B902" s="136"/>
      <c r="C902" s="137"/>
    </row>
    <row r="903" spans="1:3">
      <c r="A903" s="137"/>
      <c r="B903" s="136"/>
      <c r="C903" s="137"/>
    </row>
    <row r="904" spans="1:3">
      <c r="A904" s="137"/>
      <c r="B904" s="136"/>
      <c r="C904" s="137"/>
    </row>
    <row r="905" spans="1:3">
      <c r="A905" s="137"/>
      <c r="B905" s="136"/>
      <c r="C905" s="137"/>
    </row>
    <row r="906" spans="1:3">
      <c r="A906" s="137"/>
      <c r="B906" s="136"/>
      <c r="C906" s="137"/>
    </row>
    <row r="907" spans="1:3">
      <c r="A907" s="137"/>
      <c r="B907" s="136"/>
      <c r="C907" s="137"/>
    </row>
    <row r="908" spans="1:3">
      <c r="A908" s="137"/>
      <c r="B908" s="136"/>
      <c r="C908" s="137"/>
    </row>
    <row r="909" spans="1:3">
      <c r="A909" s="137"/>
      <c r="B909" s="136"/>
      <c r="C909" s="137"/>
    </row>
    <row r="910" spans="1:3">
      <c r="A910" s="137"/>
      <c r="B910" s="136"/>
      <c r="C910" s="137"/>
    </row>
    <row r="911" spans="1:3">
      <c r="A911" s="137"/>
      <c r="B911" s="136"/>
      <c r="C911" s="137"/>
    </row>
    <row r="912" spans="1:3">
      <c r="A912" s="137"/>
      <c r="B912" s="136"/>
      <c r="C912" s="137"/>
    </row>
    <row r="913" spans="1:3">
      <c r="A913" s="137"/>
      <c r="B913" s="136"/>
      <c r="C913" s="137"/>
    </row>
    <row r="914" spans="1:3">
      <c r="A914" s="137"/>
      <c r="B914" s="136"/>
      <c r="C914" s="137"/>
    </row>
    <row r="915" spans="1:3">
      <c r="A915" s="137"/>
      <c r="B915" s="136"/>
      <c r="C915" s="137"/>
    </row>
    <row r="916" spans="1:3">
      <c r="A916" s="137"/>
      <c r="B916" s="136"/>
      <c r="C916" s="137"/>
    </row>
    <row r="917" spans="1:3">
      <c r="A917" s="137"/>
      <c r="B917" s="136"/>
      <c r="C917" s="137"/>
    </row>
    <row r="918" spans="1:3">
      <c r="A918" s="137"/>
      <c r="B918" s="136"/>
      <c r="C918" s="137"/>
    </row>
    <row r="919" spans="1:3">
      <c r="A919" s="137"/>
      <c r="B919" s="136"/>
      <c r="C919" s="137"/>
    </row>
    <row r="920" spans="1:3">
      <c r="A920" s="137"/>
      <c r="B920" s="136"/>
      <c r="C920" s="137"/>
    </row>
    <row r="921" spans="1:3">
      <c r="A921" s="137"/>
      <c r="B921" s="136"/>
      <c r="C921" s="137"/>
    </row>
    <row r="922" spans="1:3">
      <c r="A922" s="137"/>
      <c r="B922" s="136"/>
      <c r="C922" s="137"/>
    </row>
    <row r="923" spans="1:3">
      <c r="A923" s="137"/>
      <c r="B923" s="136"/>
      <c r="C923" s="137"/>
    </row>
    <row r="924" spans="1:3">
      <c r="A924" s="137"/>
      <c r="B924" s="136"/>
      <c r="C924" s="137"/>
    </row>
    <row r="925" spans="1:3">
      <c r="A925" s="137"/>
      <c r="B925" s="136"/>
      <c r="C925" s="137"/>
    </row>
    <row r="926" spans="1:3">
      <c r="A926" s="137"/>
      <c r="B926" s="136"/>
      <c r="C926" s="137"/>
    </row>
    <row r="927" spans="1:3">
      <c r="A927" s="137"/>
      <c r="B927" s="136"/>
      <c r="C927" s="137"/>
    </row>
    <row r="928" spans="1:3">
      <c r="A928" s="137"/>
      <c r="B928" s="136"/>
      <c r="C928" s="137"/>
    </row>
    <row r="929" spans="1:3">
      <c r="A929" s="137"/>
      <c r="B929" s="136"/>
      <c r="C929" s="137"/>
    </row>
    <row r="930" spans="1:3">
      <c r="A930" s="137"/>
      <c r="B930" s="136"/>
      <c r="C930" s="137"/>
    </row>
    <row r="931" spans="1:3">
      <c r="A931" s="137"/>
      <c r="B931" s="136"/>
      <c r="C931" s="137"/>
    </row>
    <row r="932" spans="1:3">
      <c r="A932" s="137"/>
      <c r="B932" s="136"/>
      <c r="C932" s="137"/>
    </row>
    <row r="933" spans="1:3">
      <c r="A933" s="137"/>
      <c r="B933" s="136"/>
      <c r="C933" s="137"/>
    </row>
    <row r="934" spans="1:3">
      <c r="A934" s="137"/>
      <c r="B934" s="136"/>
      <c r="C934" s="137"/>
    </row>
    <row r="935" spans="1:3">
      <c r="A935" s="137"/>
      <c r="B935" s="136"/>
      <c r="C935" s="137"/>
    </row>
    <row r="936" spans="1:3">
      <c r="A936" s="137"/>
      <c r="B936" s="136"/>
      <c r="C936" s="137"/>
    </row>
    <row r="937" spans="1:3">
      <c r="A937" s="137"/>
      <c r="B937" s="136"/>
      <c r="C937" s="137"/>
    </row>
    <row r="938" spans="1:3">
      <c r="A938" s="137"/>
      <c r="B938" s="136"/>
      <c r="C938" s="137"/>
    </row>
    <row r="939" spans="1:3">
      <c r="A939" s="137"/>
      <c r="B939" s="136"/>
      <c r="C939" s="137"/>
    </row>
    <row r="940" spans="1:3">
      <c r="A940" s="137"/>
      <c r="B940" s="136"/>
      <c r="C940" s="137"/>
    </row>
    <row r="941" spans="1:3">
      <c r="A941" s="137"/>
      <c r="B941" s="136"/>
      <c r="C941" s="137"/>
    </row>
    <row r="942" spans="1:3">
      <c r="A942" s="137"/>
      <c r="B942" s="136"/>
      <c r="C942" s="137"/>
    </row>
    <row r="943" spans="1:3">
      <c r="A943" s="137"/>
      <c r="B943" s="136"/>
      <c r="C943" s="137"/>
    </row>
    <row r="944" spans="1:3">
      <c r="A944" s="137"/>
      <c r="B944" s="136"/>
      <c r="C944" s="137"/>
    </row>
    <row r="945" spans="1:3">
      <c r="A945" s="137"/>
      <c r="B945" s="136"/>
      <c r="C945" s="137"/>
    </row>
    <row r="946" spans="1:3">
      <c r="A946" s="137"/>
      <c r="B946" s="136"/>
      <c r="C946" s="137"/>
    </row>
    <row r="947" spans="1:3">
      <c r="A947" s="137"/>
      <c r="B947" s="136"/>
      <c r="C947" s="137"/>
    </row>
    <row r="948" spans="1:3">
      <c r="A948" s="137"/>
      <c r="B948" s="136"/>
      <c r="C948" s="137"/>
    </row>
    <row r="949" spans="1:3">
      <c r="A949" s="137"/>
      <c r="B949" s="136"/>
      <c r="C949" s="137"/>
    </row>
    <row r="950" spans="1:3">
      <c r="A950" s="137"/>
      <c r="B950" s="136"/>
      <c r="C950" s="137"/>
    </row>
    <row r="951" spans="1:3">
      <c r="A951" s="137"/>
      <c r="B951" s="136"/>
      <c r="C951" s="137"/>
    </row>
    <row r="952" spans="1:3">
      <c r="A952" s="137"/>
      <c r="B952" s="136"/>
      <c r="C952" s="137"/>
    </row>
    <row r="953" spans="1:3">
      <c r="A953" s="137"/>
      <c r="B953" s="136"/>
      <c r="C953" s="137"/>
    </row>
    <row r="954" spans="1:3">
      <c r="A954" s="137"/>
      <c r="B954" s="136"/>
      <c r="C954" s="137"/>
    </row>
    <row r="955" spans="1:3">
      <c r="A955" s="137"/>
      <c r="B955" s="136"/>
      <c r="C955" s="137"/>
    </row>
    <row r="956" spans="1:3">
      <c r="A956" s="137"/>
      <c r="B956" s="136"/>
      <c r="C956" s="137"/>
    </row>
    <row r="957" spans="1:3">
      <c r="A957" s="137"/>
      <c r="B957" s="136"/>
      <c r="C957" s="137"/>
    </row>
    <row r="958" spans="1:3">
      <c r="A958" s="137"/>
      <c r="B958" s="136"/>
      <c r="C958" s="137"/>
    </row>
    <row r="959" spans="1:3">
      <c r="A959" s="137"/>
      <c r="B959" s="136"/>
      <c r="C959" s="137"/>
    </row>
    <row r="960" spans="1:3">
      <c r="A960" s="137"/>
      <c r="B960" s="136"/>
      <c r="C960" s="137"/>
    </row>
    <row r="961" spans="1:3">
      <c r="A961" s="137"/>
      <c r="B961" s="136"/>
      <c r="C961" s="137"/>
    </row>
    <row r="962" spans="1:3">
      <c r="A962" s="137"/>
      <c r="B962" s="136"/>
      <c r="C962" s="137"/>
    </row>
    <row r="963" spans="1:3">
      <c r="A963" s="137"/>
      <c r="B963" s="136"/>
      <c r="C963" s="137"/>
    </row>
    <row r="964" spans="1:3">
      <c r="A964" s="137"/>
      <c r="B964" s="136"/>
      <c r="C964" s="137"/>
    </row>
    <row r="965" spans="1:3">
      <c r="A965" s="137"/>
      <c r="B965" s="136"/>
      <c r="C965" s="137"/>
    </row>
    <row r="966" spans="1:3">
      <c r="A966" s="137"/>
      <c r="B966" s="136"/>
      <c r="C966" s="137"/>
    </row>
    <row r="967" spans="1:3">
      <c r="A967" s="137"/>
      <c r="B967" s="136"/>
      <c r="C967" s="137"/>
    </row>
    <row r="968" spans="1:3">
      <c r="A968" s="137"/>
      <c r="B968" s="136"/>
      <c r="C968" s="137"/>
    </row>
    <row r="969" spans="1:3">
      <c r="A969" s="137"/>
      <c r="B969" s="136"/>
      <c r="C969" s="137"/>
    </row>
    <row r="970" spans="1:3">
      <c r="A970" s="137"/>
      <c r="B970" s="136"/>
      <c r="C970" s="137"/>
    </row>
    <row r="971" spans="1:3">
      <c r="A971" s="137"/>
      <c r="B971" s="136"/>
      <c r="C971" s="137"/>
    </row>
    <row r="972" spans="1:3">
      <c r="A972" s="137"/>
      <c r="B972" s="136"/>
      <c r="C972" s="137"/>
    </row>
    <row r="973" spans="1:3">
      <c r="A973" s="137"/>
      <c r="B973" s="136"/>
      <c r="C973" s="137"/>
    </row>
    <row r="974" spans="1:3">
      <c r="A974" s="137"/>
      <c r="B974" s="136"/>
      <c r="C974" s="137"/>
    </row>
    <row r="975" spans="1:3">
      <c r="A975" s="137"/>
      <c r="B975" s="136"/>
      <c r="C975" s="137"/>
    </row>
    <row r="976" spans="1:3">
      <c r="A976" s="137"/>
      <c r="B976" s="136"/>
      <c r="C976" s="137"/>
    </row>
    <row r="977" spans="1:3">
      <c r="A977" s="137"/>
      <c r="B977" s="136"/>
      <c r="C977" s="137"/>
    </row>
    <row r="978" spans="1:3">
      <c r="A978" s="137"/>
      <c r="B978" s="136"/>
      <c r="C978" s="137"/>
    </row>
    <row r="979" spans="1:3">
      <c r="A979" s="137"/>
      <c r="B979" s="136"/>
      <c r="C979" s="137"/>
    </row>
    <row r="980" spans="1:3">
      <c r="A980" s="137"/>
      <c r="B980" s="136"/>
      <c r="C980" s="137"/>
    </row>
    <row r="981" spans="1:3">
      <c r="A981" s="137"/>
      <c r="B981" s="136"/>
      <c r="C981" s="137"/>
    </row>
    <row r="982" spans="1:3">
      <c r="A982" s="137"/>
      <c r="B982" s="136"/>
      <c r="C982" s="137"/>
    </row>
    <row r="983" spans="1:3">
      <c r="A983" s="137"/>
      <c r="B983" s="136"/>
      <c r="C983" s="137"/>
    </row>
    <row r="984" spans="1:3">
      <c r="A984" s="137"/>
      <c r="B984" s="136"/>
      <c r="C984" s="137"/>
    </row>
    <row r="985" spans="1:3">
      <c r="A985" s="137"/>
      <c r="B985" s="136"/>
      <c r="C985" s="137"/>
    </row>
    <row r="986" spans="1:3">
      <c r="A986" s="137"/>
      <c r="B986" s="136"/>
      <c r="C986" s="137"/>
    </row>
    <row r="987" spans="1:3">
      <c r="A987" s="137"/>
      <c r="B987" s="136"/>
      <c r="C987" s="137"/>
    </row>
    <row r="988" spans="1:3">
      <c r="A988" s="137"/>
      <c r="B988" s="136"/>
      <c r="C988" s="137"/>
    </row>
    <row r="989" spans="1:3">
      <c r="A989" s="137"/>
      <c r="B989" s="136"/>
      <c r="C989" s="137"/>
    </row>
    <row r="990" spans="1:3">
      <c r="A990" s="137"/>
      <c r="B990" s="136"/>
      <c r="C990" s="137"/>
    </row>
    <row r="991" spans="1:3">
      <c r="A991" s="137"/>
      <c r="B991" s="136"/>
      <c r="C991" s="137"/>
    </row>
    <row r="992" spans="1:3">
      <c r="A992" s="137"/>
      <c r="B992" s="136"/>
      <c r="C992" s="137"/>
    </row>
    <row r="993" spans="1:3">
      <c r="A993" s="137"/>
      <c r="B993" s="136"/>
      <c r="C993" s="137"/>
    </row>
    <row r="994" spans="1:3">
      <c r="A994" s="137"/>
      <c r="B994" s="136"/>
      <c r="C994" s="137"/>
    </row>
    <row r="995" spans="1:3">
      <c r="A995" s="137"/>
      <c r="B995" s="136"/>
      <c r="C995" s="137"/>
    </row>
    <row r="996" spans="1:3">
      <c r="A996" s="137"/>
      <c r="B996" s="136"/>
      <c r="C996" s="137"/>
    </row>
    <row r="997" spans="1:3">
      <c r="A997" s="137"/>
      <c r="B997" s="136"/>
      <c r="C997" s="137"/>
    </row>
    <row r="998" spans="1:3">
      <c r="A998" s="137"/>
      <c r="B998" s="136"/>
      <c r="C998" s="137"/>
    </row>
    <row r="999" spans="1:3">
      <c r="A999" s="137"/>
      <c r="B999" s="136"/>
      <c r="C999" s="137"/>
    </row>
    <row r="1000" spans="1:3">
      <c r="A1000" s="137"/>
      <c r="B1000" s="136"/>
      <c r="C1000" s="137"/>
    </row>
    <row r="1001" spans="1:3">
      <c r="A1001" s="137"/>
      <c r="B1001" s="136"/>
      <c r="C1001" s="137"/>
    </row>
    <row r="1002" spans="1:3">
      <c r="A1002" s="137"/>
      <c r="B1002" s="136"/>
      <c r="C1002" s="137"/>
    </row>
    <row r="1003" spans="1:3">
      <c r="A1003" s="137"/>
      <c r="B1003" s="136"/>
      <c r="C1003" s="137"/>
    </row>
    <row r="1004" spans="1:3">
      <c r="A1004" s="137"/>
      <c r="B1004" s="136"/>
      <c r="C1004" s="137"/>
    </row>
    <row r="1005" spans="1:3">
      <c r="A1005" s="137"/>
      <c r="B1005" s="136"/>
      <c r="C1005" s="137"/>
    </row>
    <row r="1006" spans="1:3">
      <c r="A1006" s="137"/>
      <c r="B1006" s="136"/>
      <c r="C1006" s="137"/>
    </row>
    <row r="1007" spans="1:3">
      <c r="A1007" s="137"/>
      <c r="B1007" s="136"/>
      <c r="C1007" s="137"/>
    </row>
    <row r="1008" spans="1:3">
      <c r="A1008" s="137"/>
      <c r="B1008" s="136"/>
      <c r="C1008" s="137"/>
    </row>
    <row r="1009" spans="1:3">
      <c r="A1009" s="137"/>
      <c r="B1009" s="136"/>
      <c r="C1009" s="137"/>
    </row>
    <row r="1010" spans="1:3">
      <c r="A1010" s="137"/>
      <c r="B1010" s="136"/>
      <c r="C1010" s="137"/>
    </row>
    <row r="1011" spans="1:3">
      <c r="A1011" s="137"/>
      <c r="B1011" s="136"/>
      <c r="C1011" s="137"/>
    </row>
    <row r="1012" spans="1:3">
      <c r="A1012" s="137"/>
      <c r="B1012" s="136"/>
      <c r="C1012" s="137"/>
    </row>
    <row r="1013" spans="1:3">
      <c r="A1013" s="137"/>
      <c r="B1013" s="136"/>
      <c r="C1013" s="137"/>
    </row>
    <row r="1014" spans="1:3">
      <c r="A1014" s="137"/>
      <c r="B1014" s="136"/>
      <c r="C1014" s="137"/>
    </row>
    <row r="1015" spans="1:3">
      <c r="A1015" s="137"/>
      <c r="B1015" s="136"/>
      <c r="C1015" s="137"/>
    </row>
    <row r="1016" spans="1:3">
      <c r="A1016" s="137"/>
      <c r="B1016" s="136"/>
      <c r="C1016" s="137"/>
    </row>
    <row r="1017" spans="1:3">
      <c r="A1017" s="137"/>
      <c r="B1017" s="136"/>
      <c r="C1017" s="137"/>
    </row>
    <row r="1018" spans="1:3">
      <c r="A1018" s="137"/>
      <c r="B1018" s="136"/>
      <c r="C1018" s="137"/>
    </row>
    <row r="1019" spans="1:3">
      <c r="A1019" s="137"/>
      <c r="B1019" s="136"/>
      <c r="C1019" s="137"/>
    </row>
    <row r="1020" spans="1:3">
      <c r="A1020" s="137"/>
      <c r="B1020" s="136"/>
      <c r="C1020" s="137"/>
    </row>
    <row r="1021" spans="1:3">
      <c r="A1021" s="137"/>
      <c r="B1021" s="136"/>
      <c r="C1021" s="137"/>
    </row>
    <row r="1022" spans="1:3">
      <c r="A1022" s="137"/>
      <c r="B1022" s="136"/>
      <c r="C1022" s="137"/>
    </row>
    <row r="1023" spans="1:3">
      <c r="A1023" s="137"/>
      <c r="B1023" s="136"/>
      <c r="C1023" s="137"/>
    </row>
    <row r="1024" spans="1:3">
      <c r="A1024" s="137"/>
      <c r="B1024" s="136"/>
      <c r="C1024" s="137"/>
    </row>
    <row r="1025" spans="1:3">
      <c r="A1025" s="137"/>
      <c r="B1025" s="136"/>
      <c r="C1025" s="137"/>
    </row>
    <row r="1026" spans="1:3">
      <c r="A1026" s="137"/>
      <c r="B1026" s="136"/>
      <c r="C1026" s="137"/>
    </row>
    <row r="1027" spans="1:3">
      <c r="A1027" s="137"/>
      <c r="B1027" s="136"/>
      <c r="C1027" s="137"/>
    </row>
    <row r="1028" spans="1:3">
      <c r="A1028" s="137"/>
      <c r="B1028" s="136"/>
      <c r="C1028" s="137"/>
    </row>
    <row r="1029" spans="1:3">
      <c r="A1029" s="137"/>
      <c r="B1029" s="136"/>
      <c r="C1029" s="137"/>
    </row>
    <row r="1030" spans="1:3">
      <c r="A1030" s="137"/>
      <c r="B1030" s="136"/>
      <c r="C1030" s="137"/>
    </row>
    <row r="1031" spans="1:3">
      <c r="A1031" s="137"/>
      <c r="B1031" s="136"/>
      <c r="C1031" s="137"/>
    </row>
    <row r="1032" spans="1:3">
      <c r="A1032" s="137"/>
      <c r="B1032" s="136"/>
      <c r="C1032" s="137"/>
    </row>
    <row r="1033" spans="1:3">
      <c r="A1033" s="137"/>
      <c r="B1033" s="136"/>
      <c r="C1033" s="137"/>
    </row>
    <row r="1034" spans="1:3">
      <c r="A1034" s="137"/>
      <c r="B1034" s="136"/>
      <c r="C1034" s="137"/>
    </row>
    <row r="1035" spans="1:3">
      <c r="A1035" s="137"/>
      <c r="B1035" s="136"/>
      <c r="C1035" s="137"/>
    </row>
    <row r="1036" spans="1:3">
      <c r="A1036" s="137"/>
      <c r="B1036" s="136"/>
      <c r="C1036" s="137"/>
    </row>
    <row r="1037" spans="1:3">
      <c r="A1037" s="137"/>
      <c r="B1037" s="136"/>
      <c r="C1037" s="137"/>
    </row>
    <row r="1038" spans="1:3">
      <c r="A1038" s="137"/>
      <c r="B1038" s="136"/>
      <c r="C1038" s="137"/>
    </row>
    <row r="1039" spans="1:3">
      <c r="A1039" s="137"/>
      <c r="B1039" s="136"/>
      <c r="C1039" s="137"/>
    </row>
    <row r="1040" spans="1:3">
      <c r="A1040" s="137"/>
      <c r="B1040" s="136"/>
      <c r="C1040" s="137"/>
    </row>
    <row r="1041" spans="1:3">
      <c r="A1041" s="137"/>
      <c r="B1041" s="136"/>
      <c r="C1041" s="137"/>
    </row>
    <row r="1042" spans="1:3">
      <c r="A1042" s="137"/>
      <c r="B1042" s="136"/>
      <c r="C1042" s="137"/>
    </row>
    <row r="1043" spans="1:3">
      <c r="A1043" s="137"/>
      <c r="B1043" s="136"/>
      <c r="C1043" s="137"/>
    </row>
    <row r="1044" spans="1:3">
      <c r="A1044" s="137"/>
      <c r="B1044" s="136"/>
      <c r="C1044" s="137"/>
    </row>
    <row r="1045" spans="1:3">
      <c r="A1045" s="137"/>
      <c r="B1045" s="136"/>
      <c r="C1045" s="137"/>
    </row>
    <row r="1046" spans="1:3">
      <c r="A1046" s="137"/>
      <c r="B1046" s="136"/>
      <c r="C1046" s="137"/>
    </row>
    <row r="1047" spans="1:3">
      <c r="A1047" s="137"/>
      <c r="B1047" s="136"/>
      <c r="C1047" s="137"/>
    </row>
    <row r="1048" spans="1:3">
      <c r="A1048" s="137"/>
      <c r="B1048" s="136"/>
      <c r="C1048" s="137"/>
    </row>
    <row r="1049" spans="1:3">
      <c r="A1049" s="137"/>
      <c r="B1049" s="136"/>
      <c r="C1049" s="137"/>
    </row>
    <row r="1050" spans="1:3">
      <c r="A1050" s="137"/>
      <c r="B1050" s="136"/>
      <c r="C1050" s="137"/>
    </row>
    <row r="1051" spans="1:3">
      <c r="A1051" s="137"/>
      <c r="B1051" s="136"/>
      <c r="C1051" s="137"/>
    </row>
    <row r="1052" spans="1:3">
      <c r="A1052" s="137"/>
      <c r="B1052" s="136"/>
      <c r="C1052" s="137"/>
    </row>
    <row r="1053" spans="1:3">
      <c r="A1053" s="137"/>
      <c r="B1053" s="136"/>
      <c r="C1053" s="137"/>
    </row>
    <row r="1054" spans="1:3">
      <c r="A1054" s="137"/>
      <c r="B1054" s="136"/>
      <c r="C1054" s="137"/>
    </row>
    <row r="1055" spans="1:3">
      <c r="A1055" s="137"/>
      <c r="B1055" s="136"/>
      <c r="C1055" s="137"/>
    </row>
    <row r="1056" spans="1:3">
      <c r="A1056" s="137"/>
      <c r="B1056" s="136"/>
      <c r="C1056" s="137"/>
    </row>
    <row r="1057" spans="1:3">
      <c r="A1057" s="137"/>
      <c r="B1057" s="136"/>
      <c r="C1057" s="137"/>
    </row>
    <row r="1058" spans="1:3">
      <c r="A1058" s="137"/>
      <c r="B1058" s="136"/>
      <c r="C1058" s="137"/>
    </row>
    <row r="1059" spans="1:3">
      <c r="A1059" s="137"/>
      <c r="B1059" s="136"/>
      <c r="C1059" s="137"/>
    </row>
    <row r="1060" spans="1:3">
      <c r="A1060" s="137"/>
      <c r="B1060" s="136"/>
      <c r="C1060" s="137"/>
    </row>
    <row r="1061" spans="1:3">
      <c r="A1061" s="137"/>
      <c r="B1061" s="136"/>
      <c r="C1061" s="137"/>
    </row>
    <row r="1062" spans="1:3">
      <c r="A1062" s="137"/>
      <c r="B1062" s="136"/>
      <c r="C1062" s="137"/>
    </row>
    <row r="1063" spans="1:3">
      <c r="A1063" s="137"/>
      <c r="B1063" s="136"/>
      <c r="C1063" s="137"/>
    </row>
    <row r="1064" spans="1:3">
      <c r="A1064" s="137"/>
      <c r="B1064" s="136"/>
      <c r="C1064" s="137"/>
    </row>
    <row r="1065" spans="1:3">
      <c r="A1065" s="137"/>
      <c r="B1065" s="136"/>
      <c r="C1065" s="137"/>
    </row>
    <row r="1066" spans="1:3">
      <c r="A1066" s="137"/>
      <c r="B1066" s="136"/>
      <c r="C1066" s="137"/>
    </row>
    <row r="1067" spans="1:3">
      <c r="A1067" s="137"/>
      <c r="B1067" s="136"/>
      <c r="C1067" s="137"/>
    </row>
    <row r="1068" spans="1:3">
      <c r="A1068" s="137"/>
      <c r="B1068" s="136"/>
      <c r="C1068" s="137"/>
    </row>
    <row r="1069" spans="1:3">
      <c r="A1069" s="137"/>
      <c r="B1069" s="136"/>
      <c r="C1069" s="137"/>
    </row>
    <row r="1070" spans="1:3">
      <c r="A1070" s="137"/>
      <c r="B1070" s="136"/>
      <c r="C1070" s="137"/>
    </row>
    <row r="1071" spans="1:3">
      <c r="A1071" s="137"/>
      <c r="B1071" s="136"/>
      <c r="C1071" s="137"/>
    </row>
    <row r="1072" spans="1:3">
      <c r="A1072" s="137"/>
      <c r="B1072" s="136"/>
      <c r="C1072" s="137"/>
    </row>
    <row r="1073" spans="1:3">
      <c r="A1073" s="137"/>
      <c r="B1073" s="136"/>
      <c r="C1073" s="137"/>
    </row>
    <row r="1074" spans="1:3">
      <c r="A1074" s="137"/>
      <c r="B1074" s="136"/>
      <c r="C1074" s="137"/>
    </row>
    <row r="1075" spans="1:3">
      <c r="A1075" s="137"/>
      <c r="B1075" s="136"/>
      <c r="C1075" s="137"/>
    </row>
    <row r="1076" spans="1:3">
      <c r="A1076" s="137"/>
      <c r="B1076" s="136"/>
      <c r="C1076" s="137"/>
    </row>
    <row r="1077" spans="1:3">
      <c r="A1077" s="137"/>
      <c r="B1077" s="136"/>
      <c r="C1077" s="137"/>
    </row>
    <row r="1078" spans="1:3">
      <c r="A1078" s="137"/>
      <c r="B1078" s="136"/>
      <c r="C1078" s="137"/>
    </row>
    <row r="1079" spans="1:3">
      <c r="A1079" s="137"/>
      <c r="B1079" s="136"/>
      <c r="C1079" s="137"/>
    </row>
    <row r="1080" spans="1:3">
      <c r="A1080" s="137"/>
      <c r="B1080" s="136"/>
      <c r="C1080" s="137"/>
    </row>
    <row r="1081" spans="1:3">
      <c r="A1081" s="137"/>
      <c r="B1081" s="136"/>
      <c r="C1081" s="137"/>
    </row>
    <row r="1082" spans="1:3">
      <c r="A1082" s="137"/>
      <c r="B1082" s="136"/>
      <c r="C1082" s="137"/>
    </row>
    <row r="1083" spans="1:3">
      <c r="A1083" s="137"/>
      <c r="B1083" s="136"/>
      <c r="C1083" s="137"/>
    </row>
    <row r="1084" spans="1:3">
      <c r="A1084" s="137"/>
      <c r="B1084" s="136"/>
      <c r="C1084" s="137"/>
    </row>
    <row r="1085" spans="1:3">
      <c r="A1085" s="137"/>
      <c r="B1085" s="136"/>
      <c r="C1085" s="137"/>
    </row>
    <row r="1086" spans="1:3">
      <c r="A1086" s="137"/>
      <c r="B1086" s="136"/>
      <c r="C1086" s="137"/>
    </row>
    <row r="1087" spans="1:3">
      <c r="A1087" s="137"/>
      <c r="B1087" s="136"/>
      <c r="C1087" s="137"/>
    </row>
    <row r="1088" spans="1:3">
      <c r="A1088" s="137"/>
      <c r="B1088" s="136"/>
      <c r="C1088" s="137"/>
    </row>
    <row r="1089" spans="1:3">
      <c r="A1089" s="137"/>
      <c r="B1089" s="136"/>
      <c r="C1089" s="137"/>
    </row>
    <row r="1090" spans="1:3">
      <c r="A1090" s="137"/>
      <c r="B1090" s="136"/>
      <c r="C1090" s="137"/>
    </row>
    <row r="1091" spans="1:3">
      <c r="A1091" s="137"/>
      <c r="B1091" s="136"/>
      <c r="C1091" s="137"/>
    </row>
    <row r="1092" spans="1:3">
      <c r="A1092" s="137"/>
      <c r="B1092" s="136"/>
      <c r="C1092" s="137"/>
    </row>
    <row r="1093" spans="1:3">
      <c r="A1093" s="137"/>
      <c r="B1093" s="136"/>
      <c r="C1093" s="137"/>
    </row>
    <row r="1094" spans="1:3">
      <c r="A1094" s="137"/>
      <c r="B1094" s="136"/>
      <c r="C1094" s="137"/>
    </row>
    <row r="1095" spans="1:3">
      <c r="A1095" s="137"/>
      <c r="B1095" s="136"/>
      <c r="C1095" s="137"/>
    </row>
    <row r="1096" spans="1:3">
      <c r="A1096" s="137"/>
      <c r="B1096" s="136"/>
      <c r="C1096" s="137"/>
    </row>
    <row r="1097" spans="1:3">
      <c r="A1097" s="137"/>
      <c r="B1097" s="136"/>
      <c r="C1097" s="137"/>
    </row>
    <row r="1098" spans="1:3">
      <c r="A1098" s="137"/>
      <c r="B1098" s="136"/>
      <c r="C1098" s="137"/>
    </row>
    <row r="1099" spans="1:3">
      <c r="A1099" s="137"/>
      <c r="B1099" s="136"/>
      <c r="C1099" s="137"/>
    </row>
    <row r="1100" spans="1:3">
      <c r="A1100" s="137"/>
      <c r="B1100" s="136"/>
      <c r="C1100" s="137"/>
    </row>
    <row r="1101" spans="1:3">
      <c r="A1101" s="137"/>
      <c r="B1101" s="136"/>
      <c r="C1101" s="137"/>
    </row>
    <row r="1102" spans="1:3">
      <c r="A1102" s="137"/>
      <c r="B1102" s="136"/>
      <c r="C1102" s="137"/>
    </row>
    <row r="1103" spans="1:3">
      <c r="A1103" s="137"/>
      <c r="B1103" s="136"/>
      <c r="C1103" s="137"/>
    </row>
    <row r="1104" spans="1:3">
      <c r="A1104" s="137"/>
      <c r="B1104" s="136"/>
      <c r="C1104" s="137"/>
    </row>
    <row r="1105" spans="1:3">
      <c r="A1105" s="137"/>
      <c r="B1105" s="136"/>
      <c r="C1105" s="137"/>
    </row>
    <row r="1106" spans="1:3">
      <c r="A1106" s="137"/>
      <c r="B1106" s="136"/>
      <c r="C1106" s="137"/>
    </row>
    <row r="1107" spans="1:3">
      <c r="A1107" s="137"/>
      <c r="B1107" s="136"/>
      <c r="C1107" s="137"/>
    </row>
    <row r="1108" spans="1:3">
      <c r="A1108" s="137"/>
      <c r="B1108" s="136"/>
      <c r="C1108" s="137"/>
    </row>
    <row r="1109" spans="1:3">
      <c r="A1109" s="137"/>
      <c r="B1109" s="136"/>
      <c r="C1109" s="137"/>
    </row>
    <row r="1110" spans="1:3">
      <c r="A1110" s="137"/>
      <c r="B1110" s="136"/>
      <c r="C1110" s="137"/>
    </row>
    <row r="1111" spans="1:3">
      <c r="A1111" s="137"/>
      <c r="B1111" s="136"/>
      <c r="C1111" s="137"/>
    </row>
    <row r="1112" spans="1:3">
      <c r="A1112" s="137"/>
      <c r="B1112" s="136"/>
      <c r="C1112" s="137"/>
    </row>
    <row r="1113" spans="1:3">
      <c r="A1113" s="137"/>
      <c r="B1113" s="136"/>
      <c r="C1113" s="137"/>
    </row>
    <row r="1114" spans="1:3">
      <c r="A1114" s="137"/>
      <c r="B1114" s="136"/>
      <c r="C1114" s="137"/>
    </row>
    <row r="1115" spans="1:3">
      <c r="A1115" s="137"/>
      <c r="B1115" s="136"/>
      <c r="C1115" s="137"/>
    </row>
    <row r="1116" spans="1:3">
      <c r="A1116" s="137"/>
      <c r="B1116" s="136"/>
      <c r="C1116" s="137"/>
    </row>
    <row r="1117" spans="1:3">
      <c r="A1117" s="137"/>
      <c r="B1117" s="136"/>
      <c r="C1117" s="137"/>
    </row>
    <row r="1118" spans="1:3">
      <c r="A1118" s="137"/>
      <c r="B1118" s="136"/>
      <c r="C1118" s="137"/>
    </row>
    <row r="1119" spans="1:3">
      <c r="A1119" s="137"/>
      <c r="B1119" s="136"/>
      <c r="C1119" s="137"/>
    </row>
    <row r="1120" spans="1:3">
      <c r="A1120" s="137"/>
      <c r="B1120" s="136"/>
      <c r="C1120" s="137"/>
    </row>
    <row r="1121" spans="1:3">
      <c r="A1121" s="137"/>
      <c r="B1121" s="136"/>
      <c r="C1121" s="137"/>
    </row>
    <row r="1122" spans="1:3">
      <c r="A1122" s="137"/>
      <c r="B1122" s="136"/>
      <c r="C1122" s="137"/>
    </row>
    <row r="1123" spans="1:3">
      <c r="A1123" s="137"/>
      <c r="B1123" s="136"/>
      <c r="C1123" s="137"/>
    </row>
    <row r="1124" spans="1:3">
      <c r="A1124" s="137"/>
      <c r="B1124" s="136"/>
      <c r="C1124" s="137"/>
    </row>
    <row r="1125" spans="1:3">
      <c r="A1125" s="137"/>
      <c r="B1125" s="136"/>
      <c r="C1125" s="137"/>
    </row>
    <row r="1126" spans="1:3">
      <c r="A1126" s="137"/>
      <c r="B1126" s="136"/>
      <c r="C1126" s="137"/>
    </row>
    <row r="1127" spans="1:3">
      <c r="A1127" s="137"/>
      <c r="B1127" s="136"/>
      <c r="C1127" s="137"/>
    </row>
    <row r="1128" spans="1:3">
      <c r="A1128" s="137"/>
      <c r="B1128" s="136"/>
      <c r="C1128" s="137"/>
    </row>
    <row r="1129" spans="1:3">
      <c r="A1129" s="137"/>
      <c r="B1129" s="136"/>
      <c r="C1129" s="137"/>
    </row>
    <row r="1130" spans="1:3">
      <c r="A1130" s="137"/>
      <c r="B1130" s="136"/>
      <c r="C1130" s="137"/>
    </row>
    <row r="1131" spans="1:3">
      <c r="A1131" s="137"/>
      <c r="B1131" s="136"/>
      <c r="C1131" s="137"/>
    </row>
    <row r="1132" spans="1:3">
      <c r="A1132" s="137"/>
      <c r="B1132" s="136"/>
      <c r="C1132" s="137"/>
    </row>
    <row r="1133" spans="1:3">
      <c r="A1133" s="137"/>
      <c r="B1133" s="136"/>
      <c r="C1133" s="137"/>
    </row>
    <row r="1134" spans="1:3">
      <c r="A1134" s="137"/>
      <c r="B1134" s="136"/>
      <c r="C1134" s="137"/>
    </row>
    <row r="1135" spans="1:3">
      <c r="A1135" s="137"/>
      <c r="B1135" s="136"/>
      <c r="C1135" s="137"/>
    </row>
    <row r="1136" spans="1:3">
      <c r="A1136" s="137"/>
      <c r="B1136" s="136"/>
      <c r="C1136" s="137"/>
    </row>
    <row r="1137" spans="1:3">
      <c r="A1137" s="137"/>
      <c r="B1137" s="136"/>
      <c r="C1137" s="137"/>
    </row>
    <row r="1138" spans="1:3">
      <c r="A1138" s="137"/>
      <c r="B1138" s="136"/>
      <c r="C1138" s="137"/>
    </row>
    <row r="1139" spans="1:3">
      <c r="A1139" s="137"/>
      <c r="B1139" s="136"/>
      <c r="C1139" s="137"/>
    </row>
    <row r="1140" spans="1:3">
      <c r="A1140" s="137"/>
      <c r="B1140" s="136"/>
      <c r="C1140" s="137"/>
    </row>
    <row r="1141" spans="1:3">
      <c r="A1141" s="137"/>
      <c r="B1141" s="136"/>
      <c r="C1141" s="137"/>
    </row>
    <row r="1142" spans="1:3">
      <c r="A1142" s="137"/>
      <c r="B1142" s="136"/>
      <c r="C1142" s="137"/>
    </row>
    <row r="1143" spans="1:3">
      <c r="A1143" s="137"/>
      <c r="B1143" s="136"/>
      <c r="C1143" s="137"/>
    </row>
    <row r="1144" spans="1:3">
      <c r="A1144" s="137"/>
      <c r="B1144" s="136"/>
      <c r="C1144" s="137"/>
    </row>
    <row r="1145" spans="1:3">
      <c r="A1145" s="137"/>
      <c r="B1145" s="136"/>
      <c r="C1145" s="137"/>
    </row>
    <row r="1146" spans="1:3">
      <c r="A1146" s="137"/>
      <c r="B1146" s="136"/>
      <c r="C1146" s="137"/>
    </row>
    <row r="1147" spans="1:3">
      <c r="A1147" s="137"/>
      <c r="B1147" s="136"/>
      <c r="C1147" s="137"/>
    </row>
    <row r="1148" spans="1:3">
      <c r="A1148" s="137"/>
      <c r="B1148" s="136"/>
      <c r="C1148" s="137"/>
    </row>
    <row r="1149" spans="1:3">
      <c r="A1149" s="137"/>
      <c r="B1149" s="136"/>
      <c r="C1149" s="137"/>
    </row>
    <row r="1150" spans="1:3">
      <c r="A1150" s="137"/>
      <c r="B1150" s="136"/>
      <c r="C1150" s="137"/>
    </row>
    <row r="1151" spans="1:3">
      <c r="A1151" s="137"/>
      <c r="B1151" s="136"/>
      <c r="C1151" s="137"/>
    </row>
    <row r="1152" spans="1:3">
      <c r="A1152" s="137"/>
      <c r="B1152" s="136"/>
      <c r="C1152" s="137"/>
    </row>
    <row r="1153" spans="1:3">
      <c r="A1153" s="137"/>
      <c r="B1153" s="136"/>
      <c r="C1153" s="137"/>
    </row>
    <row r="1154" spans="1:3">
      <c r="A1154" s="137"/>
      <c r="B1154" s="136"/>
      <c r="C1154" s="137"/>
    </row>
    <row r="1155" spans="1:3">
      <c r="A1155" s="137"/>
      <c r="B1155" s="136"/>
      <c r="C1155" s="137"/>
    </row>
    <row r="1156" spans="1:3">
      <c r="A1156" s="137"/>
      <c r="B1156" s="136"/>
      <c r="C1156" s="137"/>
    </row>
    <row r="1157" spans="1:3">
      <c r="A1157" s="137"/>
      <c r="B1157" s="136"/>
      <c r="C1157" s="137"/>
    </row>
    <row r="1158" spans="1:3">
      <c r="A1158" s="137"/>
      <c r="B1158" s="136"/>
      <c r="C1158" s="137"/>
    </row>
    <row r="1159" spans="1:3">
      <c r="A1159" s="137"/>
      <c r="B1159" s="136"/>
      <c r="C1159" s="137"/>
    </row>
    <row r="1160" spans="1:3">
      <c r="A1160" s="137"/>
      <c r="B1160" s="136"/>
      <c r="C1160" s="137"/>
    </row>
    <row r="1161" spans="1:3">
      <c r="A1161" s="137"/>
      <c r="B1161" s="136"/>
      <c r="C1161" s="137"/>
    </row>
    <row r="1162" spans="1:3">
      <c r="A1162" s="137"/>
      <c r="B1162" s="136"/>
      <c r="C1162" s="137"/>
    </row>
    <row r="1163" spans="1:3">
      <c r="A1163" s="137"/>
      <c r="B1163" s="136"/>
      <c r="C1163" s="137"/>
    </row>
    <row r="1164" spans="1:3">
      <c r="A1164" s="137"/>
      <c r="B1164" s="136"/>
      <c r="C1164" s="137"/>
    </row>
    <row r="1165" spans="1:3">
      <c r="A1165" s="137"/>
      <c r="B1165" s="136"/>
      <c r="C1165" s="137"/>
    </row>
    <row r="1166" spans="1:3">
      <c r="A1166" s="137"/>
      <c r="B1166" s="136"/>
      <c r="C1166" s="137"/>
    </row>
    <row r="1167" spans="1:3">
      <c r="A1167" s="137"/>
      <c r="B1167" s="136"/>
      <c r="C1167" s="137"/>
    </row>
    <row r="1168" spans="1:3">
      <c r="A1168" s="137"/>
      <c r="B1168" s="136"/>
      <c r="C1168" s="137"/>
    </row>
    <row r="1169" spans="1:3">
      <c r="A1169" s="137"/>
      <c r="B1169" s="136"/>
      <c r="C1169" s="137"/>
    </row>
    <row r="1170" spans="1:3">
      <c r="A1170" s="137"/>
      <c r="B1170" s="136"/>
      <c r="C1170" s="137"/>
    </row>
    <row r="1171" spans="1:3">
      <c r="A1171" s="137"/>
      <c r="B1171" s="136"/>
      <c r="C1171" s="137"/>
    </row>
    <row r="1172" spans="1:3">
      <c r="A1172" s="137"/>
      <c r="B1172" s="136"/>
      <c r="C1172" s="137"/>
    </row>
    <row r="1173" spans="1:3">
      <c r="A1173" s="137"/>
      <c r="B1173" s="136"/>
      <c r="C1173" s="137"/>
    </row>
    <row r="1174" spans="1:3">
      <c r="A1174" s="137"/>
      <c r="B1174" s="136"/>
      <c r="C1174" s="137"/>
    </row>
    <row r="1175" spans="1:3">
      <c r="A1175" s="137"/>
      <c r="B1175" s="136"/>
      <c r="C1175" s="137"/>
    </row>
    <row r="1176" spans="1:3">
      <c r="A1176" s="137"/>
      <c r="B1176" s="136"/>
      <c r="C1176" s="137"/>
    </row>
    <row r="1177" spans="1:3">
      <c r="A1177" s="137"/>
      <c r="B1177" s="136"/>
      <c r="C1177" s="137"/>
    </row>
    <row r="1178" spans="1:3">
      <c r="A1178" s="137"/>
      <c r="B1178" s="136"/>
      <c r="C1178" s="137"/>
    </row>
    <row r="1179" spans="1:3">
      <c r="A1179" s="137"/>
      <c r="B1179" s="136"/>
      <c r="C1179" s="137"/>
    </row>
    <row r="1180" spans="1:3">
      <c r="A1180" s="137"/>
      <c r="B1180" s="136"/>
      <c r="C1180" s="137"/>
    </row>
    <row r="1181" spans="1:3">
      <c r="A1181" s="137"/>
      <c r="B1181" s="136"/>
      <c r="C1181" s="137"/>
    </row>
    <row r="1182" spans="1:3">
      <c r="A1182" s="137"/>
      <c r="B1182" s="136"/>
      <c r="C1182" s="137"/>
    </row>
    <row r="1183" spans="1:3">
      <c r="A1183" s="137"/>
      <c r="B1183" s="136"/>
      <c r="C1183" s="137"/>
    </row>
    <row r="1184" spans="1:3">
      <c r="A1184" s="137"/>
      <c r="B1184" s="136"/>
      <c r="C1184" s="137"/>
    </row>
    <row r="1185" spans="1:3">
      <c r="A1185" s="137"/>
      <c r="B1185" s="136"/>
      <c r="C1185" s="137"/>
    </row>
    <row r="1186" spans="1:3">
      <c r="A1186" s="137"/>
      <c r="B1186" s="136"/>
      <c r="C1186" s="137"/>
    </row>
    <row r="1187" spans="1:3">
      <c r="A1187" s="137"/>
      <c r="B1187" s="136"/>
      <c r="C1187" s="137"/>
    </row>
    <row r="1188" spans="1:3">
      <c r="A1188" s="137"/>
      <c r="B1188" s="136"/>
      <c r="C1188" s="137"/>
    </row>
    <row r="1189" spans="1:3">
      <c r="A1189" s="137"/>
      <c r="B1189" s="136"/>
      <c r="C1189" s="137"/>
    </row>
    <row r="1190" spans="1:3">
      <c r="A1190" s="137"/>
      <c r="B1190" s="136"/>
      <c r="C1190" s="137"/>
    </row>
    <row r="1191" spans="1:3">
      <c r="A1191" s="137"/>
      <c r="B1191" s="136"/>
      <c r="C1191" s="137"/>
    </row>
    <row r="1192" spans="1:3">
      <c r="A1192" s="137"/>
      <c r="B1192" s="136"/>
      <c r="C1192" s="137"/>
    </row>
    <row r="1193" spans="1:3">
      <c r="A1193" s="137"/>
      <c r="B1193" s="136"/>
      <c r="C1193" s="137"/>
    </row>
    <row r="1194" spans="1:3">
      <c r="A1194" s="137"/>
      <c r="B1194" s="136"/>
      <c r="C1194" s="137"/>
    </row>
    <row r="1195" spans="1:3">
      <c r="A1195" s="137"/>
      <c r="B1195" s="136"/>
      <c r="C1195" s="137"/>
    </row>
    <row r="1196" spans="1:3">
      <c r="A1196" s="137"/>
      <c r="B1196" s="136"/>
      <c r="C1196" s="137"/>
    </row>
    <row r="1197" spans="1:3">
      <c r="A1197" s="137"/>
      <c r="B1197" s="136"/>
      <c r="C1197" s="137"/>
    </row>
    <row r="1198" spans="1:3">
      <c r="A1198" s="137"/>
      <c r="B1198" s="136"/>
      <c r="C1198" s="137"/>
    </row>
    <row r="1199" spans="1:3">
      <c r="A1199" s="137"/>
      <c r="B1199" s="136"/>
      <c r="C1199" s="137"/>
    </row>
    <row r="1200" spans="1:3">
      <c r="A1200" s="137"/>
      <c r="B1200" s="136"/>
      <c r="C1200" s="137"/>
    </row>
    <row r="1201" spans="1:3">
      <c r="A1201" s="137"/>
      <c r="B1201" s="136"/>
      <c r="C1201" s="137"/>
    </row>
    <row r="1202" spans="1:3">
      <c r="A1202" s="137"/>
      <c r="B1202" s="136"/>
      <c r="C1202" s="137"/>
    </row>
    <row r="1203" spans="1:3">
      <c r="A1203" s="137"/>
      <c r="B1203" s="136"/>
      <c r="C1203" s="137"/>
    </row>
    <row r="1204" spans="1:3">
      <c r="A1204" s="137"/>
      <c r="B1204" s="136"/>
      <c r="C1204" s="137"/>
    </row>
    <row r="1205" spans="1:3">
      <c r="A1205" s="137"/>
      <c r="B1205" s="136"/>
      <c r="C1205" s="137"/>
    </row>
    <row r="1206" spans="1:3">
      <c r="A1206" s="137"/>
      <c r="B1206" s="136"/>
      <c r="C1206" s="137"/>
    </row>
    <row r="1207" spans="1:3">
      <c r="A1207" s="137"/>
      <c r="B1207" s="136"/>
      <c r="C1207" s="137"/>
    </row>
    <row r="1208" spans="1:3">
      <c r="A1208" s="137"/>
      <c r="B1208" s="136"/>
      <c r="C1208" s="137"/>
    </row>
    <row r="1209" spans="1:3">
      <c r="A1209" s="137"/>
      <c r="B1209" s="136"/>
      <c r="C1209" s="137"/>
    </row>
    <row r="1210" spans="1:3">
      <c r="A1210" s="137"/>
      <c r="B1210" s="136"/>
      <c r="C1210" s="137"/>
    </row>
    <row r="1211" spans="1:3">
      <c r="A1211" s="137"/>
      <c r="B1211" s="136"/>
      <c r="C1211" s="137"/>
    </row>
    <row r="1212" spans="1:3">
      <c r="A1212" s="137"/>
      <c r="B1212" s="136"/>
      <c r="C1212" s="137"/>
    </row>
    <row r="1213" spans="1:3">
      <c r="A1213" s="137"/>
      <c r="B1213" s="136"/>
      <c r="C1213" s="137"/>
    </row>
    <row r="1214" spans="1:3">
      <c r="A1214" s="137"/>
      <c r="B1214" s="136"/>
      <c r="C1214" s="137"/>
    </row>
    <row r="1215" spans="1:3">
      <c r="A1215" s="137"/>
      <c r="B1215" s="136"/>
      <c r="C1215" s="137"/>
    </row>
    <row r="1216" spans="1:3">
      <c r="A1216" s="137"/>
      <c r="B1216" s="136"/>
      <c r="C1216" s="137"/>
    </row>
    <row r="1217" spans="1:3">
      <c r="A1217" s="137"/>
      <c r="B1217" s="136"/>
      <c r="C1217" s="137"/>
    </row>
    <row r="1218" spans="1:3">
      <c r="A1218" s="137"/>
      <c r="B1218" s="136"/>
      <c r="C1218" s="137"/>
    </row>
    <row r="1219" spans="1:3">
      <c r="A1219" s="137"/>
      <c r="B1219" s="136"/>
      <c r="C1219" s="137"/>
    </row>
    <row r="1220" spans="1:3">
      <c r="A1220" s="137"/>
      <c r="B1220" s="136"/>
      <c r="C1220" s="137"/>
    </row>
    <row r="1221" spans="1:3">
      <c r="A1221" s="137"/>
      <c r="B1221" s="136"/>
      <c r="C1221" s="137"/>
    </row>
    <row r="1222" spans="1:3">
      <c r="A1222" s="137"/>
      <c r="B1222" s="136"/>
      <c r="C1222" s="137"/>
    </row>
    <row r="1223" spans="1:3">
      <c r="A1223" s="137"/>
      <c r="B1223" s="136"/>
      <c r="C1223" s="137"/>
    </row>
    <row r="1224" spans="1:3">
      <c r="A1224" s="137"/>
      <c r="B1224" s="136"/>
      <c r="C1224" s="137"/>
    </row>
    <row r="1225" spans="1:3">
      <c r="A1225" s="137"/>
      <c r="B1225" s="136"/>
      <c r="C1225" s="137"/>
    </row>
    <row r="1226" spans="1:3">
      <c r="A1226" s="137"/>
      <c r="B1226" s="136"/>
      <c r="C1226" s="137"/>
    </row>
    <row r="1227" spans="1:3">
      <c r="A1227" s="137"/>
      <c r="B1227" s="136"/>
      <c r="C1227" s="137"/>
    </row>
    <row r="1228" spans="1:3">
      <c r="A1228" s="137"/>
      <c r="B1228" s="136"/>
      <c r="C1228" s="137"/>
    </row>
    <row r="1229" spans="1:3">
      <c r="A1229" s="137"/>
      <c r="B1229" s="136"/>
      <c r="C1229" s="137"/>
    </row>
    <row r="1230" spans="1:3">
      <c r="A1230" s="137"/>
      <c r="B1230" s="136"/>
      <c r="C1230" s="137"/>
    </row>
    <row r="1231" spans="1:3">
      <c r="A1231" s="137"/>
      <c r="B1231" s="136"/>
      <c r="C1231" s="137"/>
    </row>
    <row r="1232" spans="1:3">
      <c r="A1232" s="137"/>
      <c r="B1232" s="136"/>
      <c r="C1232" s="137"/>
    </row>
    <row r="1233" spans="1:3">
      <c r="A1233" s="137"/>
      <c r="B1233" s="136"/>
      <c r="C1233" s="137"/>
    </row>
    <row r="1234" spans="1:3">
      <c r="A1234" s="137"/>
      <c r="B1234" s="136"/>
      <c r="C1234" s="137"/>
    </row>
    <row r="1235" spans="1:3">
      <c r="A1235" s="137"/>
      <c r="B1235" s="136"/>
      <c r="C1235" s="137"/>
    </row>
    <row r="1236" spans="1:3">
      <c r="A1236" s="137"/>
      <c r="B1236" s="136"/>
      <c r="C1236" s="137"/>
    </row>
    <row r="1237" spans="1:3">
      <c r="A1237" s="137"/>
      <c r="B1237" s="136"/>
      <c r="C1237" s="137"/>
    </row>
    <row r="1238" spans="1:3">
      <c r="A1238" s="137"/>
      <c r="B1238" s="136"/>
      <c r="C1238" s="137"/>
    </row>
    <row r="1239" spans="1:3">
      <c r="A1239" s="137"/>
      <c r="B1239" s="136"/>
      <c r="C1239" s="137"/>
    </row>
    <row r="1240" spans="1:3">
      <c r="A1240" s="137"/>
      <c r="B1240" s="136"/>
      <c r="C1240" s="137"/>
    </row>
    <row r="1241" spans="1:3">
      <c r="A1241" s="137"/>
      <c r="B1241" s="136"/>
      <c r="C1241" s="137"/>
    </row>
    <row r="1242" spans="1:3">
      <c r="A1242" s="137"/>
      <c r="B1242" s="136"/>
      <c r="C1242" s="137"/>
    </row>
    <row r="1243" spans="1:3">
      <c r="A1243" s="137"/>
      <c r="B1243" s="136"/>
      <c r="C1243" s="137"/>
    </row>
    <row r="1244" spans="1:3">
      <c r="A1244" s="137"/>
      <c r="B1244" s="136"/>
      <c r="C1244" s="137"/>
    </row>
    <row r="1245" spans="1:3">
      <c r="A1245" s="137"/>
      <c r="B1245" s="136"/>
      <c r="C1245" s="137"/>
    </row>
    <row r="1246" spans="1:3">
      <c r="A1246" s="137"/>
      <c r="B1246" s="136"/>
      <c r="C1246" s="137"/>
    </row>
    <row r="1247" spans="1:3">
      <c r="A1247" s="137"/>
      <c r="B1247" s="136"/>
      <c r="C1247" s="137"/>
    </row>
    <row r="1248" spans="1:3">
      <c r="A1248" s="137"/>
      <c r="B1248" s="136"/>
      <c r="C1248" s="137"/>
    </row>
    <row r="1249" spans="1:3">
      <c r="A1249" s="137"/>
      <c r="B1249" s="136"/>
      <c r="C1249" s="137"/>
    </row>
    <row r="1250" spans="1:3">
      <c r="A1250" s="137"/>
      <c r="B1250" s="136"/>
      <c r="C1250" s="137"/>
    </row>
    <row r="1251" spans="1:3">
      <c r="A1251" s="137"/>
      <c r="B1251" s="136"/>
      <c r="C1251" s="137"/>
    </row>
    <row r="1252" spans="1:3">
      <c r="A1252" s="137"/>
      <c r="B1252" s="136"/>
      <c r="C1252" s="137"/>
    </row>
    <row r="1253" spans="1:3">
      <c r="A1253" s="137"/>
      <c r="B1253" s="136"/>
      <c r="C1253" s="137"/>
    </row>
    <row r="1254" spans="1:3">
      <c r="A1254" s="137"/>
      <c r="B1254" s="136"/>
      <c r="C1254" s="137"/>
    </row>
    <row r="1255" spans="1:3">
      <c r="A1255" s="137"/>
      <c r="B1255" s="136"/>
      <c r="C1255" s="137"/>
    </row>
    <row r="1256" spans="1:3">
      <c r="A1256" s="137"/>
      <c r="B1256" s="136"/>
      <c r="C1256" s="137"/>
    </row>
    <row r="1257" spans="1:3">
      <c r="A1257" s="137"/>
      <c r="B1257" s="136"/>
      <c r="C1257" s="137"/>
    </row>
    <row r="1258" spans="1:3">
      <c r="A1258" s="137"/>
      <c r="B1258" s="136"/>
      <c r="C1258" s="137"/>
    </row>
    <row r="1259" spans="1:3">
      <c r="A1259" s="137"/>
      <c r="B1259" s="136"/>
      <c r="C1259" s="137"/>
    </row>
    <row r="1260" spans="1:3">
      <c r="A1260" s="137"/>
      <c r="B1260" s="136"/>
      <c r="C1260" s="137"/>
    </row>
    <row r="1261" spans="1:3">
      <c r="A1261" s="137"/>
      <c r="B1261" s="136"/>
      <c r="C1261" s="137"/>
    </row>
    <row r="1262" spans="1:3">
      <c r="A1262" s="137"/>
      <c r="B1262" s="136"/>
      <c r="C1262" s="137"/>
    </row>
    <row r="1263" spans="1:3">
      <c r="A1263" s="137"/>
      <c r="B1263" s="136"/>
      <c r="C1263" s="137"/>
    </row>
    <row r="1264" spans="1:3">
      <c r="A1264" s="137"/>
      <c r="B1264" s="136"/>
      <c r="C1264" s="137"/>
    </row>
    <row r="1265" spans="1:3">
      <c r="A1265" s="137"/>
      <c r="B1265" s="136"/>
      <c r="C1265" s="137"/>
    </row>
    <row r="1266" spans="1:3">
      <c r="A1266" s="137"/>
      <c r="B1266" s="136"/>
      <c r="C1266" s="137"/>
    </row>
    <row r="1267" spans="1:3">
      <c r="A1267" s="137"/>
      <c r="B1267" s="136"/>
      <c r="C1267" s="137"/>
    </row>
    <row r="1268" spans="1:3">
      <c r="A1268" s="137"/>
      <c r="B1268" s="136"/>
      <c r="C1268" s="137"/>
    </row>
    <row r="1269" spans="1:3">
      <c r="A1269" s="137"/>
      <c r="B1269" s="136"/>
      <c r="C1269" s="137"/>
    </row>
    <row r="1270" spans="1:3">
      <c r="A1270" s="137"/>
      <c r="B1270" s="136"/>
      <c r="C1270" s="137"/>
    </row>
    <row r="1271" spans="1:3">
      <c r="A1271" s="137"/>
      <c r="B1271" s="136"/>
      <c r="C1271" s="137"/>
    </row>
    <row r="1272" spans="1:3">
      <c r="A1272" s="137"/>
      <c r="B1272" s="136"/>
      <c r="C1272" s="137"/>
    </row>
    <row r="1273" spans="1:3">
      <c r="A1273" s="137"/>
      <c r="B1273" s="136"/>
      <c r="C1273" s="137"/>
    </row>
    <row r="1274" spans="1:3">
      <c r="A1274" s="137"/>
      <c r="B1274" s="136"/>
      <c r="C1274" s="137"/>
    </row>
    <row r="1275" spans="1:3">
      <c r="A1275" s="137"/>
      <c r="B1275" s="136"/>
      <c r="C1275" s="137"/>
    </row>
    <row r="1276" spans="1:3">
      <c r="A1276" s="137"/>
      <c r="B1276" s="136"/>
      <c r="C1276" s="137"/>
    </row>
    <row r="1277" spans="1:3">
      <c r="A1277" s="137"/>
      <c r="B1277" s="136"/>
      <c r="C1277" s="137"/>
    </row>
    <row r="1278" spans="1:3">
      <c r="A1278" s="137"/>
      <c r="B1278" s="136"/>
      <c r="C1278" s="137"/>
    </row>
    <row r="1279" spans="1:3">
      <c r="A1279" s="137"/>
      <c r="B1279" s="136"/>
      <c r="C1279" s="137"/>
    </row>
    <row r="1280" spans="1:3">
      <c r="A1280" s="137"/>
      <c r="B1280" s="136"/>
      <c r="C1280" s="137"/>
    </row>
    <row r="1281" spans="1:3">
      <c r="A1281" s="137"/>
      <c r="B1281" s="136"/>
      <c r="C1281" s="137"/>
    </row>
    <row r="1282" spans="1:3">
      <c r="A1282" s="137"/>
      <c r="B1282" s="136"/>
      <c r="C1282" s="137"/>
    </row>
    <row r="1283" spans="1:3">
      <c r="A1283" s="137"/>
      <c r="B1283" s="136"/>
      <c r="C1283" s="137"/>
    </row>
    <row r="1284" spans="1:3">
      <c r="A1284" s="137"/>
      <c r="B1284" s="136"/>
      <c r="C1284" s="137"/>
    </row>
    <row r="1285" spans="1:3">
      <c r="A1285" s="137"/>
      <c r="B1285" s="136"/>
      <c r="C1285" s="137"/>
    </row>
    <row r="1286" spans="1:3">
      <c r="A1286" s="137"/>
      <c r="B1286" s="136"/>
      <c r="C1286" s="137"/>
    </row>
    <row r="1287" spans="1:3">
      <c r="A1287" s="137"/>
      <c r="B1287" s="136"/>
      <c r="C1287" s="137"/>
    </row>
    <row r="1288" spans="1:3">
      <c r="A1288" s="137"/>
      <c r="B1288" s="136"/>
      <c r="C1288" s="137"/>
    </row>
    <row r="1289" spans="1:3">
      <c r="A1289" s="137"/>
      <c r="B1289" s="136"/>
      <c r="C1289" s="137"/>
    </row>
    <row r="1290" spans="1:3">
      <c r="A1290" s="137"/>
      <c r="B1290" s="136"/>
      <c r="C1290" s="137"/>
    </row>
    <row r="1291" spans="1:3">
      <c r="A1291" s="137"/>
      <c r="B1291" s="136"/>
      <c r="C1291" s="137"/>
    </row>
    <row r="1292" spans="1:3">
      <c r="A1292" s="137"/>
      <c r="B1292" s="136"/>
      <c r="C1292" s="137"/>
    </row>
    <row r="1293" spans="1:3">
      <c r="A1293" s="137"/>
      <c r="B1293" s="136"/>
      <c r="C1293" s="137"/>
    </row>
    <row r="1294" spans="1:3">
      <c r="A1294" s="137"/>
      <c r="B1294" s="136"/>
      <c r="C1294" s="137"/>
    </row>
    <row r="1295" spans="1:3">
      <c r="A1295" s="137"/>
      <c r="B1295" s="136"/>
      <c r="C1295" s="137"/>
    </row>
    <row r="1296" spans="1:3">
      <c r="A1296" s="137"/>
      <c r="B1296" s="136"/>
      <c r="C1296" s="137"/>
    </row>
    <row r="1297" spans="1:3">
      <c r="A1297" s="137"/>
      <c r="B1297" s="136"/>
      <c r="C1297" s="137"/>
    </row>
    <row r="1298" spans="1:3">
      <c r="A1298" s="137"/>
      <c r="B1298" s="136"/>
      <c r="C1298" s="137"/>
    </row>
    <row r="1299" spans="1:3">
      <c r="A1299" s="137"/>
      <c r="B1299" s="136"/>
      <c r="C1299" s="137"/>
    </row>
    <row r="1300" spans="1:3">
      <c r="A1300" s="137"/>
      <c r="B1300" s="136"/>
      <c r="C1300" s="137"/>
    </row>
    <row r="1301" spans="1:3">
      <c r="A1301" s="137"/>
      <c r="B1301" s="136"/>
      <c r="C1301" s="137"/>
    </row>
    <row r="1302" spans="1:3">
      <c r="A1302" s="137"/>
      <c r="B1302" s="136"/>
      <c r="C1302" s="137"/>
    </row>
    <row r="1303" spans="1:3">
      <c r="A1303" s="137"/>
      <c r="B1303" s="136"/>
      <c r="C1303" s="137"/>
    </row>
    <row r="1304" spans="1:3">
      <c r="A1304" s="137"/>
      <c r="B1304" s="136"/>
      <c r="C1304" s="137"/>
    </row>
    <row r="1305" spans="1:3">
      <c r="A1305" s="137"/>
      <c r="B1305" s="136"/>
      <c r="C1305" s="137"/>
    </row>
    <row r="1306" spans="1:3">
      <c r="A1306" s="137"/>
      <c r="B1306" s="136"/>
      <c r="C1306" s="137"/>
    </row>
    <row r="1307" spans="1:3">
      <c r="A1307" s="137"/>
      <c r="B1307" s="136"/>
      <c r="C1307" s="137"/>
    </row>
    <row r="1308" spans="1:3">
      <c r="A1308" s="137"/>
      <c r="B1308" s="136"/>
      <c r="C1308" s="137"/>
    </row>
    <row r="1309" spans="1:3">
      <c r="A1309" s="137"/>
      <c r="B1309" s="136"/>
      <c r="C1309" s="137"/>
    </row>
    <row r="1310" spans="1:3">
      <c r="A1310" s="137"/>
      <c r="B1310" s="136"/>
      <c r="C1310" s="137"/>
    </row>
    <row r="1311" spans="1:3">
      <c r="A1311" s="137"/>
      <c r="B1311" s="136"/>
      <c r="C1311" s="137"/>
    </row>
    <row r="1312" spans="1:3">
      <c r="A1312" s="137"/>
      <c r="B1312" s="136"/>
      <c r="C1312" s="137"/>
    </row>
    <row r="1313" spans="1:3">
      <c r="A1313" s="137"/>
      <c r="B1313" s="136"/>
      <c r="C1313" s="137"/>
    </row>
    <row r="1314" spans="1:3">
      <c r="A1314" s="137"/>
      <c r="B1314" s="136"/>
      <c r="C1314" s="137"/>
    </row>
    <row r="1315" spans="1:3">
      <c r="A1315" s="137"/>
      <c r="B1315" s="136"/>
      <c r="C1315" s="137"/>
    </row>
    <row r="1316" spans="1:3">
      <c r="A1316" s="137"/>
      <c r="B1316" s="136"/>
      <c r="C1316" s="137"/>
    </row>
    <row r="1317" spans="1:3">
      <c r="A1317" s="137"/>
      <c r="B1317" s="136"/>
      <c r="C1317" s="137"/>
    </row>
    <row r="1318" spans="1:3">
      <c r="A1318" s="137"/>
      <c r="B1318" s="136"/>
      <c r="C1318" s="137"/>
    </row>
    <row r="1319" spans="1:3">
      <c r="A1319" s="137"/>
      <c r="B1319" s="136"/>
      <c r="C1319" s="137"/>
    </row>
    <row r="1320" spans="1:3">
      <c r="A1320" s="137"/>
      <c r="B1320" s="136"/>
      <c r="C1320" s="137"/>
    </row>
    <row r="1321" spans="1:3">
      <c r="A1321" s="137"/>
      <c r="B1321" s="136"/>
      <c r="C1321" s="137"/>
    </row>
    <row r="1322" spans="1:3">
      <c r="A1322" s="137"/>
      <c r="B1322" s="136"/>
      <c r="C1322" s="137"/>
    </row>
    <row r="1323" spans="1:3">
      <c r="A1323" s="137"/>
      <c r="B1323" s="136"/>
      <c r="C1323" s="137"/>
    </row>
    <row r="1324" spans="1:3">
      <c r="A1324" s="137"/>
      <c r="B1324" s="136"/>
      <c r="C1324" s="137"/>
    </row>
    <row r="1325" spans="1:3">
      <c r="A1325" s="137"/>
      <c r="B1325" s="136"/>
      <c r="C1325" s="137"/>
    </row>
    <row r="1326" spans="1:3">
      <c r="A1326" s="137"/>
      <c r="B1326" s="136"/>
      <c r="C1326" s="137"/>
    </row>
    <row r="1327" spans="1:3">
      <c r="A1327" s="137"/>
      <c r="B1327" s="136"/>
      <c r="C1327" s="137"/>
    </row>
    <row r="1328" spans="1:3">
      <c r="A1328" s="137"/>
      <c r="B1328" s="136"/>
      <c r="C1328" s="137"/>
    </row>
    <row r="1329" spans="1:3">
      <c r="A1329" s="137"/>
      <c r="B1329" s="136"/>
      <c r="C1329" s="137"/>
    </row>
    <row r="1330" spans="1:3">
      <c r="A1330" s="137"/>
      <c r="B1330" s="136"/>
      <c r="C1330" s="137"/>
    </row>
    <row r="1331" spans="1:3">
      <c r="A1331" s="137"/>
      <c r="B1331" s="136"/>
      <c r="C1331" s="137"/>
    </row>
    <row r="1332" spans="1:3">
      <c r="A1332" s="137"/>
      <c r="B1332" s="136"/>
      <c r="C1332" s="137"/>
    </row>
    <row r="1333" spans="1:3">
      <c r="A1333" s="137"/>
      <c r="B1333" s="136"/>
      <c r="C1333" s="137"/>
    </row>
    <row r="1334" spans="1:3">
      <c r="A1334" s="137"/>
      <c r="B1334" s="136"/>
      <c r="C1334" s="137"/>
    </row>
    <row r="1335" spans="1:3">
      <c r="A1335" s="137"/>
      <c r="B1335" s="136"/>
      <c r="C1335" s="137"/>
    </row>
    <row r="1336" spans="1:3">
      <c r="A1336" s="137"/>
      <c r="B1336" s="136"/>
      <c r="C1336" s="137"/>
    </row>
    <row r="1337" spans="1:3">
      <c r="A1337" s="137"/>
      <c r="B1337" s="136"/>
      <c r="C1337" s="137"/>
    </row>
    <row r="1338" spans="1:3">
      <c r="A1338" s="137"/>
      <c r="B1338" s="136"/>
      <c r="C1338" s="137"/>
    </row>
    <row r="1339" spans="1:3">
      <c r="A1339" s="137"/>
      <c r="B1339" s="136"/>
      <c r="C1339" s="137"/>
    </row>
    <row r="1340" spans="1:3">
      <c r="A1340" s="137"/>
      <c r="B1340" s="136"/>
      <c r="C1340" s="137"/>
    </row>
    <row r="1341" spans="1:3">
      <c r="A1341" s="137"/>
      <c r="B1341" s="136"/>
      <c r="C1341" s="137"/>
    </row>
    <row r="1342" spans="1:3">
      <c r="A1342" s="137"/>
      <c r="B1342" s="136"/>
      <c r="C1342" s="137"/>
    </row>
    <row r="1343" spans="1:3">
      <c r="A1343" s="137"/>
      <c r="B1343" s="136"/>
      <c r="C1343" s="137"/>
    </row>
    <row r="1344" spans="1:3">
      <c r="A1344" s="137"/>
      <c r="B1344" s="136"/>
      <c r="C1344" s="137"/>
    </row>
    <row r="1345" spans="1:3">
      <c r="A1345" s="137"/>
      <c r="B1345" s="136"/>
      <c r="C1345" s="137"/>
    </row>
    <row r="1346" spans="1:3">
      <c r="A1346" s="137"/>
      <c r="B1346" s="136"/>
      <c r="C1346" s="137"/>
    </row>
    <row r="1347" spans="1:3">
      <c r="A1347" s="137"/>
      <c r="B1347" s="136"/>
      <c r="C1347" s="137"/>
    </row>
    <row r="1348" spans="1:3">
      <c r="A1348" s="137"/>
      <c r="B1348" s="136"/>
      <c r="C1348" s="137"/>
    </row>
    <row r="1349" spans="1:3">
      <c r="A1349" s="137"/>
      <c r="B1349" s="136"/>
      <c r="C1349" s="137"/>
    </row>
    <row r="1350" spans="1:3">
      <c r="A1350" s="137"/>
      <c r="B1350" s="136"/>
      <c r="C1350" s="137"/>
    </row>
    <row r="1351" spans="1:3">
      <c r="A1351" s="137"/>
      <c r="B1351" s="136"/>
      <c r="C1351" s="137"/>
    </row>
    <row r="1352" spans="1:3">
      <c r="A1352" s="137"/>
      <c r="B1352" s="136"/>
      <c r="C1352" s="137"/>
    </row>
    <row r="1353" spans="1:3">
      <c r="A1353" s="137"/>
      <c r="B1353" s="136"/>
      <c r="C1353" s="137"/>
    </row>
    <row r="1354" spans="1:3">
      <c r="A1354" s="137"/>
      <c r="B1354" s="136"/>
      <c r="C1354" s="137"/>
    </row>
    <row r="1355" spans="1:3">
      <c r="A1355" s="137"/>
      <c r="B1355" s="136"/>
      <c r="C1355" s="137"/>
    </row>
    <row r="1356" spans="1:3">
      <c r="A1356" s="137"/>
      <c r="B1356" s="136"/>
      <c r="C1356" s="137"/>
    </row>
    <row r="1357" spans="1:3">
      <c r="A1357" s="137"/>
      <c r="B1357" s="136"/>
      <c r="C1357" s="137"/>
    </row>
    <row r="1358" spans="1:3">
      <c r="A1358" s="137"/>
      <c r="B1358" s="136"/>
      <c r="C1358" s="137"/>
    </row>
    <row r="1359" spans="1:3">
      <c r="A1359" s="137"/>
      <c r="B1359" s="136"/>
      <c r="C1359" s="137"/>
    </row>
    <row r="1360" spans="1:3">
      <c r="A1360" s="137"/>
      <c r="B1360" s="136"/>
      <c r="C1360" s="137"/>
    </row>
    <row r="1361" spans="1:3">
      <c r="A1361" s="137"/>
      <c r="B1361" s="136"/>
      <c r="C1361" s="137"/>
    </row>
    <row r="1362" spans="1:3">
      <c r="A1362" s="137"/>
      <c r="B1362" s="136"/>
      <c r="C1362" s="137"/>
    </row>
    <row r="1363" spans="1:3">
      <c r="A1363" s="137"/>
      <c r="B1363" s="136"/>
      <c r="C1363" s="137"/>
    </row>
    <row r="1364" spans="1:3">
      <c r="A1364" s="137"/>
      <c r="B1364" s="136"/>
      <c r="C1364" s="137"/>
    </row>
    <row r="1365" spans="1:3">
      <c r="A1365" s="137"/>
      <c r="B1365" s="136"/>
      <c r="C1365" s="137"/>
    </row>
    <row r="1366" spans="1:3">
      <c r="A1366" s="137"/>
      <c r="B1366" s="136"/>
      <c r="C1366" s="137"/>
    </row>
    <row r="1367" spans="1:3">
      <c r="A1367" s="137"/>
      <c r="B1367" s="136"/>
      <c r="C1367" s="137"/>
    </row>
    <row r="1368" spans="1:3">
      <c r="A1368" s="137"/>
      <c r="B1368" s="136"/>
      <c r="C1368" s="137"/>
    </row>
    <row r="1369" spans="1:3">
      <c r="A1369" s="137"/>
      <c r="B1369" s="136"/>
      <c r="C1369" s="137"/>
    </row>
    <row r="1370" spans="1:3">
      <c r="A1370" s="137"/>
      <c r="B1370" s="136"/>
      <c r="C1370" s="137"/>
    </row>
    <row r="1371" spans="1:3">
      <c r="A1371" s="137"/>
      <c r="B1371" s="136"/>
      <c r="C1371" s="137"/>
    </row>
    <row r="1372" spans="1:3">
      <c r="A1372" s="137"/>
      <c r="B1372" s="136"/>
      <c r="C1372" s="137"/>
    </row>
    <row r="1373" spans="1:3">
      <c r="A1373" s="137"/>
      <c r="B1373" s="136"/>
      <c r="C1373" s="137"/>
    </row>
    <row r="1374" spans="1:3">
      <c r="A1374" s="137"/>
      <c r="B1374" s="136"/>
      <c r="C1374" s="137"/>
    </row>
    <row r="1375" spans="1:3">
      <c r="A1375" s="137"/>
      <c r="B1375" s="136"/>
      <c r="C1375" s="137"/>
    </row>
    <row r="1376" spans="1:3">
      <c r="A1376" s="137"/>
      <c r="B1376" s="136"/>
      <c r="C1376" s="137"/>
    </row>
    <row r="1377" spans="1:3">
      <c r="A1377" s="137"/>
      <c r="B1377" s="136"/>
      <c r="C1377" s="137"/>
    </row>
    <row r="1378" spans="1:3">
      <c r="A1378" s="137"/>
      <c r="B1378" s="136"/>
      <c r="C1378" s="137"/>
    </row>
    <row r="1379" spans="1:3">
      <c r="A1379" s="137"/>
      <c r="B1379" s="136"/>
      <c r="C1379" s="137"/>
    </row>
    <row r="1380" spans="1:3">
      <c r="A1380" s="137"/>
      <c r="B1380" s="136"/>
      <c r="C1380" s="137"/>
    </row>
    <row r="1381" spans="1:3">
      <c r="A1381" s="137"/>
      <c r="B1381" s="136"/>
      <c r="C1381" s="137"/>
    </row>
    <row r="1382" spans="1:3">
      <c r="A1382" s="137"/>
      <c r="B1382" s="136"/>
      <c r="C1382" s="137"/>
    </row>
    <row r="1383" spans="1:3">
      <c r="A1383" s="137"/>
      <c r="B1383" s="136"/>
      <c r="C1383" s="137"/>
    </row>
    <row r="1384" spans="1:3">
      <c r="A1384" s="137"/>
      <c r="B1384" s="136"/>
      <c r="C1384" s="137"/>
    </row>
    <row r="1385" spans="1:3">
      <c r="A1385" s="137"/>
      <c r="B1385" s="136"/>
      <c r="C1385" s="137"/>
    </row>
    <row r="1386" spans="1:3">
      <c r="A1386" s="137"/>
      <c r="B1386" s="136"/>
      <c r="C1386" s="137"/>
    </row>
    <row r="1387" spans="1:3">
      <c r="A1387" s="137"/>
      <c r="B1387" s="136"/>
      <c r="C1387" s="137"/>
    </row>
    <row r="1388" spans="1:3">
      <c r="A1388" s="137"/>
      <c r="B1388" s="136"/>
      <c r="C1388" s="137"/>
    </row>
    <row r="1389" spans="1:3">
      <c r="A1389" s="137"/>
      <c r="B1389" s="136"/>
      <c r="C1389" s="137"/>
    </row>
    <row r="1390" spans="1:3">
      <c r="A1390" s="137"/>
      <c r="B1390" s="136"/>
      <c r="C1390" s="137"/>
    </row>
    <row r="1391" spans="1:3">
      <c r="A1391" s="137"/>
      <c r="B1391" s="136"/>
      <c r="C1391" s="137"/>
    </row>
    <row r="1392" spans="1:3">
      <c r="A1392" s="137"/>
      <c r="B1392" s="136"/>
      <c r="C1392" s="137"/>
    </row>
    <row r="1393" spans="1:3">
      <c r="A1393" s="137"/>
      <c r="B1393" s="136"/>
      <c r="C1393" s="137"/>
    </row>
    <row r="1394" spans="1:3">
      <c r="A1394" s="137"/>
      <c r="B1394" s="136"/>
      <c r="C1394" s="137"/>
    </row>
    <row r="1395" spans="1:3">
      <c r="A1395" s="137"/>
      <c r="B1395" s="136"/>
      <c r="C1395" s="137"/>
    </row>
    <row r="1396" spans="1:3">
      <c r="A1396" s="137"/>
      <c r="B1396" s="136"/>
      <c r="C1396" s="137"/>
    </row>
    <row r="1397" spans="1:3">
      <c r="A1397" s="137"/>
      <c r="B1397" s="136"/>
      <c r="C1397" s="137"/>
    </row>
    <row r="1398" spans="1:3">
      <c r="A1398" s="137"/>
      <c r="B1398" s="136"/>
      <c r="C1398" s="137"/>
    </row>
    <row r="1399" spans="1:3">
      <c r="A1399" s="137"/>
      <c r="B1399" s="136"/>
      <c r="C1399" s="137"/>
    </row>
    <row r="1400" spans="1:3">
      <c r="A1400" s="137"/>
      <c r="B1400" s="136"/>
      <c r="C1400" s="137"/>
    </row>
    <row r="1401" spans="1:3">
      <c r="A1401" s="137"/>
      <c r="B1401" s="136"/>
      <c r="C1401" s="137"/>
    </row>
    <row r="1402" spans="1:3">
      <c r="A1402" s="137"/>
      <c r="B1402" s="136"/>
      <c r="C1402" s="137"/>
    </row>
    <row r="1403" spans="1:3">
      <c r="A1403" s="137"/>
      <c r="B1403" s="136"/>
      <c r="C1403" s="137"/>
    </row>
    <row r="1404" spans="1:3">
      <c r="A1404" s="137"/>
      <c r="B1404" s="136"/>
      <c r="C1404" s="137"/>
    </row>
    <row r="1405" spans="1:3">
      <c r="A1405" s="137"/>
      <c r="B1405" s="136"/>
      <c r="C1405" s="137"/>
    </row>
    <row r="1406" spans="1:3">
      <c r="A1406" s="137"/>
      <c r="B1406" s="136"/>
      <c r="C1406" s="137"/>
    </row>
    <row r="1407" spans="1:3">
      <c r="A1407" s="137"/>
      <c r="B1407" s="136"/>
      <c r="C1407" s="137"/>
    </row>
    <row r="1408" spans="1:3">
      <c r="A1408" s="137"/>
      <c r="B1408" s="136"/>
      <c r="C1408" s="137"/>
    </row>
    <row r="1409" spans="1:3">
      <c r="A1409" s="137"/>
      <c r="B1409" s="136"/>
      <c r="C1409" s="137"/>
    </row>
    <row r="1410" spans="1:3">
      <c r="A1410" s="137"/>
      <c r="B1410" s="136"/>
      <c r="C1410" s="137"/>
    </row>
    <row r="1411" spans="1:3">
      <c r="A1411" s="137"/>
      <c r="B1411" s="136"/>
      <c r="C1411" s="137"/>
    </row>
    <row r="1412" spans="1:3">
      <c r="A1412" s="137"/>
      <c r="B1412" s="136"/>
      <c r="C1412" s="137"/>
    </row>
    <row r="1413" spans="1:3">
      <c r="A1413" s="137"/>
      <c r="B1413" s="136"/>
      <c r="C1413" s="137"/>
    </row>
    <row r="1414" spans="1:3">
      <c r="A1414" s="137"/>
      <c r="B1414" s="136"/>
      <c r="C1414" s="137"/>
    </row>
    <row r="1415" spans="1:3">
      <c r="A1415" s="137"/>
      <c r="B1415" s="136"/>
      <c r="C1415" s="137"/>
    </row>
    <row r="1416" spans="1:3">
      <c r="A1416" s="137"/>
      <c r="B1416" s="136"/>
      <c r="C1416" s="137"/>
    </row>
    <row r="1417" spans="1:3">
      <c r="A1417" s="137"/>
      <c r="B1417" s="136"/>
      <c r="C1417" s="137"/>
    </row>
    <row r="1418" spans="1:3">
      <c r="A1418" s="137"/>
      <c r="B1418" s="136"/>
      <c r="C1418" s="137"/>
    </row>
    <row r="1419" spans="1:3">
      <c r="A1419" s="137"/>
      <c r="B1419" s="136"/>
      <c r="C1419" s="137"/>
    </row>
    <row r="1420" spans="1:3">
      <c r="A1420" s="137"/>
      <c r="B1420" s="136"/>
      <c r="C1420" s="137"/>
    </row>
    <row r="1421" spans="1:3">
      <c r="A1421" s="137"/>
      <c r="B1421" s="136"/>
      <c r="C1421" s="137"/>
    </row>
    <row r="1422" spans="1:3">
      <c r="A1422" s="137"/>
      <c r="B1422" s="136"/>
      <c r="C1422" s="137"/>
    </row>
    <row r="1423" spans="1:3">
      <c r="A1423" s="137"/>
      <c r="B1423" s="136"/>
      <c r="C1423" s="137"/>
    </row>
    <row r="1424" spans="1:3">
      <c r="A1424" s="137"/>
      <c r="B1424" s="136"/>
      <c r="C1424" s="137"/>
    </row>
    <row r="1425" spans="1:3">
      <c r="A1425" s="137"/>
      <c r="B1425" s="136"/>
      <c r="C1425" s="137"/>
    </row>
    <row r="1426" spans="1:3">
      <c r="A1426" s="137"/>
      <c r="B1426" s="136"/>
      <c r="C1426" s="137"/>
    </row>
    <row r="1427" spans="1:3">
      <c r="A1427" s="137"/>
      <c r="B1427" s="136"/>
      <c r="C1427" s="137"/>
    </row>
    <row r="1428" spans="1:3">
      <c r="A1428" s="137"/>
      <c r="B1428" s="136"/>
      <c r="C1428" s="137"/>
    </row>
    <row r="1429" spans="1:3">
      <c r="A1429" s="137"/>
      <c r="B1429" s="136"/>
      <c r="C1429" s="137"/>
    </row>
    <row r="1430" spans="1:3">
      <c r="A1430" s="137"/>
      <c r="B1430" s="136"/>
      <c r="C1430" s="137"/>
    </row>
    <row r="1431" spans="1:3">
      <c r="A1431" s="137"/>
      <c r="B1431" s="136"/>
      <c r="C1431" s="137"/>
    </row>
    <row r="1432" spans="1:3">
      <c r="A1432" s="137"/>
      <c r="B1432" s="136"/>
      <c r="C1432" s="137"/>
    </row>
    <row r="1433" spans="1:3">
      <c r="A1433" s="137"/>
      <c r="B1433" s="136"/>
      <c r="C1433" s="137"/>
    </row>
    <row r="1434" spans="1:3">
      <c r="A1434" s="137"/>
      <c r="B1434" s="136"/>
      <c r="C1434" s="137"/>
    </row>
    <row r="1435" spans="1:3">
      <c r="A1435" s="137"/>
      <c r="B1435" s="136"/>
      <c r="C1435" s="137"/>
    </row>
    <row r="1436" spans="1:3">
      <c r="A1436" s="137"/>
      <c r="B1436" s="136"/>
      <c r="C1436" s="137"/>
    </row>
    <row r="1437" spans="1:3">
      <c r="A1437" s="137"/>
      <c r="B1437" s="136"/>
      <c r="C1437" s="137"/>
    </row>
    <row r="1438" spans="1:3">
      <c r="A1438" s="137"/>
      <c r="B1438" s="136"/>
      <c r="C1438" s="137"/>
    </row>
    <row r="1439" spans="1:3">
      <c r="A1439" s="137"/>
      <c r="B1439" s="136"/>
      <c r="C1439" s="137"/>
    </row>
    <row r="1440" spans="1:3">
      <c r="A1440" s="137"/>
      <c r="B1440" s="136"/>
      <c r="C1440" s="137"/>
    </row>
    <row r="1441" spans="1:3">
      <c r="A1441" s="137"/>
      <c r="B1441" s="136"/>
      <c r="C1441" s="137"/>
    </row>
    <row r="1442" spans="1:3">
      <c r="A1442" s="137"/>
      <c r="B1442" s="136"/>
      <c r="C1442" s="137"/>
    </row>
    <row r="1443" spans="1:3">
      <c r="A1443" s="137"/>
      <c r="B1443" s="136"/>
      <c r="C1443" s="137"/>
    </row>
    <row r="1444" spans="1:3">
      <c r="A1444" s="137"/>
      <c r="B1444" s="136"/>
      <c r="C1444" s="137"/>
    </row>
    <row r="1445" spans="1:3">
      <c r="A1445" s="137"/>
      <c r="B1445" s="136"/>
      <c r="C1445" s="137"/>
    </row>
    <row r="1446" spans="1:3">
      <c r="A1446" s="137"/>
      <c r="B1446" s="136"/>
      <c r="C1446" s="137"/>
    </row>
    <row r="1447" spans="1:3">
      <c r="A1447" s="137"/>
      <c r="B1447" s="136"/>
      <c r="C1447" s="137"/>
    </row>
    <row r="1448" spans="1:3">
      <c r="A1448" s="137"/>
      <c r="B1448" s="136"/>
      <c r="C1448" s="137"/>
    </row>
    <row r="1449" spans="1:3">
      <c r="A1449" s="137"/>
      <c r="B1449" s="136"/>
      <c r="C1449" s="137"/>
    </row>
    <row r="1450" spans="1:3">
      <c r="A1450" s="137"/>
      <c r="B1450" s="136"/>
      <c r="C1450" s="137"/>
    </row>
    <row r="1451" spans="1:3">
      <c r="A1451" s="137"/>
      <c r="B1451" s="136"/>
      <c r="C1451" s="137"/>
    </row>
    <row r="1452" spans="1:3">
      <c r="A1452" s="137"/>
      <c r="B1452" s="136"/>
      <c r="C1452" s="137"/>
    </row>
    <row r="1453" spans="1:3">
      <c r="A1453" s="137"/>
      <c r="B1453" s="136"/>
      <c r="C1453" s="137"/>
    </row>
    <row r="1454" spans="1:3">
      <c r="A1454" s="137"/>
      <c r="B1454" s="136"/>
      <c r="C1454" s="137"/>
    </row>
    <row r="1455" spans="1:3">
      <c r="A1455" s="137"/>
      <c r="B1455" s="136"/>
      <c r="C1455" s="137"/>
    </row>
    <row r="1456" spans="1:3">
      <c r="A1456" s="137"/>
      <c r="B1456" s="136"/>
      <c r="C1456" s="137"/>
    </row>
    <row r="1457" spans="1:3">
      <c r="A1457" s="137"/>
      <c r="B1457" s="136"/>
      <c r="C1457" s="137"/>
    </row>
    <row r="1458" spans="1:3">
      <c r="A1458" s="137"/>
      <c r="B1458" s="136"/>
      <c r="C1458" s="137"/>
    </row>
    <row r="1459" spans="1:3">
      <c r="A1459" s="137"/>
      <c r="B1459" s="136"/>
      <c r="C1459" s="137"/>
    </row>
    <row r="1460" spans="1:3">
      <c r="A1460" s="137"/>
      <c r="B1460" s="136"/>
      <c r="C1460" s="137"/>
    </row>
    <row r="1461" spans="1:3">
      <c r="A1461" s="137"/>
      <c r="B1461" s="136"/>
      <c r="C1461" s="137"/>
    </row>
    <row r="1462" spans="1:3">
      <c r="A1462" s="137"/>
      <c r="B1462" s="136"/>
      <c r="C1462" s="137"/>
    </row>
    <row r="1463" spans="1:3">
      <c r="A1463" s="137"/>
      <c r="B1463" s="136"/>
      <c r="C1463" s="137"/>
    </row>
    <row r="1464" spans="1:3">
      <c r="A1464" s="137"/>
      <c r="B1464" s="136"/>
      <c r="C1464" s="137"/>
    </row>
    <row r="1465" spans="1:3">
      <c r="A1465" s="137"/>
      <c r="B1465" s="136"/>
      <c r="C1465" s="137"/>
    </row>
    <row r="1466" spans="1:3">
      <c r="A1466" s="137"/>
      <c r="B1466" s="136"/>
      <c r="C1466" s="137"/>
    </row>
    <row r="1467" spans="1:3">
      <c r="A1467" s="137"/>
      <c r="B1467" s="136"/>
      <c r="C1467" s="137"/>
    </row>
    <row r="1468" spans="1:3">
      <c r="A1468" s="137"/>
      <c r="B1468" s="136"/>
      <c r="C1468" s="137"/>
    </row>
    <row r="1469" spans="1:3">
      <c r="A1469" s="137"/>
      <c r="B1469" s="136"/>
      <c r="C1469" s="137"/>
    </row>
    <row r="1470" spans="1:3">
      <c r="A1470" s="137"/>
      <c r="B1470" s="136"/>
      <c r="C1470" s="137"/>
    </row>
    <row r="1471" spans="1:3">
      <c r="A1471" s="137"/>
      <c r="B1471" s="136"/>
      <c r="C1471" s="137"/>
    </row>
    <row r="1472" spans="1:3">
      <c r="A1472" s="137"/>
      <c r="B1472" s="136"/>
      <c r="C1472" s="137"/>
    </row>
    <row r="1473" spans="1:3">
      <c r="A1473" s="137"/>
      <c r="B1473" s="136"/>
      <c r="C1473" s="137"/>
    </row>
    <row r="1474" spans="1:3">
      <c r="A1474" s="137"/>
      <c r="B1474" s="136"/>
      <c r="C1474" s="137"/>
    </row>
    <row r="1475" spans="1:3">
      <c r="A1475" s="137"/>
      <c r="B1475" s="136"/>
      <c r="C1475" s="137"/>
    </row>
    <row r="1476" spans="1:3">
      <c r="A1476" s="137"/>
      <c r="B1476" s="136"/>
      <c r="C1476" s="137"/>
    </row>
    <row r="1477" spans="1:3">
      <c r="A1477" s="137"/>
      <c r="B1477" s="136"/>
      <c r="C1477" s="137"/>
    </row>
    <row r="1478" spans="1:3">
      <c r="A1478" s="137"/>
      <c r="B1478" s="136"/>
      <c r="C1478" s="137"/>
    </row>
    <row r="1479" spans="1:3">
      <c r="A1479" s="137"/>
      <c r="B1479" s="136"/>
      <c r="C1479" s="137"/>
    </row>
    <row r="1480" spans="1:3">
      <c r="A1480" s="137"/>
      <c r="B1480" s="136"/>
      <c r="C1480" s="137"/>
    </row>
    <row r="1481" spans="1:3">
      <c r="A1481" s="137"/>
      <c r="B1481" s="136"/>
      <c r="C1481" s="137"/>
    </row>
    <row r="1482" spans="1:3">
      <c r="A1482" s="137"/>
      <c r="B1482" s="136"/>
      <c r="C1482" s="137"/>
    </row>
    <row r="1483" spans="1:3">
      <c r="A1483" s="137"/>
      <c r="B1483" s="136"/>
      <c r="C1483" s="137"/>
    </row>
    <row r="1484" spans="1:3">
      <c r="A1484" s="137"/>
      <c r="B1484" s="136"/>
      <c r="C1484" s="137"/>
    </row>
    <row r="1485" spans="1:3">
      <c r="A1485" s="137"/>
      <c r="B1485" s="136"/>
      <c r="C1485" s="137"/>
    </row>
    <row r="1486" spans="1:3">
      <c r="A1486" s="137"/>
      <c r="B1486" s="136"/>
      <c r="C1486" s="137"/>
    </row>
    <row r="1487" spans="1:3">
      <c r="A1487" s="137"/>
      <c r="B1487" s="136"/>
      <c r="C1487" s="137"/>
    </row>
    <row r="1488" spans="1:3">
      <c r="A1488" s="137"/>
      <c r="B1488" s="136"/>
      <c r="C1488" s="137"/>
    </row>
    <row r="1489" spans="1:3">
      <c r="A1489" s="137"/>
      <c r="B1489" s="136"/>
      <c r="C1489" s="137"/>
    </row>
    <row r="1490" spans="1:3">
      <c r="A1490" s="137"/>
      <c r="B1490" s="136"/>
      <c r="C1490" s="137"/>
    </row>
    <row r="1491" spans="1:3">
      <c r="A1491" s="137"/>
      <c r="B1491" s="136"/>
      <c r="C1491" s="137"/>
    </row>
    <row r="1492" spans="1:3">
      <c r="A1492" s="137"/>
      <c r="B1492" s="136"/>
      <c r="C1492" s="137"/>
    </row>
    <row r="1493" spans="1:3">
      <c r="A1493" s="137"/>
      <c r="B1493" s="136"/>
      <c r="C1493" s="137"/>
    </row>
    <row r="1494" spans="1:3">
      <c r="A1494" s="137"/>
      <c r="B1494" s="136"/>
      <c r="C1494" s="137"/>
    </row>
    <row r="1495" spans="1:3">
      <c r="A1495" s="137"/>
      <c r="B1495" s="136"/>
      <c r="C1495" s="137"/>
    </row>
    <row r="1496" spans="1:3">
      <c r="A1496" s="137"/>
      <c r="B1496" s="136"/>
      <c r="C1496" s="137"/>
    </row>
    <row r="1497" spans="1:3">
      <c r="A1497" s="137"/>
      <c r="B1497" s="136"/>
      <c r="C1497" s="137"/>
    </row>
    <row r="1498" spans="1:3">
      <c r="A1498" s="137"/>
      <c r="B1498" s="136"/>
      <c r="C1498" s="137"/>
    </row>
    <row r="1499" spans="1:3">
      <c r="A1499" s="137"/>
      <c r="B1499" s="136"/>
      <c r="C1499" s="137"/>
    </row>
    <row r="1500" spans="1:3">
      <c r="A1500" s="137"/>
      <c r="B1500" s="136"/>
      <c r="C1500" s="137"/>
    </row>
    <row r="1501" spans="1:3">
      <c r="A1501" s="137"/>
      <c r="B1501" s="136"/>
      <c r="C1501" s="137"/>
    </row>
    <row r="1502" spans="1:3">
      <c r="A1502" s="137"/>
      <c r="B1502" s="136"/>
      <c r="C1502" s="137"/>
    </row>
    <row r="1503" spans="1:3">
      <c r="A1503" s="137"/>
      <c r="B1503" s="136"/>
      <c r="C1503" s="137"/>
    </row>
    <row r="1504" spans="1:3">
      <c r="A1504" s="137"/>
      <c r="B1504" s="136"/>
      <c r="C1504" s="137"/>
    </row>
    <row r="1505" spans="1:3">
      <c r="A1505" s="137"/>
      <c r="B1505" s="136"/>
      <c r="C1505" s="137"/>
    </row>
    <row r="1506" spans="1:3">
      <c r="A1506" s="137"/>
      <c r="B1506" s="136"/>
      <c r="C1506" s="137"/>
    </row>
    <row r="1507" spans="1:3">
      <c r="A1507" s="137"/>
      <c r="B1507" s="136"/>
      <c r="C1507" s="137"/>
    </row>
    <row r="1508" spans="1:3">
      <c r="A1508" s="137"/>
      <c r="B1508" s="136"/>
      <c r="C1508" s="137"/>
    </row>
    <row r="1509" spans="1:3">
      <c r="A1509" s="137"/>
      <c r="B1509" s="136"/>
      <c r="C1509" s="137"/>
    </row>
    <row r="1510" spans="1:3">
      <c r="A1510" s="137"/>
      <c r="B1510" s="136"/>
      <c r="C1510" s="137"/>
    </row>
    <row r="1511" spans="1:3">
      <c r="A1511" s="137"/>
      <c r="B1511" s="136"/>
      <c r="C1511" s="137"/>
    </row>
    <row r="1512" spans="1:3">
      <c r="A1512" s="137"/>
      <c r="B1512" s="136"/>
      <c r="C1512" s="137"/>
    </row>
    <row r="1513" spans="1:3">
      <c r="A1513" s="137"/>
      <c r="B1513" s="136"/>
      <c r="C1513" s="137"/>
    </row>
    <row r="1514" spans="1:3">
      <c r="A1514" s="137"/>
      <c r="B1514" s="136"/>
      <c r="C1514" s="137"/>
    </row>
    <row r="1515" spans="1:3">
      <c r="A1515" s="137"/>
      <c r="B1515" s="136"/>
      <c r="C1515" s="137"/>
    </row>
    <row r="1516" spans="1:3">
      <c r="A1516" s="137"/>
      <c r="B1516" s="136"/>
      <c r="C1516" s="137"/>
    </row>
    <row r="1517" spans="1:3">
      <c r="A1517" s="137"/>
      <c r="B1517" s="136"/>
      <c r="C1517" s="137"/>
    </row>
    <row r="1518" spans="1:3">
      <c r="A1518" s="137"/>
      <c r="B1518" s="136"/>
      <c r="C1518" s="137"/>
    </row>
    <row r="1519" spans="1:3">
      <c r="A1519" s="137"/>
      <c r="B1519" s="136"/>
      <c r="C1519" s="137"/>
    </row>
    <row r="1520" spans="1:3">
      <c r="A1520" s="137"/>
      <c r="B1520" s="136"/>
      <c r="C1520" s="137"/>
    </row>
    <row r="1521" spans="1:3">
      <c r="A1521" s="137"/>
      <c r="B1521" s="136"/>
      <c r="C1521" s="137"/>
    </row>
    <row r="1522" spans="1:3">
      <c r="A1522" s="137"/>
      <c r="B1522" s="136"/>
      <c r="C1522" s="137"/>
    </row>
    <row r="1523" spans="1:3">
      <c r="A1523" s="137"/>
      <c r="B1523" s="136"/>
      <c r="C1523" s="137"/>
    </row>
    <row r="1524" spans="1:3">
      <c r="A1524" s="137"/>
      <c r="B1524" s="136"/>
      <c r="C1524" s="137"/>
    </row>
    <row r="1525" spans="1:3">
      <c r="A1525" s="137"/>
      <c r="B1525" s="136"/>
      <c r="C1525" s="137"/>
    </row>
    <row r="1526" spans="1:3">
      <c r="A1526" s="137"/>
      <c r="B1526" s="136"/>
      <c r="C1526" s="137"/>
    </row>
    <row r="1527" spans="1:3">
      <c r="A1527" s="137"/>
      <c r="B1527" s="136"/>
      <c r="C1527" s="137"/>
    </row>
    <row r="1528" spans="1:3">
      <c r="A1528" s="137"/>
      <c r="B1528" s="136"/>
      <c r="C1528" s="137"/>
    </row>
    <row r="1529" spans="1:3">
      <c r="A1529" s="137"/>
      <c r="B1529" s="136"/>
      <c r="C1529" s="137"/>
    </row>
    <row r="1530" spans="1:3">
      <c r="A1530" s="137"/>
      <c r="B1530" s="136"/>
      <c r="C1530" s="137"/>
    </row>
    <row r="1531" spans="1:3">
      <c r="A1531" s="137"/>
      <c r="B1531" s="136"/>
      <c r="C1531" s="137"/>
    </row>
    <row r="1532" spans="1:3">
      <c r="A1532" s="137"/>
      <c r="B1532" s="136"/>
      <c r="C1532" s="137"/>
    </row>
    <row r="1533" spans="1:3">
      <c r="A1533" s="137"/>
      <c r="B1533" s="136"/>
      <c r="C1533" s="137"/>
    </row>
    <row r="1534" spans="1:3">
      <c r="A1534" s="137"/>
      <c r="B1534" s="136"/>
      <c r="C1534" s="137"/>
    </row>
    <row r="1535" spans="1:3">
      <c r="A1535" s="137"/>
      <c r="B1535" s="136"/>
      <c r="C1535" s="137"/>
    </row>
    <row r="1536" spans="1:3">
      <c r="A1536" s="137"/>
      <c r="B1536" s="136"/>
      <c r="C1536" s="137"/>
    </row>
    <row r="1537" spans="1:3">
      <c r="A1537" s="137"/>
      <c r="B1537" s="136"/>
      <c r="C1537" s="137"/>
    </row>
    <row r="1538" spans="1:3">
      <c r="A1538" s="137"/>
      <c r="B1538" s="136"/>
      <c r="C1538" s="137"/>
    </row>
    <row r="1539" spans="1:3">
      <c r="A1539" s="137"/>
      <c r="B1539" s="136"/>
      <c r="C1539" s="137"/>
    </row>
    <row r="1540" spans="1:3">
      <c r="A1540" s="137"/>
      <c r="B1540" s="136"/>
      <c r="C1540" s="137"/>
    </row>
    <row r="1541" spans="1:3">
      <c r="A1541" s="137"/>
      <c r="B1541" s="136"/>
      <c r="C1541" s="137"/>
    </row>
    <row r="1542" spans="1:3">
      <c r="A1542" s="137"/>
      <c r="B1542" s="136"/>
      <c r="C1542" s="137"/>
    </row>
    <row r="1543" spans="1:3">
      <c r="A1543" s="137"/>
      <c r="B1543" s="136"/>
      <c r="C1543" s="137"/>
    </row>
    <row r="1544" spans="1:3">
      <c r="A1544" s="137"/>
      <c r="B1544" s="136"/>
      <c r="C1544" s="137"/>
    </row>
    <row r="1545" spans="1:3">
      <c r="A1545" s="137"/>
      <c r="B1545" s="136"/>
      <c r="C1545" s="137"/>
    </row>
    <row r="1546" spans="1:3">
      <c r="A1546" s="137"/>
      <c r="B1546" s="136"/>
      <c r="C1546" s="137"/>
    </row>
    <row r="1547" spans="1:3">
      <c r="A1547" s="137"/>
      <c r="B1547" s="136"/>
      <c r="C1547" s="137"/>
    </row>
    <row r="1548" spans="1:3">
      <c r="A1548" s="137"/>
      <c r="B1548" s="136"/>
      <c r="C1548" s="137"/>
    </row>
    <row r="1549" spans="1:3">
      <c r="A1549" s="137"/>
      <c r="B1549" s="136"/>
      <c r="C1549" s="137"/>
    </row>
    <row r="1550" spans="1:3">
      <c r="A1550" s="137"/>
      <c r="B1550" s="136"/>
      <c r="C1550" s="137"/>
    </row>
    <row r="1551" spans="1:3">
      <c r="A1551" s="137"/>
      <c r="B1551" s="136"/>
      <c r="C1551" s="137"/>
    </row>
    <row r="1552" spans="1:3">
      <c r="A1552" s="137"/>
      <c r="B1552" s="136"/>
      <c r="C1552" s="137"/>
    </row>
    <row r="1553" spans="1:3">
      <c r="A1553" s="137"/>
      <c r="B1553" s="136"/>
      <c r="C1553" s="137"/>
    </row>
    <row r="1554" spans="1:3">
      <c r="A1554" s="137"/>
      <c r="B1554" s="136"/>
      <c r="C1554" s="137"/>
    </row>
    <row r="1555" spans="1:3">
      <c r="A1555" s="137"/>
      <c r="B1555" s="136"/>
      <c r="C1555" s="137"/>
    </row>
    <row r="1556" spans="1:3">
      <c r="A1556" s="137"/>
      <c r="B1556" s="136"/>
      <c r="C1556" s="137"/>
    </row>
    <row r="1557" spans="1:3">
      <c r="A1557" s="137"/>
      <c r="B1557" s="136"/>
      <c r="C1557" s="137"/>
    </row>
    <row r="1558" spans="1:3">
      <c r="A1558" s="137"/>
      <c r="B1558" s="136"/>
      <c r="C1558" s="137"/>
    </row>
    <row r="1559" spans="1:3">
      <c r="A1559" s="137"/>
      <c r="B1559" s="136"/>
      <c r="C1559" s="137"/>
    </row>
    <row r="1560" spans="1:3">
      <c r="A1560" s="137"/>
      <c r="B1560" s="136"/>
      <c r="C1560" s="137"/>
    </row>
    <row r="1561" spans="1:3">
      <c r="A1561" s="137"/>
      <c r="B1561" s="136"/>
      <c r="C1561" s="137"/>
    </row>
    <row r="1562" spans="1:3">
      <c r="A1562" s="137"/>
      <c r="B1562" s="136"/>
      <c r="C1562" s="137"/>
    </row>
    <row r="1563" spans="1:3">
      <c r="A1563" s="137"/>
      <c r="B1563" s="136"/>
      <c r="C1563" s="137"/>
    </row>
    <row r="1564" spans="1:3">
      <c r="A1564" s="137"/>
      <c r="B1564" s="136"/>
      <c r="C1564" s="137"/>
    </row>
    <row r="1565" spans="1:3">
      <c r="A1565" s="137"/>
      <c r="B1565" s="136"/>
      <c r="C1565" s="137"/>
    </row>
    <row r="1566" spans="1:3">
      <c r="A1566" s="137"/>
      <c r="B1566" s="136"/>
      <c r="C1566" s="137"/>
    </row>
    <row r="1567" spans="1:3">
      <c r="A1567" s="137"/>
      <c r="B1567" s="136"/>
      <c r="C1567" s="137"/>
    </row>
    <row r="1568" spans="1:3">
      <c r="A1568" s="137"/>
      <c r="B1568" s="136"/>
      <c r="C1568" s="137"/>
    </row>
    <row r="1569" spans="1:3">
      <c r="A1569" s="137"/>
      <c r="B1569" s="136"/>
      <c r="C1569" s="137"/>
    </row>
    <row r="1570" spans="1:3">
      <c r="A1570" s="137"/>
      <c r="B1570" s="136"/>
      <c r="C1570" s="137"/>
    </row>
    <row r="1571" spans="1:3">
      <c r="A1571" s="137"/>
      <c r="B1571" s="136"/>
      <c r="C1571" s="137"/>
    </row>
    <row r="1572" spans="1:3">
      <c r="A1572" s="137"/>
      <c r="B1572" s="136"/>
      <c r="C1572" s="137"/>
    </row>
    <row r="1573" spans="1:3">
      <c r="A1573" s="137"/>
      <c r="B1573" s="136"/>
      <c r="C1573" s="137"/>
    </row>
    <row r="1574" spans="1:3">
      <c r="A1574" s="137"/>
      <c r="B1574" s="136"/>
      <c r="C1574" s="137"/>
    </row>
    <row r="1575" spans="1:3">
      <c r="A1575" s="137"/>
      <c r="B1575" s="136"/>
      <c r="C1575" s="137"/>
    </row>
    <row r="1576" spans="1:3">
      <c r="A1576" s="137"/>
      <c r="B1576" s="136"/>
      <c r="C1576" s="137"/>
    </row>
    <row r="1577" spans="1:3">
      <c r="A1577" s="137"/>
      <c r="B1577" s="136"/>
      <c r="C1577" s="137"/>
    </row>
    <row r="1578" spans="1:3">
      <c r="A1578" s="137"/>
      <c r="B1578" s="136"/>
      <c r="C1578" s="137"/>
    </row>
    <row r="1579" spans="1:3">
      <c r="A1579" s="137"/>
      <c r="B1579" s="136"/>
      <c r="C1579" s="137"/>
    </row>
    <row r="1580" spans="1:3">
      <c r="A1580" s="137"/>
      <c r="B1580" s="136"/>
      <c r="C1580" s="137"/>
    </row>
    <row r="1581" spans="1:3">
      <c r="A1581" s="137"/>
      <c r="B1581" s="136"/>
      <c r="C1581" s="137"/>
    </row>
    <row r="1582" spans="1:3">
      <c r="A1582" s="137"/>
      <c r="B1582" s="136"/>
      <c r="C1582" s="137"/>
    </row>
    <row r="1583" spans="1:3">
      <c r="A1583" s="137"/>
      <c r="B1583" s="136"/>
      <c r="C1583" s="137"/>
    </row>
    <row r="1584" spans="1:3">
      <c r="A1584" s="137"/>
      <c r="B1584" s="136"/>
      <c r="C1584" s="137"/>
    </row>
    <row r="1585" spans="1:3">
      <c r="A1585" s="137"/>
      <c r="B1585" s="136"/>
      <c r="C1585" s="137"/>
    </row>
    <row r="1586" spans="1:3">
      <c r="A1586" s="137"/>
      <c r="B1586" s="136"/>
      <c r="C1586" s="137"/>
    </row>
    <row r="1587" spans="1:3">
      <c r="A1587" s="137"/>
      <c r="B1587" s="136"/>
      <c r="C1587" s="137"/>
    </row>
    <row r="1588" spans="1:3">
      <c r="A1588" s="137"/>
      <c r="B1588" s="136"/>
      <c r="C1588" s="137"/>
    </row>
    <row r="1589" spans="1:3">
      <c r="A1589" s="137"/>
      <c r="B1589" s="136"/>
      <c r="C1589" s="137"/>
    </row>
    <row r="1590" spans="1:3">
      <c r="A1590" s="137"/>
      <c r="B1590" s="136"/>
      <c r="C1590" s="137"/>
    </row>
    <row r="1591" spans="1:3">
      <c r="A1591" s="137"/>
      <c r="B1591" s="136"/>
      <c r="C1591" s="137"/>
    </row>
    <row r="1592" spans="1:3">
      <c r="A1592" s="137"/>
      <c r="B1592" s="136"/>
      <c r="C1592" s="137"/>
    </row>
    <row r="1593" spans="1:3">
      <c r="A1593" s="137"/>
      <c r="B1593" s="136"/>
      <c r="C1593" s="137"/>
    </row>
    <row r="1594" spans="1:3">
      <c r="A1594" s="137"/>
      <c r="B1594" s="136"/>
      <c r="C1594" s="137"/>
    </row>
    <row r="1595" spans="1:3">
      <c r="A1595" s="137"/>
      <c r="B1595" s="136"/>
      <c r="C1595" s="137"/>
    </row>
    <row r="1596" spans="1:3">
      <c r="A1596" s="137"/>
      <c r="B1596" s="136"/>
      <c r="C1596" s="137"/>
    </row>
    <row r="1597" spans="1:3">
      <c r="A1597" s="137"/>
      <c r="B1597" s="136"/>
      <c r="C1597" s="137"/>
    </row>
    <row r="1598" spans="1:3">
      <c r="A1598" s="137"/>
      <c r="B1598" s="136"/>
      <c r="C1598" s="137"/>
    </row>
    <row r="1599" spans="1:3">
      <c r="A1599" s="137"/>
      <c r="B1599" s="136"/>
      <c r="C1599" s="137"/>
    </row>
    <row r="1600" spans="1:3">
      <c r="A1600" s="137"/>
      <c r="B1600" s="136"/>
      <c r="C1600" s="137"/>
    </row>
    <row r="1601" spans="1:3">
      <c r="A1601" s="137"/>
      <c r="B1601" s="136"/>
      <c r="C1601" s="137"/>
    </row>
    <row r="1602" spans="1:3">
      <c r="A1602" s="137"/>
      <c r="B1602" s="136"/>
      <c r="C1602" s="137"/>
    </row>
    <row r="1603" spans="1:3">
      <c r="A1603" s="137"/>
      <c r="B1603" s="136"/>
      <c r="C1603" s="137"/>
    </row>
    <row r="1604" spans="1:3">
      <c r="A1604" s="137"/>
      <c r="B1604" s="136"/>
      <c r="C1604" s="137"/>
    </row>
    <row r="1605" spans="1:3">
      <c r="A1605" s="137"/>
      <c r="B1605" s="136"/>
      <c r="C1605" s="137"/>
    </row>
    <row r="1606" spans="1:3">
      <c r="A1606" s="137"/>
      <c r="B1606" s="136"/>
      <c r="C1606" s="137"/>
    </row>
    <row r="1607" spans="1:3">
      <c r="A1607" s="137"/>
      <c r="B1607" s="136"/>
      <c r="C1607" s="137"/>
    </row>
    <row r="1608" spans="1:3">
      <c r="A1608" s="137"/>
      <c r="B1608" s="136"/>
      <c r="C1608" s="137"/>
    </row>
    <row r="1609" spans="1:3">
      <c r="A1609" s="137"/>
      <c r="B1609" s="136"/>
      <c r="C1609" s="137"/>
    </row>
    <row r="1610" spans="1:3">
      <c r="A1610" s="137"/>
      <c r="B1610" s="136"/>
      <c r="C1610" s="137"/>
    </row>
    <row r="1611" spans="1:3">
      <c r="A1611" s="137"/>
      <c r="B1611" s="136"/>
      <c r="C1611" s="137"/>
    </row>
    <row r="1612" spans="1:3">
      <c r="A1612" s="137"/>
      <c r="B1612" s="136"/>
      <c r="C1612" s="137"/>
    </row>
    <row r="1613" spans="1:3">
      <c r="A1613" s="137"/>
      <c r="B1613" s="136"/>
      <c r="C1613" s="137"/>
    </row>
    <row r="1614" spans="1:3">
      <c r="A1614" s="137"/>
      <c r="B1614" s="136"/>
      <c r="C1614" s="137"/>
    </row>
    <row r="1615" spans="1:3">
      <c r="A1615" s="137"/>
      <c r="B1615" s="136"/>
      <c r="C1615" s="137"/>
    </row>
    <row r="1616" spans="1:3">
      <c r="A1616" s="137"/>
      <c r="B1616" s="136"/>
      <c r="C1616" s="137"/>
    </row>
    <row r="1617" spans="1:3">
      <c r="A1617" s="137"/>
      <c r="B1617" s="136"/>
      <c r="C1617" s="137"/>
    </row>
    <row r="1618" spans="1:3">
      <c r="A1618" s="137"/>
      <c r="B1618" s="136"/>
      <c r="C1618" s="137"/>
    </row>
    <row r="1619" spans="1:3">
      <c r="A1619" s="137"/>
      <c r="B1619" s="136"/>
      <c r="C1619" s="137"/>
    </row>
    <row r="1620" spans="1:3">
      <c r="A1620" s="137"/>
      <c r="B1620" s="136"/>
      <c r="C1620" s="137"/>
    </row>
    <row r="1621" spans="1:3">
      <c r="A1621" s="137"/>
      <c r="B1621" s="136"/>
      <c r="C1621" s="137"/>
    </row>
    <row r="1622" spans="1:3">
      <c r="A1622" s="137"/>
      <c r="B1622" s="136"/>
      <c r="C1622" s="137"/>
    </row>
    <row r="1623" spans="1:3">
      <c r="A1623" s="137"/>
      <c r="B1623" s="136"/>
      <c r="C1623" s="137"/>
    </row>
    <row r="1624" spans="1:3">
      <c r="A1624" s="137"/>
      <c r="B1624" s="136"/>
      <c r="C1624" s="137"/>
    </row>
    <row r="1625" spans="1:3">
      <c r="A1625" s="137"/>
      <c r="B1625" s="136"/>
      <c r="C1625" s="137"/>
    </row>
    <row r="1626" spans="1:3">
      <c r="A1626" s="137"/>
      <c r="B1626" s="136"/>
      <c r="C1626" s="137"/>
    </row>
    <row r="1627" spans="1:3">
      <c r="A1627" s="137"/>
      <c r="B1627" s="136"/>
      <c r="C1627" s="137"/>
    </row>
    <row r="1628" spans="1:3">
      <c r="A1628" s="137"/>
      <c r="B1628" s="136"/>
      <c r="C1628" s="137"/>
    </row>
    <row r="1629" spans="1:3">
      <c r="A1629" s="137"/>
      <c r="B1629" s="136"/>
      <c r="C1629" s="137"/>
    </row>
    <row r="1630" spans="1:3">
      <c r="A1630" s="137"/>
      <c r="B1630" s="136"/>
      <c r="C1630" s="137"/>
    </row>
    <row r="1631" spans="1:3">
      <c r="A1631" s="137"/>
      <c r="B1631" s="136"/>
      <c r="C1631" s="137"/>
    </row>
    <row r="1632" spans="1:3">
      <c r="A1632" s="137"/>
      <c r="B1632" s="136"/>
      <c r="C1632" s="137"/>
    </row>
    <row r="1633" spans="1:3">
      <c r="A1633" s="137"/>
      <c r="B1633" s="136"/>
      <c r="C1633" s="137"/>
    </row>
    <row r="1634" spans="1:3">
      <c r="A1634" s="137"/>
      <c r="B1634" s="136"/>
      <c r="C1634" s="137"/>
    </row>
    <row r="1635" spans="1:3">
      <c r="A1635" s="137"/>
      <c r="B1635" s="136"/>
      <c r="C1635" s="137"/>
    </row>
    <row r="1636" spans="1:3">
      <c r="A1636" s="137"/>
      <c r="B1636" s="136"/>
      <c r="C1636" s="137"/>
    </row>
    <row r="1637" spans="1:3">
      <c r="A1637" s="137"/>
      <c r="B1637" s="136"/>
      <c r="C1637" s="137"/>
    </row>
    <row r="1638" spans="1:3">
      <c r="A1638" s="137"/>
      <c r="B1638" s="136"/>
      <c r="C1638" s="137"/>
    </row>
    <row r="1639" spans="1:3">
      <c r="A1639" s="137"/>
      <c r="B1639" s="136"/>
      <c r="C1639" s="137"/>
    </row>
    <row r="1640" spans="1:3">
      <c r="A1640" s="137"/>
      <c r="B1640" s="136"/>
      <c r="C1640" s="137"/>
    </row>
    <row r="1641" spans="1:3">
      <c r="A1641" s="137"/>
      <c r="B1641" s="136"/>
      <c r="C1641" s="137"/>
    </row>
    <row r="1642" spans="1:3">
      <c r="A1642" s="137"/>
      <c r="B1642" s="136"/>
      <c r="C1642" s="137"/>
    </row>
    <row r="1643" spans="1:3">
      <c r="A1643" s="137"/>
      <c r="B1643" s="136"/>
      <c r="C1643" s="137"/>
    </row>
    <row r="1644" spans="1:3">
      <c r="A1644" s="137"/>
      <c r="B1644" s="136"/>
      <c r="C1644" s="137"/>
    </row>
    <row r="1645" spans="1:3">
      <c r="A1645" s="137"/>
      <c r="B1645" s="136"/>
      <c r="C1645" s="137"/>
    </row>
    <row r="1646" spans="1:3">
      <c r="A1646" s="137"/>
      <c r="B1646" s="136"/>
      <c r="C1646" s="137"/>
    </row>
    <row r="1647" spans="1:3">
      <c r="A1647" s="137"/>
      <c r="B1647" s="136"/>
      <c r="C1647" s="137"/>
    </row>
    <row r="1648" spans="1:3">
      <c r="A1648" s="137"/>
      <c r="B1648" s="136"/>
      <c r="C1648" s="137"/>
    </row>
    <row r="1649" spans="1:3">
      <c r="A1649" s="137"/>
      <c r="B1649" s="136"/>
      <c r="C1649" s="137"/>
    </row>
    <row r="1650" spans="1:3">
      <c r="A1650" s="137"/>
      <c r="B1650" s="136"/>
      <c r="C1650" s="137"/>
    </row>
    <row r="1651" spans="1:3">
      <c r="A1651" s="137"/>
      <c r="B1651" s="136"/>
      <c r="C1651" s="137"/>
    </row>
    <row r="1652" spans="1:3">
      <c r="A1652" s="137"/>
      <c r="B1652" s="136"/>
      <c r="C1652" s="137"/>
    </row>
    <row r="1653" spans="1:3">
      <c r="A1653" s="137"/>
      <c r="B1653" s="136"/>
      <c r="C1653" s="137"/>
    </row>
    <row r="1654" spans="1:3">
      <c r="A1654" s="137"/>
      <c r="B1654" s="136"/>
      <c r="C1654" s="137"/>
    </row>
    <row r="1655" spans="1:3">
      <c r="A1655" s="137"/>
      <c r="B1655" s="136"/>
      <c r="C1655" s="137"/>
    </row>
    <row r="1656" spans="1:3">
      <c r="A1656" s="137"/>
      <c r="B1656" s="136"/>
      <c r="C1656" s="137"/>
    </row>
    <row r="1657" spans="1:3">
      <c r="A1657" s="137"/>
      <c r="B1657" s="136"/>
      <c r="C1657" s="137"/>
    </row>
    <row r="1658" spans="1:3">
      <c r="A1658" s="137"/>
      <c r="B1658" s="136"/>
      <c r="C1658" s="137"/>
    </row>
    <row r="1659" spans="1:3">
      <c r="A1659" s="137"/>
      <c r="B1659" s="136"/>
      <c r="C1659" s="137"/>
    </row>
    <row r="1660" spans="1:3">
      <c r="A1660" s="137"/>
      <c r="B1660" s="136"/>
      <c r="C1660" s="137"/>
    </row>
    <row r="1661" spans="1:3">
      <c r="A1661" s="137"/>
      <c r="B1661" s="136"/>
      <c r="C1661" s="137"/>
    </row>
    <row r="1662" spans="1:3">
      <c r="A1662" s="137"/>
      <c r="B1662" s="136"/>
      <c r="C1662" s="137"/>
    </row>
    <row r="1663" spans="1:3">
      <c r="A1663" s="137"/>
      <c r="B1663" s="136"/>
      <c r="C1663" s="137"/>
    </row>
    <row r="1664" spans="1:3">
      <c r="A1664" s="137"/>
      <c r="B1664" s="136"/>
      <c r="C1664" s="137"/>
    </row>
    <row r="1665" spans="1:3">
      <c r="A1665" s="137"/>
      <c r="B1665" s="136"/>
      <c r="C1665" s="137"/>
    </row>
    <row r="1666" spans="1:3">
      <c r="A1666" s="137"/>
      <c r="B1666" s="136"/>
      <c r="C1666" s="137"/>
    </row>
    <row r="1667" spans="1:3">
      <c r="A1667" s="137"/>
      <c r="B1667" s="136"/>
      <c r="C1667" s="137"/>
    </row>
    <row r="1668" spans="1:3">
      <c r="A1668" s="137"/>
      <c r="B1668" s="136"/>
      <c r="C1668" s="137"/>
    </row>
    <row r="1669" spans="1:3">
      <c r="A1669" s="137"/>
      <c r="B1669" s="136"/>
      <c r="C1669" s="137"/>
    </row>
    <row r="1670" spans="1:3">
      <c r="A1670" s="137"/>
      <c r="B1670" s="136"/>
      <c r="C1670" s="137"/>
    </row>
    <row r="1671" spans="1:3">
      <c r="A1671" s="137"/>
      <c r="B1671" s="136"/>
      <c r="C1671" s="137"/>
    </row>
    <row r="1672" spans="1:3">
      <c r="A1672" s="137"/>
      <c r="B1672" s="136"/>
      <c r="C1672" s="137"/>
    </row>
    <row r="1673" spans="1:3">
      <c r="A1673" s="137"/>
      <c r="B1673" s="136"/>
      <c r="C1673" s="137"/>
    </row>
    <row r="1674" spans="1:3">
      <c r="A1674" s="137"/>
      <c r="B1674" s="136"/>
      <c r="C1674" s="137"/>
    </row>
    <row r="1675" spans="1:3">
      <c r="A1675" s="137"/>
      <c r="B1675" s="136"/>
      <c r="C1675" s="137"/>
    </row>
    <row r="1676" spans="1:3">
      <c r="A1676" s="137"/>
      <c r="B1676" s="136"/>
      <c r="C1676" s="137"/>
    </row>
    <row r="1677" spans="1:3">
      <c r="A1677" s="137"/>
      <c r="B1677" s="136"/>
      <c r="C1677" s="137"/>
    </row>
    <row r="1678" spans="1:3">
      <c r="A1678" s="137"/>
      <c r="B1678" s="136"/>
      <c r="C1678" s="137"/>
    </row>
    <row r="1679" spans="1:3">
      <c r="A1679" s="137"/>
      <c r="B1679" s="136"/>
      <c r="C1679" s="137"/>
    </row>
    <row r="1680" spans="1:3">
      <c r="A1680" s="137"/>
      <c r="B1680" s="136"/>
      <c r="C1680" s="137"/>
    </row>
    <row r="1681" spans="1:3">
      <c r="A1681" s="137"/>
      <c r="B1681" s="136"/>
      <c r="C1681" s="137"/>
    </row>
    <row r="1682" spans="1:3">
      <c r="A1682" s="137"/>
      <c r="B1682" s="136"/>
      <c r="C1682" s="137"/>
    </row>
    <row r="1683" spans="1:3">
      <c r="A1683" s="137"/>
      <c r="B1683" s="136"/>
      <c r="C1683" s="137"/>
    </row>
    <row r="1684" spans="1:3">
      <c r="A1684" s="137"/>
      <c r="B1684" s="136"/>
      <c r="C1684" s="137"/>
    </row>
    <row r="1685" spans="1:3">
      <c r="A1685" s="137"/>
      <c r="B1685" s="136"/>
      <c r="C1685" s="137"/>
    </row>
    <row r="1686" spans="1:3">
      <c r="A1686" s="137"/>
      <c r="B1686" s="136"/>
      <c r="C1686" s="137"/>
    </row>
    <row r="1687" spans="1:3">
      <c r="A1687" s="137"/>
      <c r="B1687" s="136"/>
      <c r="C1687" s="137"/>
    </row>
    <row r="1688" spans="1:3">
      <c r="A1688" s="137"/>
      <c r="B1688" s="136"/>
      <c r="C1688" s="137"/>
    </row>
    <row r="1689" spans="1:3">
      <c r="A1689" s="137"/>
      <c r="B1689" s="136"/>
      <c r="C1689" s="137"/>
    </row>
    <row r="1690" spans="1:3">
      <c r="A1690" s="137"/>
      <c r="B1690" s="136"/>
      <c r="C1690" s="137"/>
    </row>
    <row r="1691" spans="1:3">
      <c r="A1691" s="137"/>
      <c r="B1691" s="136"/>
      <c r="C1691" s="137"/>
    </row>
    <row r="1692" spans="1:3">
      <c r="A1692" s="137"/>
      <c r="B1692" s="136"/>
      <c r="C1692" s="137"/>
    </row>
    <row r="1693" spans="1:3">
      <c r="A1693" s="137"/>
      <c r="B1693" s="136"/>
      <c r="C1693" s="137"/>
    </row>
    <row r="1694" spans="1:3">
      <c r="A1694" s="137"/>
      <c r="B1694" s="136"/>
      <c r="C1694" s="137"/>
    </row>
    <row r="1695" spans="1:3">
      <c r="A1695" s="137"/>
      <c r="B1695" s="136"/>
      <c r="C1695" s="137"/>
    </row>
    <row r="1696" spans="1:3">
      <c r="A1696" s="137"/>
      <c r="B1696" s="136"/>
      <c r="C1696" s="137"/>
    </row>
    <row r="1697" spans="1:3">
      <c r="A1697" s="137"/>
      <c r="B1697" s="136"/>
      <c r="C1697" s="137"/>
    </row>
    <row r="1698" spans="1:3">
      <c r="A1698" s="137"/>
      <c r="B1698" s="136"/>
      <c r="C1698" s="137"/>
    </row>
    <row r="1699" spans="1:3">
      <c r="A1699" s="137"/>
      <c r="B1699" s="136"/>
      <c r="C1699" s="137"/>
    </row>
    <row r="1700" spans="1:3">
      <c r="A1700" s="137"/>
      <c r="B1700" s="136"/>
      <c r="C1700" s="137"/>
    </row>
    <row r="1701" spans="1:3">
      <c r="A1701" s="137"/>
      <c r="B1701" s="136"/>
      <c r="C1701" s="137"/>
    </row>
    <row r="1702" spans="1:3">
      <c r="A1702" s="137"/>
      <c r="B1702" s="136"/>
      <c r="C1702" s="137"/>
    </row>
    <row r="1703" spans="1:3">
      <c r="A1703" s="137"/>
      <c r="B1703" s="136"/>
      <c r="C1703" s="137"/>
    </row>
    <row r="1704" spans="1:3">
      <c r="A1704" s="137"/>
      <c r="B1704" s="136"/>
      <c r="C1704" s="137"/>
    </row>
    <row r="1705" spans="1:3">
      <c r="A1705" s="137"/>
      <c r="B1705" s="136"/>
      <c r="C1705" s="137"/>
    </row>
    <row r="1706" spans="1:3">
      <c r="A1706" s="137"/>
      <c r="B1706" s="136"/>
      <c r="C1706" s="137"/>
    </row>
    <row r="1707" spans="1:3">
      <c r="A1707" s="137"/>
      <c r="B1707" s="136"/>
      <c r="C1707" s="137"/>
    </row>
    <row r="1708" spans="1:3">
      <c r="A1708" s="137"/>
      <c r="B1708" s="136"/>
      <c r="C1708" s="137"/>
    </row>
    <row r="1709" spans="1:3">
      <c r="A1709" s="137"/>
      <c r="B1709" s="136"/>
      <c r="C1709" s="137"/>
    </row>
    <row r="1710" spans="1:3">
      <c r="A1710" s="137"/>
      <c r="B1710" s="136"/>
      <c r="C1710" s="137"/>
    </row>
    <row r="1711" spans="1:3">
      <c r="A1711" s="137"/>
      <c r="B1711" s="136"/>
      <c r="C1711" s="137"/>
    </row>
    <row r="1712" spans="1:3">
      <c r="A1712" s="137"/>
      <c r="B1712" s="136"/>
      <c r="C1712" s="137"/>
    </row>
    <row r="1713" spans="1:3">
      <c r="A1713" s="137"/>
      <c r="B1713" s="136"/>
      <c r="C1713" s="137"/>
    </row>
    <row r="1714" spans="1:3">
      <c r="A1714" s="137"/>
      <c r="B1714" s="136"/>
      <c r="C1714" s="137"/>
    </row>
    <row r="1715" spans="1:3">
      <c r="A1715" s="137"/>
      <c r="B1715" s="136"/>
      <c r="C1715" s="137"/>
    </row>
    <row r="1716" spans="1:3">
      <c r="A1716" s="137"/>
      <c r="B1716" s="136"/>
      <c r="C1716" s="137"/>
    </row>
    <row r="1717" spans="1:3">
      <c r="A1717" s="137"/>
      <c r="B1717" s="136"/>
      <c r="C1717" s="137"/>
    </row>
    <row r="1718" spans="1:3">
      <c r="A1718" s="137"/>
      <c r="B1718" s="136"/>
      <c r="C1718" s="137"/>
    </row>
    <row r="1719" spans="1:3">
      <c r="A1719" s="137"/>
      <c r="B1719" s="136"/>
      <c r="C1719" s="137"/>
    </row>
    <row r="1720" spans="1:3">
      <c r="A1720" s="137"/>
      <c r="B1720" s="136"/>
      <c r="C1720" s="137"/>
    </row>
    <row r="1721" spans="1:3">
      <c r="A1721" s="137"/>
      <c r="B1721" s="136"/>
      <c r="C1721" s="137"/>
    </row>
    <row r="1722" spans="1:3">
      <c r="A1722" s="137"/>
      <c r="B1722" s="136"/>
      <c r="C1722" s="137"/>
    </row>
    <row r="1723" spans="1:3">
      <c r="A1723" s="137"/>
      <c r="B1723" s="136"/>
      <c r="C1723" s="137"/>
    </row>
    <row r="1724" spans="1:3">
      <c r="A1724" s="137"/>
      <c r="B1724" s="136"/>
      <c r="C1724" s="137"/>
    </row>
    <row r="1725" spans="1:3">
      <c r="A1725" s="137"/>
      <c r="B1725" s="136"/>
      <c r="C1725" s="137"/>
    </row>
    <row r="1726" spans="1:3">
      <c r="A1726" s="137"/>
      <c r="B1726" s="136"/>
      <c r="C1726" s="137"/>
    </row>
    <row r="1727" spans="1:3">
      <c r="A1727" s="137"/>
      <c r="B1727" s="136"/>
      <c r="C1727" s="137"/>
    </row>
    <row r="1728" spans="1:3">
      <c r="A1728" s="137"/>
      <c r="B1728" s="136"/>
      <c r="C1728" s="137"/>
    </row>
    <row r="1729" spans="1:3">
      <c r="A1729" s="137"/>
      <c r="B1729" s="136"/>
      <c r="C1729" s="137"/>
    </row>
    <row r="1730" spans="1:3">
      <c r="A1730" s="137"/>
      <c r="B1730" s="136"/>
      <c r="C1730" s="137"/>
    </row>
    <row r="1731" spans="1:3">
      <c r="A1731" s="137"/>
      <c r="B1731" s="136"/>
      <c r="C1731" s="137"/>
    </row>
    <row r="1732" spans="1:3">
      <c r="A1732" s="137"/>
      <c r="B1732" s="136"/>
      <c r="C1732" s="137"/>
    </row>
    <row r="1733" spans="1:3">
      <c r="A1733" s="137"/>
      <c r="B1733" s="136"/>
      <c r="C1733" s="137"/>
    </row>
    <row r="1734" spans="1:3">
      <c r="A1734" s="137"/>
      <c r="B1734" s="136"/>
      <c r="C1734" s="137"/>
    </row>
    <row r="1735" spans="1:3">
      <c r="A1735" s="137"/>
      <c r="B1735" s="136"/>
      <c r="C1735" s="137"/>
    </row>
    <row r="1736" spans="1:3">
      <c r="A1736" s="137"/>
      <c r="B1736" s="136"/>
      <c r="C1736" s="137"/>
    </row>
    <row r="1737" spans="1:3">
      <c r="A1737" s="137"/>
      <c r="B1737" s="136"/>
      <c r="C1737" s="137"/>
    </row>
    <row r="1738" spans="1:3">
      <c r="A1738" s="137"/>
      <c r="B1738" s="136"/>
      <c r="C1738" s="137"/>
    </row>
    <row r="1739" spans="1:3">
      <c r="A1739" s="137"/>
      <c r="B1739" s="136"/>
      <c r="C1739" s="137"/>
    </row>
    <row r="1740" spans="1:3">
      <c r="A1740" s="137"/>
      <c r="B1740" s="136"/>
      <c r="C1740" s="137"/>
    </row>
    <row r="1741" spans="1:3">
      <c r="A1741" s="137"/>
      <c r="B1741" s="136"/>
      <c r="C1741" s="137"/>
    </row>
    <row r="1742" spans="1:3">
      <c r="A1742" s="137"/>
      <c r="B1742" s="136"/>
      <c r="C1742" s="137"/>
    </row>
    <row r="1743" spans="1:3">
      <c r="A1743" s="137"/>
      <c r="B1743" s="136"/>
      <c r="C1743" s="137"/>
    </row>
    <row r="1744" spans="1:3">
      <c r="A1744" s="137"/>
      <c r="B1744" s="136"/>
      <c r="C1744" s="137"/>
    </row>
    <row r="1745" spans="1:3">
      <c r="A1745" s="137"/>
      <c r="B1745" s="136"/>
      <c r="C1745" s="137"/>
    </row>
    <row r="1746" spans="1:3">
      <c r="A1746" s="137"/>
      <c r="B1746" s="136"/>
      <c r="C1746" s="137"/>
    </row>
    <row r="1747" spans="1:3">
      <c r="A1747" s="137"/>
      <c r="B1747" s="136"/>
      <c r="C1747" s="137"/>
    </row>
    <row r="1748" spans="1:3">
      <c r="A1748" s="137"/>
      <c r="B1748" s="136"/>
      <c r="C1748" s="137"/>
    </row>
    <row r="1749" spans="1:3">
      <c r="A1749" s="137"/>
      <c r="B1749" s="136"/>
      <c r="C1749" s="137"/>
    </row>
    <row r="1750" spans="1:3">
      <c r="A1750" s="137"/>
      <c r="B1750" s="136"/>
      <c r="C1750" s="137"/>
    </row>
    <row r="1751" spans="1:3">
      <c r="A1751" s="137"/>
      <c r="B1751" s="136"/>
      <c r="C1751" s="137"/>
    </row>
    <row r="1752" spans="1:3">
      <c r="A1752" s="137"/>
      <c r="B1752" s="136"/>
      <c r="C1752" s="137"/>
    </row>
    <row r="1753" spans="1:3">
      <c r="A1753" s="137"/>
      <c r="B1753" s="136"/>
      <c r="C1753" s="137"/>
    </row>
    <row r="1754" spans="1:3">
      <c r="A1754" s="137"/>
      <c r="B1754" s="136"/>
      <c r="C1754" s="137"/>
    </row>
    <row r="1755" spans="1:3">
      <c r="A1755" s="137"/>
      <c r="B1755" s="136"/>
      <c r="C1755" s="137"/>
    </row>
    <row r="1756" spans="1:3">
      <c r="A1756" s="137"/>
      <c r="B1756" s="136"/>
      <c r="C1756" s="137"/>
    </row>
    <row r="1757" spans="1:3">
      <c r="A1757" s="137"/>
      <c r="B1757" s="136"/>
      <c r="C1757" s="137"/>
    </row>
    <row r="1758" spans="1:3">
      <c r="A1758" s="137"/>
      <c r="B1758" s="136"/>
      <c r="C1758" s="137"/>
    </row>
    <row r="1759" spans="1:3">
      <c r="A1759" s="137"/>
      <c r="B1759" s="136"/>
      <c r="C1759" s="137"/>
    </row>
    <row r="1760" spans="1:3">
      <c r="A1760" s="137"/>
      <c r="B1760" s="136"/>
      <c r="C1760" s="137"/>
    </row>
    <row r="1761" spans="1:3">
      <c r="A1761" s="137"/>
      <c r="B1761" s="136"/>
      <c r="C1761" s="137"/>
    </row>
    <row r="1762" spans="1:3">
      <c r="A1762" s="137"/>
      <c r="B1762" s="136"/>
      <c r="C1762" s="137"/>
    </row>
    <row r="1763" spans="1:3">
      <c r="A1763" s="137"/>
      <c r="B1763" s="136"/>
      <c r="C1763" s="137"/>
    </row>
    <row r="1764" spans="1:3">
      <c r="A1764" s="137"/>
      <c r="B1764" s="136"/>
      <c r="C1764" s="137"/>
    </row>
    <row r="1765" spans="1:3">
      <c r="A1765" s="137"/>
      <c r="B1765" s="136"/>
      <c r="C1765" s="137"/>
    </row>
    <row r="1766" spans="1:3">
      <c r="A1766" s="137"/>
      <c r="B1766" s="136"/>
      <c r="C1766" s="137"/>
    </row>
    <row r="1767" spans="1:3">
      <c r="A1767" s="137"/>
      <c r="B1767" s="136"/>
      <c r="C1767" s="137"/>
    </row>
    <row r="1768" spans="1:3">
      <c r="A1768" s="137"/>
      <c r="B1768" s="136"/>
      <c r="C1768" s="137"/>
    </row>
    <row r="1769" spans="1:3">
      <c r="A1769" s="137"/>
      <c r="B1769" s="136"/>
      <c r="C1769" s="137"/>
    </row>
    <row r="1770" spans="1:3">
      <c r="A1770" s="137"/>
      <c r="B1770" s="136"/>
      <c r="C1770" s="137"/>
    </row>
    <row r="1771" spans="1:3">
      <c r="A1771" s="137"/>
      <c r="B1771" s="136"/>
      <c r="C1771" s="137"/>
    </row>
    <row r="1772" spans="1:3">
      <c r="A1772" s="137"/>
      <c r="B1772" s="136"/>
      <c r="C1772" s="137"/>
    </row>
    <row r="1773" spans="1:3">
      <c r="A1773" s="137"/>
      <c r="B1773" s="136"/>
      <c r="C1773" s="137"/>
    </row>
    <row r="1774" spans="1:3">
      <c r="A1774" s="137"/>
      <c r="B1774" s="136"/>
      <c r="C1774" s="137"/>
    </row>
    <row r="1775" spans="1:3">
      <c r="A1775" s="137"/>
      <c r="B1775" s="136"/>
      <c r="C1775" s="137"/>
    </row>
    <row r="1776" spans="1:3">
      <c r="A1776" s="137"/>
      <c r="B1776" s="136"/>
      <c r="C1776" s="137"/>
    </row>
    <row r="1777" spans="1:3">
      <c r="A1777" s="137"/>
      <c r="B1777" s="136"/>
      <c r="C1777" s="137"/>
    </row>
    <row r="1778" spans="1:3">
      <c r="A1778" s="137"/>
      <c r="B1778" s="136"/>
      <c r="C1778" s="137"/>
    </row>
    <row r="1779" spans="1:3">
      <c r="A1779" s="137"/>
      <c r="B1779" s="136"/>
      <c r="C1779" s="137"/>
    </row>
    <row r="1780" spans="1:3">
      <c r="A1780" s="137"/>
      <c r="B1780" s="136"/>
      <c r="C1780" s="137"/>
    </row>
    <row r="1781" spans="1:3">
      <c r="A1781" s="137"/>
      <c r="B1781" s="136"/>
      <c r="C1781" s="137"/>
    </row>
    <row r="1782" spans="1:3">
      <c r="A1782" s="137"/>
      <c r="B1782" s="136"/>
      <c r="C1782" s="137"/>
    </row>
    <row r="1783" spans="1:3">
      <c r="A1783" s="137"/>
      <c r="B1783" s="136"/>
      <c r="C1783" s="137"/>
    </row>
    <row r="1784" spans="1:3">
      <c r="A1784" s="137"/>
      <c r="B1784" s="136"/>
      <c r="C1784" s="137"/>
    </row>
    <row r="1785" spans="1:3">
      <c r="A1785" s="137"/>
      <c r="B1785" s="136"/>
      <c r="C1785" s="137"/>
    </row>
    <row r="1786" spans="1:3">
      <c r="A1786" s="137"/>
      <c r="B1786" s="136"/>
      <c r="C1786" s="137"/>
    </row>
    <row r="1787" spans="1:3">
      <c r="A1787" s="137"/>
      <c r="B1787" s="136"/>
      <c r="C1787" s="137"/>
    </row>
    <row r="1788" spans="1:3">
      <c r="A1788" s="137"/>
      <c r="B1788" s="136"/>
      <c r="C1788" s="137"/>
    </row>
    <row r="1789" spans="1:3">
      <c r="A1789" s="137"/>
      <c r="B1789" s="136"/>
      <c r="C1789" s="137"/>
    </row>
    <row r="1790" spans="1:3">
      <c r="A1790" s="137"/>
      <c r="B1790" s="136"/>
      <c r="C1790" s="137"/>
    </row>
    <row r="1791" spans="1:3">
      <c r="A1791" s="137"/>
      <c r="B1791" s="136"/>
      <c r="C1791" s="137"/>
    </row>
    <row r="1792" spans="1:3">
      <c r="A1792" s="137"/>
      <c r="B1792" s="136"/>
      <c r="C1792" s="137"/>
    </row>
    <row r="1793" spans="1:3">
      <c r="A1793" s="137"/>
      <c r="B1793" s="136"/>
      <c r="C1793" s="137"/>
    </row>
    <row r="1794" spans="1:3">
      <c r="A1794" s="137"/>
      <c r="B1794" s="136"/>
      <c r="C1794" s="137"/>
    </row>
    <row r="1795" spans="1:3">
      <c r="A1795" s="137"/>
      <c r="B1795" s="136"/>
      <c r="C1795" s="137"/>
    </row>
    <row r="1796" spans="1:3">
      <c r="A1796" s="137"/>
      <c r="B1796" s="136"/>
      <c r="C1796" s="137"/>
    </row>
    <row r="1797" spans="1:3">
      <c r="A1797" s="137"/>
      <c r="B1797" s="136"/>
      <c r="C1797" s="137"/>
    </row>
    <row r="1798" spans="1:3">
      <c r="A1798" s="137"/>
      <c r="B1798" s="136"/>
      <c r="C1798" s="137"/>
    </row>
    <row r="1799" spans="1:3">
      <c r="A1799" s="137"/>
      <c r="B1799" s="136"/>
      <c r="C1799" s="137"/>
    </row>
    <row r="1800" spans="1:3">
      <c r="A1800" s="137"/>
      <c r="B1800" s="136"/>
      <c r="C1800" s="137"/>
    </row>
    <row r="1801" spans="1:3">
      <c r="A1801" s="137"/>
      <c r="B1801" s="136"/>
      <c r="C1801" s="137"/>
    </row>
    <row r="1802" spans="1:3">
      <c r="A1802" s="137"/>
      <c r="B1802" s="136"/>
      <c r="C1802" s="137"/>
    </row>
    <row r="1803" spans="1:3">
      <c r="A1803" s="137"/>
      <c r="B1803" s="136"/>
      <c r="C1803" s="137"/>
    </row>
    <row r="1804" spans="1:3">
      <c r="A1804" s="137"/>
      <c r="B1804" s="136"/>
      <c r="C1804" s="137"/>
    </row>
    <row r="1805" spans="1:3">
      <c r="A1805" s="137"/>
      <c r="B1805" s="136"/>
      <c r="C1805" s="137"/>
    </row>
    <row r="1806" spans="1:3">
      <c r="A1806" s="137"/>
      <c r="B1806" s="136"/>
      <c r="C1806" s="137"/>
    </row>
    <row r="1807" spans="1:3">
      <c r="A1807" s="137"/>
      <c r="B1807" s="136"/>
      <c r="C1807" s="137"/>
    </row>
    <row r="1808" spans="1:3">
      <c r="A1808" s="137"/>
      <c r="B1808" s="136"/>
      <c r="C1808" s="137"/>
    </row>
    <row r="1809" spans="1:3">
      <c r="A1809" s="137"/>
      <c r="B1809" s="136"/>
      <c r="C1809" s="137"/>
    </row>
    <row r="1810" spans="1:3">
      <c r="A1810" s="137"/>
      <c r="B1810" s="136"/>
      <c r="C1810" s="137"/>
    </row>
    <row r="1811" spans="1:3">
      <c r="A1811" s="137"/>
      <c r="B1811" s="136"/>
      <c r="C1811" s="137"/>
    </row>
    <row r="1812" spans="1:3">
      <c r="A1812" s="137"/>
      <c r="B1812" s="136"/>
      <c r="C1812" s="137"/>
    </row>
    <row r="1813" spans="1:3">
      <c r="A1813" s="137"/>
      <c r="B1813" s="136"/>
      <c r="C1813" s="137"/>
    </row>
    <row r="1814" spans="1:3">
      <c r="A1814" s="137"/>
      <c r="B1814" s="136"/>
      <c r="C1814" s="137"/>
    </row>
    <row r="1815" spans="1:3">
      <c r="A1815" s="137"/>
      <c r="B1815" s="136"/>
      <c r="C1815" s="137"/>
    </row>
    <row r="1816" spans="1:3">
      <c r="A1816" s="137"/>
      <c r="B1816" s="136"/>
      <c r="C1816" s="137"/>
    </row>
    <row r="1817" spans="1:3">
      <c r="A1817" s="137"/>
      <c r="B1817" s="136"/>
      <c r="C1817" s="137"/>
    </row>
    <row r="1818" spans="1:3">
      <c r="A1818" s="137"/>
      <c r="B1818" s="136"/>
      <c r="C1818" s="137"/>
    </row>
    <row r="1819" spans="1:3">
      <c r="A1819" s="137"/>
      <c r="B1819" s="136"/>
      <c r="C1819" s="137"/>
    </row>
    <row r="1820" spans="1:3">
      <c r="A1820" s="137"/>
      <c r="B1820" s="136"/>
      <c r="C1820" s="137"/>
    </row>
    <row r="1821" spans="1:3">
      <c r="A1821" s="137"/>
      <c r="B1821" s="136"/>
      <c r="C1821" s="137"/>
    </row>
    <row r="1822" spans="1:3">
      <c r="A1822" s="137"/>
      <c r="B1822" s="136"/>
      <c r="C1822" s="137"/>
    </row>
    <row r="1823" spans="1:3">
      <c r="A1823" s="137"/>
      <c r="B1823" s="136"/>
      <c r="C1823" s="137"/>
    </row>
    <row r="1824" spans="1:3">
      <c r="A1824" s="137"/>
      <c r="B1824" s="136"/>
      <c r="C1824" s="137"/>
    </row>
    <row r="1825" spans="1:3">
      <c r="A1825" s="137"/>
      <c r="B1825" s="136"/>
      <c r="C1825" s="137"/>
    </row>
    <row r="1826" spans="1:3">
      <c r="A1826" s="137"/>
      <c r="B1826" s="136"/>
      <c r="C1826" s="137"/>
    </row>
    <row r="1827" spans="1:3">
      <c r="A1827" s="137"/>
      <c r="B1827" s="136"/>
      <c r="C1827" s="137"/>
    </row>
    <row r="1828" spans="1:3">
      <c r="A1828" s="137"/>
      <c r="B1828" s="136"/>
      <c r="C1828" s="137"/>
    </row>
    <row r="1829" spans="1:3">
      <c r="A1829" s="137"/>
      <c r="B1829" s="136"/>
      <c r="C1829" s="137"/>
    </row>
    <row r="1830" spans="1:3">
      <c r="A1830" s="137"/>
      <c r="B1830" s="136"/>
      <c r="C1830" s="137"/>
    </row>
    <row r="1831" spans="1:3">
      <c r="A1831" s="137"/>
      <c r="B1831" s="136"/>
      <c r="C1831" s="137"/>
    </row>
    <row r="1832" spans="1:3">
      <c r="A1832" s="137"/>
      <c r="B1832" s="136"/>
      <c r="C1832" s="137"/>
    </row>
    <row r="1833" spans="1:3">
      <c r="A1833" s="137"/>
      <c r="B1833" s="136"/>
      <c r="C1833" s="137"/>
    </row>
    <row r="1834" spans="1:3">
      <c r="A1834" s="137"/>
      <c r="B1834" s="136"/>
      <c r="C1834" s="137"/>
    </row>
    <row r="1835" spans="1:3">
      <c r="A1835" s="137"/>
      <c r="B1835" s="136"/>
      <c r="C1835" s="137"/>
    </row>
    <row r="1836" spans="1:3">
      <c r="A1836" s="137"/>
      <c r="B1836" s="136"/>
      <c r="C1836" s="137"/>
    </row>
    <row r="1837" spans="1:3">
      <c r="A1837" s="137"/>
      <c r="B1837" s="136"/>
      <c r="C1837" s="137"/>
    </row>
    <row r="1838" spans="1:3">
      <c r="A1838" s="137"/>
      <c r="B1838" s="136"/>
      <c r="C1838" s="137"/>
    </row>
    <row r="1839" spans="1:3">
      <c r="A1839" s="137"/>
      <c r="B1839" s="136"/>
      <c r="C1839" s="137"/>
    </row>
    <row r="1840" spans="1:3">
      <c r="A1840" s="137"/>
      <c r="B1840" s="136"/>
      <c r="C1840" s="137"/>
    </row>
    <row r="1841" spans="1:3">
      <c r="A1841" s="137"/>
      <c r="B1841" s="136"/>
      <c r="C1841" s="137"/>
    </row>
    <row r="1842" spans="1:3">
      <c r="A1842" s="137"/>
      <c r="B1842" s="136"/>
      <c r="C1842" s="137"/>
    </row>
    <row r="1843" spans="1:3">
      <c r="A1843" s="137"/>
      <c r="B1843" s="136"/>
      <c r="C1843" s="137"/>
    </row>
    <row r="1844" spans="1:3">
      <c r="A1844" s="137"/>
      <c r="B1844" s="136"/>
      <c r="C1844" s="137"/>
    </row>
    <row r="1845" spans="1:3">
      <c r="A1845" s="137"/>
      <c r="B1845" s="136"/>
      <c r="C1845" s="137"/>
    </row>
    <row r="1846" spans="1:3">
      <c r="A1846" s="137"/>
      <c r="B1846" s="136"/>
      <c r="C1846" s="137"/>
    </row>
    <row r="1847" spans="1:3">
      <c r="A1847" s="137"/>
      <c r="B1847" s="136"/>
      <c r="C1847" s="137"/>
    </row>
    <row r="1848" spans="1:3">
      <c r="A1848" s="137"/>
      <c r="B1848" s="136"/>
      <c r="C1848" s="137"/>
    </row>
    <row r="1849" spans="1:3">
      <c r="A1849" s="137"/>
      <c r="B1849" s="136"/>
      <c r="C1849" s="137"/>
    </row>
    <row r="1850" spans="1:3">
      <c r="A1850" s="137"/>
      <c r="B1850" s="136"/>
      <c r="C1850" s="137"/>
    </row>
    <row r="1851" spans="1:3">
      <c r="A1851" s="137"/>
      <c r="B1851" s="136"/>
      <c r="C1851" s="137"/>
    </row>
    <row r="1852" spans="1:3">
      <c r="A1852" s="137"/>
      <c r="B1852" s="136"/>
      <c r="C1852" s="137"/>
    </row>
    <row r="1853" spans="1:3">
      <c r="A1853" s="137"/>
      <c r="B1853" s="136"/>
      <c r="C1853" s="137"/>
    </row>
    <row r="1854" spans="1:3">
      <c r="A1854" s="137"/>
      <c r="B1854" s="136"/>
      <c r="C1854" s="137"/>
    </row>
    <row r="1855" spans="1:3">
      <c r="A1855" s="137"/>
      <c r="B1855" s="136"/>
      <c r="C1855" s="137"/>
    </row>
    <row r="1856" spans="1:3">
      <c r="A1856" s="137"/>
      <c r="B1856" s="136"/>
      <c r="C1856" s="137"/>
    </row>
    <row r="1857" spans="1:3">
      <c r="A1857" s="137"/>
      <c r="B1857" s="136"/>
      <c r="C1857" s="137"/>
    </row>
    <row r="1858" spans="1:3">
      <c r="A1858" s="137"/>
      <c r="B1858" s="136"/>
      <c r="C1858" s="137"/>
    </row>
    <row r="1859" spans="1:3">
      <c r="A1859" s="137"/>
      <c r="B1859" s="136"/>
      <c r="C1859" s="137"/>
    </row>
    <row r="1860" spans="1:3">
      <c r="A1860" s="137"/>
      <c r="B1860" s="136"/>
      <c r="C1860" s="137"/>
    </row>
    <row r="1861" spans="1:3">
      <c r="A1861" s="137"/>
      <c r="B1861" s="136"/>
      <c r="C1861" s="137"/>
    </row>
    <row r="1862" spans="1:3">
      <c r="A1862" s="137"/>
      <c r="B1862" s="136"/>
      <c r="C1862" s="137"/>
    </row>
    <row r="1863" spans="1:3">
      <c r="A1863" s="137"/>
      <c r="B1863" s="136"/>
      <c r="C1863" s="137"/>
    </row>
    <row r="1864" spans="1:3">
      <c r="A1864" s="137"/>
      <c r="B1864" s="136"/>
      <c r="C1864" s="137"/>
    </row>
    <row r="1865" spans="1:3">
      <c r="A1865" s="137"/>
      <c r="B1865" s="136"/>
      <c r="C1865" s="137"/>
    </row>
    <row r="1866" spans="1:3">
      <c r="A1866" s="137"/>
      <c r="B1866" s="136"/>
      <c r="C1866" s="137"/>
    </row>
    <row r="1867" spans="1:3">
      <c r="A1867" s="137"/>
      <c r="B1867" s="136"/>
      <c r="C1867" s="137"/>
    </row>
    <row r="1868" spans="1:3">
      <c r="A1868" s="137"/>
      <c r="B1868" s="136"/>
      <c r="C1868" s="137"/>
    </row>
    <row r="1869" spans="1:3">
      <c r="A1869" s="137"/>
      <c r="B1869" s="136"/>
      <c r="C1869" s="137"/>
    </row>
    <row r="1870" spans="1:3">
      <c r="A1870" s="137"/>
      <c r="B1870" s="136"/>
      <c r="C1870" s="137"/>
    </row>
    <row r="1871" spans="1:3">
      <c r="A1871" s="137"/>
      <c r="B1871" s="136"/>
      <c r="C1871" s="137"/>
    </row>
    <row r="1872" spans="1:3">
      <c r="A1872" s="137"/>
      <c r="B1872" s="136"/>
      <c r="C1872" s="137"/>
    </row>
    <row r="1873" spans="1:3">
      <c r="A1873" s="137"/>
      <c r="B1873" s="136"/>
      <c r="C1873" s="137"/>
    </row>
    <row r="1874" spans="1:3">
      <c r="A1874" s="137"/>
      <c r="B1874" s="136"/>
      <c r="C1874" s="137"/>
    </row>
    <row r="1875" spans="1:3">
      <c r="A1875" s="137"/>
      <c r="B1875" s="136"/>
      <c r="C1875" s="137"/>
    </row>
    <row r="1876" spans="1:3">
      <c r="A1876" s="137"/>
      <c r="B1876" s="136"/>
      <c r="C1876" s="137"/>
    </row>
    <row r="1877" spans="1:3">
      <c r="A1877" s="137"/>
      <c r="B1877" s="136"/>
      <c r="C1877" s="137"/>
    </row>
    <row r="1878" spans="1:3">
      <c r="A1878" s="137"/>
      <c r="B1878" s="136"/>
      <c r="C1878" s="137"/>
    </row>
    <row r="1879" spans="1:3">
      <c r="A1879" s="137"/>
      <c r="B1879" s="136"/>
      <c r="C1879" s="137"/>
    </row>
    <row r="1880" spans="1:3">
      <c r="A1880" s="137"/>
      <c r="B1880" s="136"/>
      <c r="C1880" s="137"/>
    </row>
    <row r="1881" spans="1:3">
      <c r="A1881" s="137"/>
      <c r="B1881" s="136"/>
      <c r="C1881" s="137"/>
    </row>
    <row r="1882" spans="1:3">
      <c r="A1882" s="137"/>
      <c r="B1882" s="136"/>
      <c r="C1882" s="137"/>
    </row>
    <row r="1883" spans="1:3">
      <c r="A1883" s="137"/>
      <c r="B1883" s="136"/>
      <c r="C1883" s="137"/>
    </row>
    <row r="1884" spans="1:3">
      <c r="A1884" s="137"/>
      <c r="B1884" s="136"/>
      <c r="C1884" s="137"/>
    </row>
    <row r="1885" spans="1:3">
      <c r="A1885" s="137"/>
      <c r="B1885" s="136"/>
      <c r="C1885" s="137"/>
    </row>
    <row r="1886" spans="1:3">
      <c r="A1886" s="137"/>
      <c r="B1886" s="136"/>
      <c r="C1886" s="137"/>
    </row>
    <row r="1887" spans="1:3">
      <c r="A1887" s="137"/>
      <c r="B1887" s="136"/>
      <c r="C1887" s="137"/>
    </row>
    <row r="1888" spans="1:3">
      <c r="A1888" s="137"/>
      <c r="B1888" s="136"/>
      <c r="C1888" s="137"/>
    </row>
    <row r="1889" spans="1:3">
      <c r="A1889" s="137"/>
      <c r="B1889" s="136"/>
      <c r="C1889" s="137"/>
    </row>
    <row r="1890" spans="1:3">
      <c r="A1890" s="137"/>
      <c r="B1890" s="136"/>
      <c r="C1890" s="137"/>
    </row>
    <row r="1891" spans="1:3">
      <c r="A1891" s="137"/>
      <c r="B1891" s="136"/>
      <c r="C1891" s="137"/>
    </row>
    <row r="1892" spans="1:3">
      <c r="A1892" s="137"/>
      <c r="B1892" s="136"/>
      <c r="C1892" s="137"/>
    </row>
    <row r="1893" spans="1:3">
      <c r="A1893" s="137"/>
      <c r="B1893" s="136"/>
      <c r="C1893" s="137"/>
    </row>
    <row r="1894" spans="1:3">
      <c r="A1894" s="137"/>
      <c r="B1894" s="136"/>
      <c r="C1894" s="137"/>
    </row>
    <row r="1895" spans="1:3">
      <c r="A1895" s="137"/>
      <c r="B1895" s="136"/>
      <c r="C1895" s="137"/>
    </row>
    <row r="1896" spans="1:3">
      <c r="A1896" s="137"/>
      <c r="B1896" s="136"/>
      <c r="C1896" s="137"/>
    </row>
    <row r="1897" spans="1:3">
      <c r="A1897" s="137"/>
      <c r="B1897" s="136"/>
      <c r="C1897" s="137"/>
    </row>
    <row r="1898" spans="1:3">
      <c r="A1898" s="137"/>
      <c r="B1898" s="136"/>
      <c r="C1898" s="137"/>
    </row>
    <row r="1899" spans="1:3">
      <c r="A1899" s="137"/>
      <c r="B1899" s="136"/>
      <c r="C1899" s="137"/>
    </row>
    <row r="1900" spans="1:3">
      <c r="A1900" s="137"/>
      <c r="B1900" s="136"/>
      <c r="C1900" s="137"/>
    </row>
    <row r="1901" spans="1:3">
      <c r="A1901" s="137"/>
      <c r="B1901" s="136"/>
      <c r="C1901" s="137"/>
    </row>
    <row r="1902" spans="1:3">
      <c r="A1902" s="137"/>
      <c r="B1902" s="136"/>
      <c r="C1902" s="137"/>
    </row>
    <row r="1903" spans="1:3">
      <c r="A1903" s="137"/>
      <c r="B1903" s="136"/>
      <c r="C1903" s="137"/>
    </row>
    <row r="1904" spans="1:3">
      <c r="A1904" s="137"/>
      <c r="B1904" s="136"/>
      <c r="C1904" s="137"/>
    </row>
    <row r="1905" spans="1:3">
      <c r="A1905" s="137"/>
      <c r="B1905" s="136"/>
      <c r="C1905" s="137"/>
    </row>
    <row r="1906" spans="1:3">
      <c r="A1906" s="137"/>
      <c r="B1906" s="136"/>
      <c r="C1906" s="137"/>
    </row>
    <row r="1907" spans="1:3">
      <c r="A1907" s="137"/>
      <c r="B1907" s="136"/>
      <c r="C1907" s="137"/>
    </row>
    <row r="1908" spans="1:3">
      <c r="A1908" s="137"/>
      <c r="B1908" s="136"/>
      <c r="C1908" s="137"/>
    </row>
    <row r="1909" spans="1:3">
      <c r="A1909" s="137"/>
      <c r="B1909" s="136"/>
      <c r="C1909" s="137"/>
    </row>
    <row r="1910" spans="1:3">
      <c r="A1910" s="137"/>
      <c r="B1910" s="136"/>
      <c r="C1910" s="137"/>
    </row>
    <row r="1911" spans="1:3">
      <c r="A1911" s="137"/>
      <c r="B1911" s="136"/>
      <c r="C1911" s="137"/>
    </row>
    <row r="1912" spans="1:3">
      <c r="A1912" s="137"/>
      <c r="B1912" s="136"/>
      <c r="C1912" s="137"/>
    </row>
    <row r="1913" spans="1:3">
      <c r="A1913" s="137"/>
      <c r="B1913" s="136"/>
      <c r="C1913" s="137"/>
    </row>
    <row r="1914" spans="1:3">
      <c r="A1914" s="137"/>
      <c r="B1914" s="136"/>
      <c r="C1914" s="137"/>
    </row>
    <row r="1915" spans="1:3">
      <c r="A1915" s="137"/>
      <c r="B1915" s="136"/>
      <c r="C1915" s="137"/>
    </row>
    <row r="1916" spans="1:3">
      <c r="A1916" s="137"/>
      <c r="B1916" s="136"/>
      <c r="C1916" s="137"/>
    </row>
    <row r="1917" spans="1:3">
      <c r="A1917" s="137"/>
      <c r="B1917" s="136"/>
      <c r="C1917" s="137"/>
    </row>
    <row r="1918" spans="1:3">
      <c r="A1918" s="137"/>
      <c r="B1918" s="136"/>
      <c r="C1918" s="137"/>
    </row>
    <row r="1919" spans="1:3">
      <c r="A1919" s="137"/>
      <c r="B1919" s="136"/>
      <c r="C1919" s="137"/>
    </row>
    <row r="1920" spans="1:3">
      <c r="A1920" s="137"/>
      <c r="B1920" s="136"/>
      <c r="C1920" s="137"/>
    </row>
    <row r="1921" spans="1:3">
      <c r="A1921" s="137"/>
      <c r="B1921" s="136"/>
      <c r="C1921" s="137"/>
    </row>
    <row r="1922" spans="1:3">
      <c r="A1922" s="137"/>
      <c r="B1922" s="136"/>
      <c r="C1922" s="137"/>
    </row>
    <row r="1923" spans="1:3">
      <c r="A1923" s="137"/>
      <c r="B1923" s="136"/>
      <c r="C1923" s="137"/>
    </row>
    <row r="1924" spans="1:3">
      <c r="A1924" s="137"/>
      <c r="B1924" s="136"/>
      <c r="C1924" s="137"/>
    </row>
    <row r="1925" spans="1:3">
      <c r="A1925" s="137"/>
      <c r="B1925" s="136"/>
      <c r="C1925" s="137"/>
    </row>
    <row r="1926" spans="1:3">
      <c r="A1926" s="137"/>
      <c r="B1926" s="136"/>
      <c r="C1926" s="137"/>
    </row>
    <row r="1927" spans="1:3">
      <c r="A1927" s="137"/>
      <c r="B1927" s="136"/>
      <c r="C1927" s="137"/>
    </row>
    <row r="1928" spans="1:3">
      <c r="A1928" s="137"/>
      <c r="B1928" s="136"/>
      <c r="C1928" s="137"/>
    </row>
    <row r="1929" spans="1:3">
      <c r="A1929" s="137"/>
      <c r="B1929" s="136"/>
      <c r="C1929" s="137"/>
    </row>
    <row r="1930" spans="1:3">
      <c r="A1930" s="137"/>
      <c r="B1930" s="136"/>
      <c r="C1930" s="137"/>
    </row>
    <row r="1931" spans="1:3">
      <c r="A1931" s="137"/>
      <c r="B1931" s="136"/>
      <c r="C1931" s="137"/>
    </row>
    <row r="1932" spans="1:3">
      <c r="A1932" s="137"/>
      <c r="B1932" s="136"/>
      <c r="C1932" s="137"/>
    </row>
    <row r="1933" spans="1:3">
      <c r="A1933" s="137"/>
      <c r="B1933" s="136"/>
      <c r="C1933" s="137"/>
    </row>
    <row r="1934" spans="1:3">
      <c r="A1934" s="137"/>
      <c r="B1934" s="136"/>
      <c r="C1934" s="137"/>
    </row>
    <row r="1935" spans="1:3">
      <c r="A1935" s="137"/>
      <c r="B1935" s="136"/>
      <c r="C1935" s="137"/>
    </row>
    <row r="1936" spans="1:3">
      <c r="A1936" s="137"/>
      <c r="B1936" s="136"/>
      <c r="C1936" s="137"/>
    </row>
    <row r="1937" spans="1:3">
      <c r="A1937" s="137"/>
      <c r="B1937" s="136"/>
      <c r="C1937" s="137"/>
    </row>
    <row r="1938" spans="1:3">
      <c r="A1938" s="137"/>
      <c r="B1938" s="136"/>
      <c r="C1938" s="137"/>
    </row>
    <row r="1939" spans="1:3">
      <c r="A1939" s="137"/>
      <c r="B1939" s="136"/>
      <c r="C1939" s="137"/>
    </row>
    <row r="1940" spans="1:3">
      <c r="A1940" s="137"/>
      <c r="B1940" s="136"/>
      <c r="C1940" s="137"/>
    </row>
    <row r="1941" spans="1:3">
      <c r="A1941" s="137"/>
      <c r="B1941" s="136"/>
      <c r="C1941" s="137"/>
    </row>
    <row r="1942" spans="1:3">
      <c r="A1942" s="137"/>
      <c r="B1942" s="136"/>
      <c r="C1942" s="137"/>
    </row>
    <row r="1943" spans="1:3">
      <c r="A1943" s="137"/>
      <c r="B1943" s="136"/>
      <c r="C1943" s="137"/>
    </row>
    <row r="1944" spans="1:3">
      <c r="A1944" s="137"/>
      <c r="B1944" s="136"/>
      <c r="C1944" s="137"/>
    </row>
    <row r="1945" spans="1:3">
      <c r="A1945" s="137"/>
      <c r="B1945" s="136"/>
      <c r="C1945" s="137"/>
    </row>
    <row r="1946" spans="1:3">
      <c r="A1946" s="137"/>
      <c r="B1946" s="136"/>
      <c r="C1946" s="137"/>
    </row>
    <row r="1947" spans="1:3">
      <c r="A1947" s="137"/>
      <c r="B1947" s="136"/>
      <c r="C1947" s="137"/>
    </row>
    <row r="1948" spans="1:3">
      <c r="A1948" s="137"/>
      <c r="B1948" s="136"/>
      <c r="C1948" s="137"/>
    </row>
    <row r="1949" spans="1:3">
      <c r="A1949" s="137"/>
      <c r="B1949" s="136"/>
      <c r="C1949" s="137"/>
    </row>
    <row r="1950" spans="1:3">
      <c r="A1950" s="137"/>
      <c r="B1950" s="136"/>
      <c r="C1950" s="137"/>
    </row>
    <row r="1951" spans="1:3">
      <c r="A1951" s="137"/>
      <c r="B1951" s="136"/>
      <c r="C1951" s="137"/>
    </row>
    <row r="1952" spans="1:3">
      <c r="A1952" s="137"/>
      <c r="B1952" s="136"/>
      <c r="C1952" s="137"/>
    </row>
    <row r="1953" spans="1:3">
      <c r="A1953" s="137"/>
      <c r="B1953" s="136"/>
      <c r="C1953" s="137"/>
    </row>
    <row r="1954" spans="1:3">
      <c r="A1954" s="137"/>
      <c r="B1954" s="136"/>
      <c r="C1954" s="137"/>
    </row>
    <row r="1955" spans="1:3">
      <c r="A1955" s="137"/>
      <c r="B1955" s="136"/>
      <c r="C1955" s="137"/>
    </row>
    <row r="1956" spans="1:3">
      <c r="A1956" s="137"/>
      <c r="B1956" s="136"/>
      <c r="C1956" s="137"/>
    </row>
    <row r="1957" spans="1:3">
      <c r="A1957" s="137"/>
      <c r="B1957" s="136"/>
      <c r="C1957" s="137"/>
    </row>
    <row r="1958" spans="1:3">
      <c r="A1958" s="137"/>
      <c r="B1958" s="136"/>
      <c r="C1958" s="137"/>
    </row>
    <row r="1959" spans="1:3">
      <c r="A1959" s="137"/>
      <c r="B1959" s="136"/>
      <c r="C1959" s="137"/>
    </row>
    <row r="1960" spans="1:3">
      <c r="A1960" s="137"/>
      <c r="B1960" s="136"/>
      <c r="C1960" s="137"/>
    </row>
    <row r="1961" spans="1:3">
      <c r="A1961" s="137"/>
      <c r="B1961" s="136"/>
      <c r="C1961" s="137"/>
    </row>
    <row r="1962" spans="1:3">
      <c r="A1962" s="137"/>
      <c r="B1962" s="136"/>
      <c r="C1962" s="137"/>
    </row>
    <row r="1963" spans="1:3">
      <c r="A1963" s="137"/>
      <c r="B1963" s="136"/>
      <c r="C1963" s="137"/>
    </row>
    <row r="1964" spans="1:3">
      <c r="A1964" s="137"/>
      <c r="B1964" s="136"/>
      <c r="C1964" s="137"/>
    </row>
    <row r="1965" spans="1:3">
      <c r="A1965" s="137"/>
      <c r="B1965" s="136"/>
      <c r="C1965" s="137"/>
    </row>
    <row r="1966" spans="1:3">
      <c r="A1966" s="137"/>
      <c r="B1966" s="136"/>
      <c r="C1966" s="137"/>
    </row>
    <row r="1967" spans="1:3">
      <c r="A1967" s="137"/>
      <c r="B1967" s="136"/>
      <c r="C1967" s="137"/>
    </row>
    <row r="1968" spans="1:3">
      <c r="A1968" s="137"/>
      <c r="B1968" s="136"/>
      <c r="C1968" s="137"/>
    </row>
    <row r="1969" spans="1:3">
      <c r="A1969" s="137"/>
      <c r="B1969" s="136"/>
      <c r="C1969" s="137"/>
    </row>
    <row r="1970" spans="1:3">
      <c r="A1970" s="137"/>
      <c r="B1970" s="136"/>
      <c r="C1970" s="137"/>
    </row>
    <row r="1971" spans="1:3">
      <c r="A1971" s="137"/>
      <c r="B1971" s="136"/>
      <c r="C1971" s="137"/>
    </row>
    <row r="1972" spans="1:3">
      <c r="A1972" s="137"/>
      <c r="B1972" s="136"/>
      <c r="C1972" s="137"/>
    </row>
    <row r="1973" spans="1:3">
      <c r="A1973" s="137"/>
      <c r="B1973" s="136"/>
      <c r="C1973" s="137"/>
    </row>
    <row r="1974" spans="1:3">
      <c r="A1974" s="137"/>
      <c r="B1974" s="136"/>
      <c r="C1974" s="137"/>
    </row>
    <row r="1975" spans="1:3">
      <c r="A1975" s="137"/>
      <c r="B1975" s="136"/>
      <c r="C1975" s="137"/>
    </row>
    <row r="1976" spans="1:3">
      <c r="A1976" s="137"/>
      <c r="B1976" s="136"/>
      <c r="C1976" s="137"/>
    </row>
  </sheetData>
  <autoFilter ref="A1:C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9" tint="0.39997558519241921"/>
  </sheetPr>
  <dimension ref="A1:S25"/>
  <sheetViews>
    <sheetView topLeftCell="I1" zoomScale="85" zoomScaleNormal="85" workbookViewId="0">
      <selection activeCell="O12" sqref="O12"/>
    </sheetView>
  </sheetViews>
  <sheetFormatPr defaultRowHeight="15" outlineLevelCol="1"/>
  <cols>
    <col min="1" max="1" width="41.5703125" hidden="1" customWidth="1" outlineLevel="1"/>
    <col min="2" max="2" width="11.42578125" hidden="1" customWidth="1" outlineLevel="1"/>
    <col min="3" max="3" width="9.140625" hidden="1" customWidth="1" outlineLevel="1"/>
    <col min="4" max="4" width="128.5703125" hidden="1" customWidth="1" outlineLevel="1"/>
    <col min="5" max="5" width="9.140625" hidden="1" customWidth="1" outlineLevel="1"/>
    <col min="6" max="6" width="34.5703125" hidden="1" customWidth="1" outlineLevel="1"/>
    <col min="7" max="8" width="9.140625" hidden="1" customWidth="1" outlineLevel="1"/>
    <col min="9" max="9" width="26.85546875" style="103" customWidth="1" collapsed="1"/>
    <col min="10" max="10" width="26.42578125" style="103" customWidth="1"/>
    <col min="11" max="11" width="36" style="103" customWidth="1"/>
    <col min="12" max="12" width="37.42578125" style="103" customWidth="1"/>
    <col min="13" max="13" width="31.5703125" style="103" customWidth="1"/>
    <col min="14" max="14" width="32" style="103" customWidth="1"/>
    <col min="15" max="15" width="60.140625" style="103" bestFit="1" customWidth="1"/>
    <col min="16" max="16" width="86.85546875" style="103" bestFit="1" customWidth="1"/>
    <col min="17" max="17" width="16.42578125" style="103" bestFit="1" customWidth="1"/>
    <col min="18" max="18" width="144.7109375" style="103" customWidth="1"/>
    <col min="19" max="19" width="9.140625" style="103"/>
  </cols>
  <sheetData>
    <row r="1" spans="1:19" ht="45">
      <c r="A1" s="61" t="s">
        <v>428</v>
      </c>
      <c r="B1" s="62" t="s">
        <v>440</v>
      </c>
      <c r="D1" s="70" t="s">
        <v>461</v>
      </c>
      <c r="F1" s="73" t="s">
        <v>307</v>
      </c>
      <c r="I1" s="139" t="s">
        <v>197</v>
      </c>
      <c r="J1" s="139" t="s">
        <v>198</v>
      </c>
      <c r="K1" s="139" t="s">
        <v>199</v>
      </c>
      <c r="L1" s="139" t="s">
        <v>200</v>
      </c>
      <c r="M1" s="140" t="s">
        <v>304</v>
      </c>
      <c r="N1" s="141" t="s">
        <v>304</v>
      </c>
      <c r="O1" s="141" t="s">
        <v>305</v>
      </c>
      <c r="P1" s="141" t="s">
        <v>306</v>
      </c>
      <c r="Q1" s="141" t="s">
        <v>307</v>
      </c>
      <c r="R1" s="141" t="s">
        <v>308</v>
      </c>
      <c r="S1" s="141" t="s">
        <v>201</v>
      </c>
    </row>
    <row r="2" spans="1:19" ht="45">
      <c r="A2" s="63" t="s">
        <v>429</v>
      </c>
      <c r="B2" s="64">
        <v>1</v>
      </c>
      <c r="D2" s="71" t="s">
        <v>454</v>
      </c>
      <c r="F2" s="74" t="s">
        <v>462</v>
      </c>
      <c r="I2" s="139" t="s">
        <v>309</v>
      </c>
      <c r="J2" s="139" t="s">
        <v>310</v>
      </c>
      <c r="K2" s="139" t="s">
        <v>311</v>
      </c>
      <c r="L2" s="139" t="s">
        <v>312</v>
      </c>
      <c r="M2" s="140"/>
      <c r="N2" s="141" t="s">
        <v>313</v>
      </c>
      <c r="O2" s="141" t="s">
        <v>314</v>
      </c>
      <c r="P2" s="141" t="s">
        <v>315</v>
      </c>
      <c r="Q2" s="141" t="s">
        <v>316</v>
      </c>
      <c r="R2" s="141" t="s">
        <v>317</v>
      </c>
      <c r="S2" s="141" t="s">
        <v>252</v>
      </c>
    </row>
    <row r="3" spans="1:19">
      <c r="A3" s="63" t="s">
        <v>430</v>
      </c>
      <c r="B3" s="64" t="s">
        <v>431</v>
      </c>
      <c r="D3" s="71" t="s">
        <v>455</v>
      </c>
      <c r="F3" s="74" t="s">
        <v>463</v>
      </c>
    </row>
    <row r="4" spans="1:19">
      <c r="A4" s="63" t="s">
        <v>432</v>
      </c>
      <c r="B4" s="64" t="s">
        <v>433</v>
      </c>
      <c r="D4" s="71" t="s">
        <v>456</v>
      </c>
      <c r="F4" s="74" t="s">
        <v>464</v>
      </c>
    </row>
    <row r="5" spans="1:19">
      <c r="A5" s="63" t="s">
        <v>434</v>
      </c>
      <c r="B5" s="64" t="s">
        <v>435</v>
      </c>
      <c r="D5" s="71" t="s">
        <v>457</v>
      </c>
      <c r="F5" s="74" t="s">
        <v>465</v>
      </c>
    </row>
    <row r="6" spans="1:19">
      <c r="A6" s="63" t="s">
        <v>436</v>
      </c>
      <c r="B6" s="64" t="s">
        <v>411</v>
      </c>
      <c r="D6" s="71" t="s">
        <v>458</v>
      </c>
      <c r="F6" s="74" t="s">
        <v>466</v>
      </c>
    </row>
    <row r="7" spans="1:19">
      <c r="A7" s="63" t="s">
        <v>437</v>
      </c>
      <c r="B7" s="64" t="s">
        <v>409</v>
      </c>
      <c r="D7" s="71" t="s">
        <v>459</v>
      </c>
      <c r="F7" s="74" t="s">
        <v>467</v>
      </c>
    </row>
    <row r="8" spans="1:19">
      <c r="A8" s="65" t="s">
        <v>438</v>
      </c>
      <c r="B8" s="66" t="s">
        <v>439</v>
      </c>
      <c r="D8" s="72" t="s">
        <v>460</v>
      </c>
      <c r="F8" s="74" t="s">
        <v>468</v>
      </c>
    </row>
    <row r="9" spans="1:19">
      <c r="F9" s="74" t="s">
        <v>469</v>
      </c>
    </row>
    <row r="10" spans="1:19">
      <c r="A10" s="68" t="s">
        <v>441</v>
      </c>
      <c r="D10" s="77" t="s">
        <v>471</v>
      </c>
      <c r="F10" s="75" t="s">
        <v>470</v>
      </c>
    </row>
    <row r="11" spans="1:19" ht="38.25">
      <c r="A11" s="67" t="s">
        <v>442</v>
      </c>
      <c r="D11" s="76" t="s">
        <v>472</v>
      </c>
    </row>
    <row r="12" spans="1:19" ht="51">
      <c r="A12" s="67" t="s">
        <v>443</v>
      </c>
      <c r="D12" s="76" t="s">
        <v>473</v>
      </c>
    </row>
    <row r="13" spans="1:19" ht="51">
      <c r="A13" s="67" t="s">
        <v>444</v>
      </c>
      <c r="D13" s="76" t="s">
        <v>474</v>
      </c>
    </row>
    <row r="14" spans="1:19" ht="25.5">
      <c r="A14" s="67" t="s">
        <v>445</v>
      </c>
      <c r="D14" s="76" t="s">
        <v>475</v>
      </c>
    </row>
    <row r="15" spans="1:19" ht="25.5">
      <c r="A15" s="67" t="s">
        <v>446</v>
      </c>
      <c r="D15" s="76" t="s">
        <v>476</v>
      </c>
    </row>
    <row r="16" spans="1:19" ht="25.5">
      <c r="A16" s="67" t="s">
        <v>447</v>
      </c>
      <c r="D16" s="76" t="s">
        <v>477</v>
      </c>
    </row>
    <row r="17" spans="1:4" ht="25.5">
      <c r="A17" s="67" t="s">
        <v>448</v>
      </c>
      <c r="D17" s="76" t="s">
        <v>478</v>
      </c>
    </row>
    <row r="18" spans="1:4" ht="22.5">
      <c r="A18" s="67" t="s">
        <v>449</v>
      </c>
      <c r="D18" s="78" t="s">
        <v>479</v>
      </c>
    </row>
    <row r="19" spans="1:4" ht="33.75">
      <c r="A19" s="67" t="s">
        <v>450</v>
      </c>
    </row>
    <row r="20" spans="1:4" ht="45">
      <c r="A20" s="67" t="s">
        <v>492</v>
      </c>
    </row>
    <row r="21" spans="1:4" ht="22.5">
      <c r="A21" s="67" t="s">
        <v>451</v>
      </c>
    </row>
    <row r="22" spans="1:4" ht="22.5">
      <c r="A22" s="67" t="s">
        <v>493</v>
      </c>
    </row>
    <row r="23" spans="1:4" ht="22.5">
      <c r="A23" s="67" t="s">
        <v>494</v>
      </c>
    </row>
    <row r="24" spans="1:4" ht="22.5">
      <c r="A24" s="67" t="s">
        <v>452</v>
      </c>
    </row>
    <row r="25" spans="1:4" ht="45">
      <c r="A25" s="69" t="s">
        <v>453</v>
      </c>
    </row>
  </sheetData>
  <dataValidations count="5">
    <dataValidation type="list" allowBlank="1" showInputMessage="1" sqref="M3:M1048576">
      <formula1>$A$2:$A$8</formula1>
    </dataValidation>
    <dataValidation type="list" allowBlank="1" showInputMessage="1" sqref="O3:O25">
      <formula1>$A$11:$A$25</formula1>
    </dataValidation>
    <dataValidation type="list" allowBlank="1" showInputMessage="1" sqref="Q3:Q1048576">
      <formula1>$F$2:$F$10</formula1>
    </dataValidation>
    <dataValidation type="list" allowBlank="1" showInputMessage="1" sqref="P3:P1048576">
      <formula1>$D$2:$D$8</formula1>
    </dataValidation>
    <dataValidation type="list" allowBlank="1" showInputMessage="1" sqref="R3">
      <formula1>$D$11:$D$18</formula1>
    </dataValidation>
  </dataValidation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theme="9" tint="0.39997558519241921"/>
  </sheetPr>
  <dimension ref="A1:E36"/>
  <sheetViews>
    <sheetView zoomScale="85" zoomScaleNormal="85" workbookViewId="0">
      <selection activeCell="C9" sqref="C9"/>
    </sheetView>
  </sheetViews>
  <sheetFormatPr defaultRowHeight="15"/>
  <cols>
    <col min="1" max="1" width="11.85546875" style="59" customWidth="1"/>
    <col min="2" max="2" width="65.42578125" style="59" customWidth="1"/>
    <col min="3" max="3" width="73.140625" style="59" customWidth="1"/>
    <col min="4" max="4" width="58.28515625" style="59" customWidth="1"/>
    <col min="5" max="5" width="61.42578125" style="59" customWidth="1"/>
  </cols>
  <sheetData>
    <row r="1" spans="1:5">
      <c r="B1" s="142" t="s">
        <v>318</v>
      </c>
      <c r="C1" s="143" t="s">
        <v>319</v>
      </c>
      <c r="D1" s="143" t="s">
        <v>320</v>
      </c>
      <c r="E1" s="143" t="s">
        <v>321</v>
      </c>
    </row>
    <row r="2" spans="1:5" ht="28.5">
      <c r="A2" s="59" t="s">
        <v>416</v>
      </c>
      <c r="B2" s="142" t="s">
        <v>322</v>
      </c>
      <c r="C2" s="143" t="s">
        <v>323</v>
      </c>
      <c r="D2" s="143" t="s">
        <v>356</v>
      </c>
      <c r="E2" s="144" t="s">
        <v>357</v>
      </c>
    </row>
    <row r="3" spans="1:5">
      <c r="A3" s="59" t="str">
        <f>IF(ROW()&gt;Passport!$BO$1,"",IF(B3&lt;&gt;"",IF(B3&lt;&gt;B2,4,A2+1),IF(C3&lt;&gt;C2,4,A2+1)))</f>
        <v/>
      </c>
      <c r="B3" s="145" t="str">
        <f>IF(VLOOKUP(ROW(),таблКоррозия[],4,TRUE)="ID",IF(ROW()&gt;MAX(таблКоррозия[Столбец1]),"",
                            VLOOKUP(ROW(),таблКоррозия[],5,TRUE)),"")</f>
        <v/>
      </c>
      <c r="C3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3" s="145" t="str">
        <f>IF(таблICTEhasCorrosionType[[#This Row],[Тех. Поле]]&lt;&gt;"",IF(B3="",VLOOKUP(C3,таблКоррозия[[Тех. Место]:[Тип_кор №10]],A3,FALSE),
               VLOOKUP(B3,таблКоррозия[[Тех. Место]:[Тип_кор №10]],A3,FALSE)),"")</f>
        <v/>
      </c>
      <c r="E3" s="146" t="str">
        <f>IF(D3&lt;&gt;"",VLOOKUP(D3,таблВидКор[],2,FALSE),"")</f>
        <v/>
      </c>
    </row>
    <row r="4" spans="1:5">
      <c r="A4" s="59" t="str">
        <f>IF(ROW()&gt;Passport!$BO$1,"",IF(B4&lt;&gt;"",IF(B4&lt;&gt;B3,4,A3+1),IF(C4&lt;&gt;C3,4,A3+1)))</f>
        <v/>
      </c>
      <c r="B4" s="145" t="str">
        <f>IF(VLOOKUP(ROW(),таблКоррозия[],4,TRUE)="ID",IF(ROW()&gt;MAX(таблКоррозия[Столбец1]),"",
                            VLOOKUP(ROW(),таблКоррозия[],5,TRUE)),"")</f>
        <v/>
      </c>
      <c r="C4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4" s="145" t="str">
        <f>IF(таблICTEhasCorrosionType[[#This Row],[Тех. Поле]]&lt;&gt;"",IF(B4="",VLOOKUP(C4,таблКоррозия[[Тех. Место]:[Тип_кор №10]],A4,FALSE),
               VLOOKUP(B4,таблКоррозия[[Тех. Место]:[Тип_кор №10]],A4,FALSE)),"")</f>
        <v/>
      </c>
      <c r="E4" s="146" t="str">
        <f>IF(D4&lt;&gt;"",VLOOKUP(D4,таблВидКор[],2,FALSE),"")</f>
        <v/>
      </c>
    </row>
    <row r="5" spans="1:5">
      <c r="A5" s="59" t="str">
        <f>IF(ROW()&gt;Passport!$BO$1,"",IF(B5&lt;&gt;"",IF(B5&lt;&gt;B4,4,A4+1),IF(C5&lt;&gt;C4,4,A4+1)))</f>
        <v/>
      </c>
      <c r="B5" s="145" t="str">
        <f>IF(VLOOKUP(ROW(),таблКоррозия[],4,TRUE)="ID",IF(ROW()&gt;MAX(таблКоррозия[Столбец1]),"",
                            VLOOKUP(ROW(),таблКоррозия[],5,TRUE)),"")</f>
        <v/>
      </c>
      <c r="C5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5" s="145" t="str">
        <f>IF(таблICTEhasCorrosionType[[#This Row],[Тех. Поле]]&lt;&gt;"",IF(B5="",VLOOKUP(C5,таблКоррозия[[Тех. Место]:[Тип_кор №10]],A5,FALSE),
               VLOOKUP(B5,таблКоррозия[[Тех. Место]:[Тип_кор №10]],A5,FALSE)),"")</f>
        <v/>
      </c>
      <c r="E5" s="146" t="str">
        <f>IF(D5&lt;&gt;"",VLOOKUP(D5,таблВидКор[],2,FALSE),"")</f>
        <v/>
      </c>
    </row>
    <row r="6" spans="1:5">
      <c r="A6" s="59" t="str">
        <f>IF(ROW()&gt;Passport!$BO$1,"",IF(B6&lt;&gt;"",IF(B6&lt;&gt;B5,4,A5+1),IF(C6&lt;&gt;C5,4,A5+1)))</f>
        <v/>
      </c>
      <c r="B6" s="145" t="str">
        <f>IF(VLOOKUP(ROW(),таблКоррозия[],4,TRUE)="ID",IF(ROW()&gt;MAX(таблКоррозия[Столбец1]),"",
                            VLOOKUP(ROW(),таблКоррозия[],5,TRUE)),"")</f>
        <v/>
      </c>
      <c r="C6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6" s="145" t="str">
        <f>IF(таблICTEhasCorrosionType[[#This Row],[Тех. Поле]]&lt;&gt;"",IF(B6="",VLOOKUP(C6,таблКоррозия[[Тех. Место]:[Тип_кор №10]],A6,FALSE),
               VLOOKUP(B6,таблКоррозия[[Тех. Место]:[Тип_кор №10]],A6,FALSE)),"")</f>
        <v/>
      </c>
      <c r="E6" s="146" t="str">
        <f>IF(D6&lt;&gt;"",VLOOKUP(D6,таблВидКор[],2,FALSE),"")</f>
        <v/>
      </c>
    </row>
    <row r="7" spans="1:5">
      <c r="A7" s="59" t="str">
        <f>IF(ROW()&gt;Passport!$BO$1,"",IF(B7&lt;&gt;"",IF(B7&lt;&gt;B6,4,A6+1),IF(C7&lt;&gt;C6,4,A6+1)))</f>
        <v/>
      </c>
      <c r="B7" s="145" t="str">
        <f>IF(VLOOKUP(ROW(),таблКоррозия[],4,TRUE)="ID",IF(ROW()&gt;MAX(таблКоррозия[Столбец1]),"",
                            VLOOKUP(ROW(),таблКоррозия[],5,TRUE)),"")</f>
        <v/>
      </c>
      <c r="C7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7" s="145" t="str">
        <f>IF(таблICTEhasCorrosionType[[#This Row],[Тех. Поле]]&lt;&gt;"",IF(B7="",VLOOKUP(C7,таблКоррозия[[Тех. Место]:[Тип_кор №10]],A7,FALSE),
               VLOOKUP(B7,таблКоррозия[[Тех. Место]:[Тип_кор №10]],A7,FALSE)),"")</f>
        <v/>
      </c>
      <c r="E7" s="146" t="str">
        <f>IF(D7&lt;&gt;"",VLOOKUP(D7,таблВидКор[],2,FALSE),"")</f>
        <v/>
      </c>
    </row>
    <row r="8" spans="1:5">
      <c r="A8" s="59" t="str">
        <f>IF(ROW()&gt;Passport!$BO$1,"",IF(B8&lt;&gt;"",IF(B8&lt;&gt;B7,4,A7+1),IF(C8&lt;&gt;C7,4,A7+1)))</f>
        <v/>
      </c>
      <c r="B8" s="145" t="str">
        <f>IF(VLOOKUP(ROW(),таблКоррозия[],4,TRUE)="ID",IF(ROW()&gt;MAX(таблКоррозия[Столбец1]),"",
                            VLOOKUP(ROW(),таблКоррозия[],5,TRUE)),"")</f>
        <v/>
      </c>
      <c r="C8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8" s="145" t="str">
        <f>IF(таблICTEhasCorrosionType[[#This Row],[Тех. Поле]]&lt;&gt;"",IF(B8="",VLOOKUP(C8,таблКоррозия[[Тех. Место]:[Тип_кор №10]],A8,FALSE),
               VLOOKUP(B8,таблКоррозия[[Тех. Место]:[Тип_кор №10]],A8,FALSE)),"")</f>
        <v/>
      </c>
      <c r="E8" s="146" t="str">
        <f>IF(D8&lt;&gt;"",VLOOKUP(D8,таблВидКор[],2,FALSE),"")</f>
        <v/>
      </c>
    </row>
    <row r="9" spans="1:5">
      <c r="A9" s="59" t="str">
        <f>IF(ROW()&gt;Passport!$BO$1,"",IF(B9&lt;&gt;"",IF(B9&lt;&gt;B8,4,A8+1),IF(C9&lt;&gt;C8,4,A8+1)))</f>
        <v/>
      </c>
      <c r="B9" s="145" t="str">
        <f>IF(VLOOKUP(ROW(),таблКоррозия[],4,TRUE)="ID",IF(ROW()&gt;MAX(таблКоррозия[Столбец1]),"",
                            VLOOKUP(ROW(),таблКоррозия[],5,TRUE)),"")</f>
        <v/>
      </c>
      <c r="C9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9" s="145" t="str">
        <f>IF(таблICTEhasCorrosionType[[#This Row],[Тех. Поле]]&lt;&gt;"",IF(B9="",VLOOKUP(C9,таблКоррозия[[Тех. Место]:[Тип_кор №10]],A9,FALSE),
               VLOOKUP(B9,таблКоррозия[[Тех. Место]:[Тип_кор №10]],A9,FALSE)),"")</f>
        <v/>
      </c>
      <c r="E9" s="146" t="str">
        <f>IF(D9&lt;&gt;"",VLOOKUP(D9,таблВидКор[],2,FALSE),"")</f>
        <v/>
      </c>
    </row>
    <row r="10" spans="1:5">
      <c r="A10" s="59" t="str">
        <f>IF(ROW()&gt;Passport!$BO$1,"",IF(B10&lt;&gt;"",IF(B10&lt;&gt;B9,4,A9+1),IF(C10&lt;&gt;C9,4,A9+1)))</f>
        <v/>
      </c>
      <c r="B10" s="145" t="str">
        <f>IF(VLOOKUP(ROW(),таблКоррозия[],4,TRUE)="ID",IF(ROW()&gt;MAX(таблКоррозия[Столбец1]),"",
                            VLOOKUP(ROW(),таблКоррозия[],5,TRUE)),"")</f>
        <v/>
      </c>
      <c r="C10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10" s="145" t="str">
        <f>IF(таблICTEhasCorrosionType[[#This Row],[Тех. Поле]]&lt;&gt;"",IF(B10="",VLOOKUP(C10,таблКоррозия[[Тех. Место]:[Тип_кор №10]],A10,FALSE),
               VLOOKUP(B10,таблКоррозия[[Тех. Место]:[Тип_кор №10]],A10,FALSE)),"")</f>
        <v/>
      </c>
      <c r="E10" s="146" t="str">
        <f>IF(D10&lt;&gt;"",VLOOKUP(D10,таблВидКор[],2,FALSE),"")</f>
        <v/>
      </c>
    </row>
    <row r="11" spans="1:5">
      <c r="A11" s="59" t="str">
        <f>IF(ROW()&gt;Passport!$BO$1,"",IF(B11&lt;&gt;"",IF(B11&lt;&gt;B10,4,A10+1),IF(C11&lt;&gt;C10,4,A10+1)))</f>
        <v/>
      </c>
      <c r="B11" s="145" t="str">
        <f>IF(VLOOKUP(ROW(),таблКоррозия[],4,TRUE)="ID",IF(ROW()&gt;MAX(таблКоррозия[Столбец1]),"",
                            VLOOKUP(ROW(),таблКоррозия[],5,TRUE)),"")</f>
        <v/>
      </c>
      <c r="C11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11" s="145" t="str">
        <f>IF(таблICTEhasCorrosionType[[#This Row],[Тех. Поле]]&lt;&gt;"",IF(B11="",VLOOKUP(C11,таблКоррозия[[Тех. Место]:[Тип_кор №10]],A11,FALSE),
               VLOOKUP(B11,таблКоррозия[[Тех. Место]:[Тип_кор №10]],A11,FALSE)),"")</f>
        <v/>
      </c>
      <c r="E11" s="146" t="str">
        <f>IF(D11&lt;&gt;"",VLOOKUP(D11,таблВидКор[],2,FALSE),"")</f>
        <v/>
      </c>
    </row>
    <row r="12" spans="1:5">
      <c r="A12" s="59" t="str">
        <f>IF(ROW()&gt;Passport!$BO$1,"",IF(B12&lt;&gt;"",IF(B12&lt;&gt;B11,4,A11+1),IF(C12&lt;&gt;C11,4,A11+1)))</f>
        <v/>
      </c>
      <c r="B12" s="145" t="str">
        <f>IF(VLOOKUP(ROW(),таблКоррозия[],4,TRUE)="ID",IF(ROW()&gt;MAX(таблКоррозия[Столбец1]),"",
                            VLOOKUP(ROW(),таблКоррозия[],5,TRUE)),"")</f>
        <v/>
      </c>
      <c r="C12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12" s="145" t="str">
        <f>IF(таблICTEhasCorrosionType[[#This Row],[Тех. Поле]]&lt;&gt;"",IF(B12="",VLOOKUP(C12,таблКоррозия[[Тех. Место]:[Тип_кор №10]],A12,FALSE),
               VLOOKUP(B12,таблКоррозия[[Тех. Место]:[Тип_кор №10]],A12,FALSE)),"")</f>
        <v/>
      </c>
      <c r="E12" s="146" t="str">
        <f>IF(D12&lt;&gt;"",VLOOKUP(D12,таблВидКор[],2,FALSE),"")</f>
        <v/>
      </c>
    </row>
    <row r="13" spans="1:5">
      <c r="A13" s="59" t="str">
        <f>IF(ROW()&gt;Passport!$BO$1,"",IF(B13&lt;&gt;"",IF(B13&lt;&gt;B12,4,A12+1),IF(C13&lt;&gt;C12,4,A12+1)))</f>
        <v/>
      </c>
      <c r="B13" s="145" t="str">
        <f>IF(VLOOKUP(ROW(),таблКоррозия[],4,TRUE)="ID",IF(ROW()&gt;MAX(таблКоррозия[Столбец1]),"",
                            VLOOKUP(ROW(),таблКоррозия[],5,TRUE)),"")</f>
        <v/>
      </c>
      <c r="C13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13" s="145" t="str">
        <f>IF(таблICTEhasCorrosionType[[#This Row],[Тех. Поле]]&lt;&gt;"",IF(B13="",VLOOKUP(C13,таблКоррозия[[Тех. Место]:[Тип_кор №10]],A13,FALSE),
               VLOOKUP(B13,таблКоррозия[[Тех. Место]:[Тип_кор №10]],A13,FALSE)),"")</f>
        <v/>
      </c>
      <c r="E13" s="146" t="str">
        <f>IF(D13&lt;&gt;"",VLOOKUP(D13,таблВидКор[],2,FALSE),"")</f>
        <v/>
      </c>
    </row>
    <row r="14" spans="1:5">
      <c r="A14" s="59" t="str">
        <f>IF(ROW()&gt;Passport!$BO$1,"",IF(B14&lt;&gt;"",IF(B14&lt;&gt;B13,4,A13+1),IF(C14&lt;&gt;C13,4,A13+1)))</f>
        <v/>
      </c>
      <c r="B14" s="145" t="str">
        <f>IF(VLOOKUP(ROW(),таблКоррозия[],4,TRUE)="ID",IF(ROW()&gt;MAX(таблКоррозия[Столбец1]),"",
                            VLOOKUP(ROW(),таблКоррозия[],5,TRUE)),"")</f>
        <v/>
      </c>
      <c r="C14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14" s="145" t="str">
        <f>IF(таблICTEhasCorrosionType[[#This Row],[Тех. Поле]]&lt;&gt;"",IF(B14="",VLOOKUP(C14,таблКоррозия[[Тех. Место]:[Тип_кор №10]],A14,FALSE),
               VLOOKUP(B14,таблКоррозия[[Тех. Место]:[Тип_кор №10]],A14,FALSE)),"")</f>
        <v/>
      </c>
      <c r="E14" s="146" t="str">
        <f>IF(D14&lt;&gt;"",VLOOKUP(D14,таблВидКор[],2,FALSE),"")</f>
        <v/>
      </c>
    </row>
    <row r="15" spans="1:5">
      <c r="A15" s="59" t="str">
        <f>IF(ROW()&gt;Passport!$BO$1,"",IF(B15&lt;&gt;"",IF(B15&lt;&gt;B14,4,A14+1),IF(C15&lt;&gt;C14,4,A14+1)))</f>
        <v/>
      </c>
      <c r="B15" s="145" t="str">
        <f>IF(VLOOKUP(ROW(),таблКоррозия[],4,TRUE)="ID",IF(ROW()&gt;MAX(таблКоррозия[Столбец1]),"",
                            VLOOKUP(ROW(),таблКоррозия[],5,TRUE)),"")</f>
        <v/>
      </c>
      <c r="C15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15" s="145" t="str">
        <f>IF(таблICTEhasCorrosionType[[#This Row],[Тех. Поле]]&lt;&gt;"",IF(B15="",VLOOKUP(C15,таблКоррозия[[Тех. Место]:[Тип_кор №10]],A15,FALSE),
               VLOOKUP(B15,таблКоррозия[[Тех. Место]:[Тип_кор №10]],A15,FALSE)),"")</f>
        <v/>
      </c>
      <c r="E15" s="146" t="str">
        <f>IF(D15&lt;&gt;"",VLOOKUP(D15,таблВидКор[],2,FALSE),"")</f>
        <v/>
      </c>
    </row>
    <row r="16" spans="1:5">
      <c r="A16" s="59" t="str">
        <f>IF(ROW()&gt;Passport!$BO$1,"",IF(B16&lt;&gt;"",IF(B16&lt;&gt;B15,4,A15+1),IF(C16&lt;&gt;C15,4,A15+1)))</f>
        <v/>
      </c>
      <c r="B16" s="145" t="str">
        <f>IF(VLOOKUP(ROW(),таблКоррозия[],4,TRUE)="ID",IF(ROW()&gt;MAX(таблКоррозия[Столбец1]),"",
                            VLOOKUP(ROW(),таблКоррозия[],5,TRUE)),"")</f>
        <v/>
      </c>
      <c r="C16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16" s="145" t="str">
        <f>IF(таблICTEhasCorrosionType[[#This Row],[Тех. Поле]]&lt;&gt;"",IF(B16="",VLOOKUP(C16,таблКоррозия[[Тех. Место]:[Тип_кор №10]],A16,FALSE),
               VLOOKUP(B16,таблКоррозия[[Тех. Место]:[Тип_кор №10]],A16,FALSE)),"")</f>
        <v/>
      </c>
      <c r="E16" s="146" t="str">
        <f>IF(D16&lt;&gt;"",VLOOKUP(D16,таблВидКор[],2,FALSE),"")</f>
        <v/>
      </c>
    </row>
    <row r="17" spans="1:5">
      <c r="A17" s="59" t="str">
        <f>IF(ROW()&gt;Passport!$BO$1,"",IF(B17&lt;&gt;"",IF(B17&lt;&gt;B16,4,A16+1),IF(C17&lt;&gt;C16,4,A16+1)))</f>
        <v/>
      </c>
      <c r="B17" s="145" t="str">
        <f>IF(VLOOKUP(ROW(),таблКоррозия[],4,TRUE)="ID",IF(ROW()&gt;MAX(таблКоррозия[Столбец1]),"",
                            VLOOKUP(ROW(),таблКоррозия[],5,TRUE)),"")</f>
        <v/>
      </c>
      <c r="C17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17" s="145" t="str">
        <f>IF(таблICTEhasCorrosionType[[#This Row],[Тех. Поле]]&lt;&gt;"",IF(B17="",VLOOKUP(C17,таблКоррозия[[Тех. Место]:[Тип_кор №10]],A17,FALSE),
               VLOOKUP(B17,таблКоррозия[[Тех. Место]:[Тип_кор №10]],A17,FALSE)),"")</f>
        <v/>
      </c>
      <c r="E17" s="146" t="str">
        <f>IF(D17&lt;&gt;"",VLOOKUP(D17,таблВидКор[],2,FALSE),"")</f>
        <v/>
      </c>
    </row>
    <row r="18" spans="1:5">
      <c r="A18" s="59" t="str">
        <f>IF(ROW()&gt;Passport!$BO$1,"",IF(B18&lt;&gt;"",IF(B18&lt;&gt;B17,4,A17+1),IF(C18&lt;&gt;C17,4,A17+1)))</f>
        <v/>
      </c>
      <c r="B18" s="145" t="str">
        <f>IF(VLOOKUP(ROW(),таблКоррозия[],4,TRUE)="ID",IF(ROW()&gt;MAX(таблКоррозия[Столбец1]),"",
                            VLOOKUP(ROW(),таблКоррозия[],5,TRUE)),"")</f>
        <v/>
      </c>
      <c r="C18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18" s="145" t="str">
        <f>IF(таблICTEhasCorrosionType[[#This Row],[Тех. Поле]]&lt;&gt;"",IF(B18="",VLOOKUP(C18,таблКоррозия[[Тех. Место]:[Тип_кор №10]],A18,FALSE),
               VLOOKUP(B18,таблКоррозия[[Тех. Место]:[Тип_кор №10]],A18,FALSE)),"")</f>
        <v/>
      </c>
      <c r="E18" s="146" t="str">
        <f>IF(D18&lt;&gt;"",VLOOKUP(D18,таблВидКор[],2,FALSE),"")</f>
        <v/>
      </c>
    </row>
    <row r="19" spans="1:5">
      <c r="A19" s="59" t="str">
        <f>IF(ROW()&gt;Passport!$BO$1,"",IF(B19&lt;&gt;"",IF(B19&lt;&gt;B18,4,A18+1),IF(C19&lt;&gt;C18,4,A18+1)))</f>
        <v/>
      </c>
      <c r="B19" s="145" t="str">
        <f>IF(VLOOKUP(ROW(),таблКоррозия[],4,TRUE)="ID",IF(ROW()&gt;MAX(таблКоррозия[Столбец1]),"",
                            VLOOKUP(ROW(),таблКоррозия[],5,TRUE)),"")</f>
        <v/>
      </c>
      <c r="C19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19" s="145" t="str">
        <f>IF(таблICTEhasCorrosionType[[#This Row],[Тех. Поле]]&lt;&gt;"",IF(B19="",VLOOKUP(C19,таблКоррозия[[Тех. Место]:[Тип_кор №10]],A19,FALSE),
               VLOOKUP(B19,таблКоррозия[[Тех. Место]:[Тип_кор №10]],A19,FALSE)),"")</f>
        <v/>
      </c>
      <c r="E19" s="146" t="str">
        <f>IF(D19&lt;&gt;"",VLOOKUP(D19,таблВидКор[],2,FALSE),"")</f>
        <v/>
      </c>
    </row>
    <row r="20" spans="1:5">
      <c r="A20" s="59" t="str">
        <f>IF(ROW()&gt;Passport!$BO$1,"",IF(B20&lt;&gt;"",IF(B20&lt;&gt;B19,4,A19+1),IF(C20&lt;&gt;C19,4,A19+1)))</f>
        <v/>
      </c>
      <c r="B20" s="145" t="str">
        <f>IF(VLOOKUP(ROW(),таблКоррозия[],4,TRUE)="ID",IF(ROW()&gt;MAX(таблКоррозия[Столбец1]),"",
                            VLOOKUP(ROW(),таблКоррозия[],5,TRUE)),"")</f>
        <v/>
      </c>
      <c r="C20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20" s="145" t="str">
        <f>IF(таблICTEhasCorrosionType[[#This Row],[Тех. Поле]]&lt;&gt;"",IF(B20="",VLOOKUP(C20,таблКоррозия[[Тех. Место]:[Тип_кор №10]],A20,FALSE),
               VLOOKUP(B20,таблКоррозия[[Тех. Место]:[Тип_кор №10]],A20,FALSE)),"")</f>
        <v/>
      </c>
      <c r="E20" s="146" t="str">
        <f>IF(D20&lt;&gt;"",VLOOKUP(D20,таблВидКор[],2,FALSE),"")</f>
        <v/>
      </c>
    </row>
    <row r="21" spans="1:5">
      <c r="A21" s="59" t="str">
        <f>IF(ROW()&gt;Passport!$BO$1,"",IF(B21&lt;&gt;"",IF(B21&lt;&gt;B20,4,A20+1),IF(C21&lt;&gt;C20,4,A20+1)))</f>
        <v/>
      </c>
      <c r="B21" s="145" t="str">
        <f>IF(VLOOKUP(ROW(),таблКоррозия[],4,TRUE)="ID",IF(ROW()&gt;MAX(таблКоррозия[Столбец1]),"",
                            VLOOKUP(ROW(),таблКоррозия[],5,TRUE)),"")</f>
        <v/>
      </c>
      <c r="C21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21" s="145" t="str">
        <f>IF(таблICTEhasCorrosionType[[#This Row],[Тех. Поле]]&lt;&gt;"",IF(B21="",VLOOKUP(C21,таблКоррозия[[Тех. Место]:[Тип_кор №10]],A21,FALSE),
               VLOOKUP(B21,таблКоррозия[[Тех. Место]:[Тип_кор №10]],A21,FALSE)),"")</f>
        <v/>
      </c>
      <c r="E21" s="146" t="str">
        <f>IF(D21&lt;&gt;"",VLOOKUP(D21,таблВидКор[],2,FALSE),"")</f>
        <v/>
      </c>
    </row>
    <row r="22" spans="1:5">
      <c r="A22" s="59" t="str">
        <f>IF(ROW()&gt;Passport!$BO$1,"",IF(B22&lt;&gt;"",IF(B22&lt;&gt;B21,4,A21+1),IF(C22&lt;&gt;C21,4,A21+1)))</f>
        <v/>
      </c>
      <c r="B22" s="145" t="str">
        <f>IF(VLOOKUP(ROW(),таблКоррозия[],4,TRUE)="ID",IF(ROW()&gt;MAX(таблКоррозия[Столбец1]),"",
                            VLOOKUP(ROW(),таблКоррозия[],5,TRUE)),"")</f>
        <v/>
      </c>
      <c r="C22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22" s="145" t="str">
        <f>IF(таблICTEhasCorrosionType[[#This Row],[Тех. Поле]]&lt;&gt;"",IF(B22="",VLOOKUP(C22,таблКоррозия[[Тех. Место]:[Тип_кор №10]],A22,FALSE),
               VLOOKUP(B22,таблКоррозия[[Тех. Место]:[Тип_кор №10]],A22,FALSE)),"")</f>
        <v/>
      </c>
      <c r="E22" s="146" t="str">
        <f>IF(D22&lt;&gt;"",VLOOKUP(D22,таблВидКор[],2,FALSE),"")</f>
        <v/>
      </c>
    </row>
    <row r="23" spans="1:5">
      <c r="A23" s="59" t="str">
        <f>IF(ROW()&gt;Passport!$BO$1,"",IF(B23&lt;&gt;"",IF(B23&lt;&gt;B22,4,A22+1),IF(C23&lt;&gt;C22,4,A22+1)))</f>
        <v/>
      </c>
      <c r="B23" s="145" t="str">
        <f>IF(VLOOKUP(ROW(),таблКоррозия[],4,TRUE)="ID",IF(ROW()&gt;MAX(таблКоррозия[Столбец1]),"",
                            VLOOKUP(ROW(),таблКоррозия[],5,TRUE)),"")</f>
        <v/>
      </c>
      <c r="C23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23" s="145" t="str">
        <f>IF(таблICTEhasCorrosionType[[#This Row],[Тех. Поле]]&lt;&gt;"",IF(B23="",VLOOKUP(C23,таблКоррозия[[Тех. Место]:[Тип_кор №10]],A23,FALSE),
               VLOOKUP(B23,таблКоррозия[[Тех. Место]:[Тип_кор №10]],A23,FALSE)),"")</f>
        <v/>
      </c>
      <c r="E23" s="146" t="str">
        <f>IF(D23&lt;&gt;"",VLOOKUP(D23,таблВидКор[],2,FALSE),"")</f>
        <v/>
      </c>
    </row>
    <row r="24" spans="1:5">
      <c r="A24" s="59" t="str">
        <f>IF(ROW()&gt;Passport!$BO$1,"",IF(B24&lt;&gt;"",IF(B24&lt;&gt;B23,4,A23+1),IF(C24&lt;&gt;C23,4,A23+1)))</f>
        <v/>
      </c>
      <c r="B24" s="145" t="str">
        <f>IF(VLOOKUP(ROW(),таблКоррозия[],4,TRUE)="ID",IF(ROW()&gt;MAX(таблКоррозия[Столбец1]),"",
                            VLOOKUP(ROW(),таблКоррозия[],5,TRUE)),"")</f>
        <v/>
      </c>
      <c r="C24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24" s="145" t="str">
        <f>IF(таблICTEhasCorrosionType[[#This Row],[Тех. Поле]]&lt;&gt;"",IF(B24="",VLOOKUP(C24,таблКоррозия[[Тех. Место]:[Тип_кор №10]],A24,FALSE),
               VLOOKUP(B24,таблКоррозия[[Тех. Место]:[Тип_кор №10]],A24,FALSE)),"")</f>
        <v/>
      </c>
      <c r="E24" s="146" t="str">
        <f>IF(D24&lt;&gt;"",VLOOKUP(D24,таблВидКор[],2,FALSE),"")</f>
        <v/>
      </c>
    </row>
    <row r="25" spans="1:5">
      <c r="A25" s="59" t="str">
        <f>IF(ROW()&gt;Passport!$BO$1,"",IF(B25&lt;&gt;"",IF(B25&lt;&gt;B24,4,A24+1),IF(C25&lt;&gt;C24,4,A24+1)))</f>
        <v/>
      </c>
      <c r="B25" s="145" t="str">
        <f>IF(VLOOKUP(ROW(),таблКоррозия[],4,TRUE)="ID",IF(ROW()&gt;MAX(таблКоррозия[Столбец1]),"",
                            VLOOKUP(ROW(),таблКоррозия[],5,TRUE)),"")</f>
        <v/>
      </c>
      <c r="C25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25" s="145" t="str">
        <f>IF(таблICTEhasCorrosionType[[#This Row],[Тех. Поле]]&lt;&gt;"",IF(B25="",VLOOKUP(C25,таблКоррозия[[Тех. Место]:[Тип_кор №10]],A25,FALSE),
               VLOOKUP(B25,таблКоррозия[[Тех. Место]:[Тип_кор №10]],A25,FALSE)),"")</f>
        <v/>
      </c>
      <c r="E25" s="146" t="str">
        <f>IF(D25&lt;&gt;"",VLOOKUP(D25,таблВидКор[],2,FALSE),"")</f>
        <v/>
      </c>
    </row>
    <row r="26" spans="1:5">
      <c r="A26" s="59" t="str">
        <f>IF(ROW()&gt;Passport!$BO$1,"",IF(B26&lt;&gt;"",IF(B26&lt;&gt;B25,4,A25+1),IF(C26&lt;&gt;C25,4,A25+1)))</f>
        <v/>
      </c>
      <c r="B26" s="145" t="str">
        <f>IF(VLOOKUP(ROW(),таблКоррозия[],4,TRUE)="ID",IF(ROW()&gt;MAX(таблКоррозия[Столбец1]),"",
                            VLOOKUP(ROW(),таблКоррозия[],5,TRUE)),"")</f>
        <v/>
      </c>
      <c r="C26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26" s="145" t="str">
        <f>IF(таблICTEhasCorrosionType[[#This Row],[Тех. Поле]]&lt;&gt;"",IF(B26="",VLOOKUP(C26,таблКоррозия[[Тех. Место]:[Тип_кор №10]],A26,FALSE),
               VLOOKUP(B26,таблКоррозия[[Тех. Место]:[Тип_кор №10]],A26,FALSE)),"")</f>
        <v/>
      </c>
      <c r="E26" s="146" t="str">
        <f>IF(D26&lt;&gt;"",VLOOKUP(D26,таблВидКор[],2,FALSE),"")</f>
        <v/>
      </c>
    </row>
    <row r="27" spans="1:5">
      <c r="A27" s="59" t="str">
        <f>IF(ROW()&gt;Passport!$BO$1,"",IF(B27&lt;&gt;"",IF(B27&lt;&gt;B26,4,A26+1),IF(C27&lt;&gt;C26,4,A26+1)))</f>
        <v/>
      </c>
      <c r="B27" s="145" t="str">
        <f>IF(VLOOKUP(ROW(),таблКоррозия[],4,TRUE)="ID",IF(ROW()&gt;MAX(таблКоррозия[Столбец1]),"",
                            VLOOKUP(ROW(),таблКоррозия[],5,TRUE)),"")</f>
        <v/>
      </c>
      <c r="C27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27" s="145" t="str">
        <f>IF(таблICTEhasCorrosionType[[#This Row],[Тех. Поле]]&lt;&gt;"",IF(B27="",VLOOKUP(C27,таблКоррозия[[Тех. Место]:[Тип_кор №10]],A27,FALSE),
               VLOOKUP(B27,таблКоррозия[[Тех. Место]:[Тип_кор №10]],A27,FALSE)),"")</f>
        <v/>
      </c>
      <c r="E27" s="146" t="str">
        <f>IF(D27&lt;&gt;"",VLOOKUP(D27,таблВидКор[],2,FALSE),"")</f>
        <v/>
      </c>
    </row>
    <row r="28" spans="1:5">
      <c r="A28" s="59" t="str">
        <f>IF(ROW()&gt;Passport!$BO$1,"",IF(B28&lt;&gt;"",IF(B28&lt;&gt;B27,4,A27+1),IF(C28&lt;&gt;C27,4,A27+1)))</f>
        <v/>
      </c>
      <c r="B28" s="145" t="str">
        <f>IF(VLOOKUP(ROW(),таблКоррозия[],4,TRUE)="ID",IF(ROW()&gt;MAX(таблКоррозия[Столбец1]),"",
                            VLOOKUP(ROW(),таблКоррозия[],5,TRUE)),"")</f>
        <v/>
      </c>
      <c r="C28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28" s="145" t="str">
        <f>IF(таблICTEhasCorrosionType[[#This Row],[Тех. Поле]]&lt;&gt;"",IF(B28="",VLOOKUP(C28,таблКоррозия[[Тех. Место]:[Тип_кор №10]],A28,FALSE),
               VLOOKUP(B28,таблКоррозия[[Тех. Место]:[Тип_кор №10]],A28,FALSE)),"")</f>
        <v/>
      </c>
      <c r="E28" s="146" t="str">
        <f>IF(D28&lt;&gt;"",VLOOKUP(D28,таблВидКор[],2,FALSE),"")</f>
        <v/>
      </c>
    </row>
    <row r="29" spans="1:5">
      <c r="A29" s="59" t="str">
        <f>IF(ROW()&gt;Passport!$BO$1,"",IF(B29&lt;&gt;"",IF(B29&lt;&gt;B28,4,A28+1),IF(C29&lt;&gt;C28,4,A28+1)))</f>
        <v/>
      </c>
      <c r="B29" s="145" t="str">
        <f>IF(VLOOKUP(ROW(),таблКоррозия[],4,TRUE)="ID",IF(ROW()&gt;MAX(таблКоррозия[Столбец1]),"",
                            VLOOKUP(ROW(),таблКоррозия[],5,TRUE)),"")</f>
        <v/>
      </c>
      <c r="C29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29" s="145" t="str">
        <f>IF(таблICTEhasCorrosionType[[#This Row],[Тех. Поле]]&lt;&gt;"",IF(B29="",VLOOKUP(C29,таблКоррозия[[Тех. Место]:[Тип_кор №10]],A29,FALSE),
               VLOOKUP(B29,таблКоррозия[[Тех. Место]:[Тип_кор №10]],A29,FALSE)),"")</f>
        <v/>
      </c>
      <c r="E29" s="146" t="str">
        <f>IF(D29&lt;&gt;"",VLOOKUP(D29,таблВидКор[],2,FALSE),"")</f>
        <v/>
      </c>
    </row>
    <row r="30" spans="1:5">
      <c r="A30" s="59" t="str">
        <f>IF(ROW()&gt;Passport!$BO$1,"",IF(B30&lt;&gt;"",IF(B30&lt;&gt;B29,4,A29+1),IF(C30&lt;&gt;C29,4,A29+1)))</f>
        <v/>
      </c>
      <c r="B30" s="145" t="str">
        <f>IF(VLOOKUP(ROW(),таблКоррозия[],4,TRUE)="ID",IF(ROW()&gt;MAX(таблКоррозия[Столбец1]),"",
                            VLOOKUP(ROW(),таблКоррозия[],5,TRUE)),"")</f>
        <v/>
      </c>
      <c r="C30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30" s="145" t="str">
        <f>IF(таблICTEhasCorrosionType[[#This Row],[Тех. Поле]]&lt;&gt;"",IF(B30="",VLOOKUP(C30,таблКоррозия[[Тех. Место]:[Тип_кор №10]],A30,FALSE),
               VLOOKUP(B30,таблКоррозия[[Тех. Место]:[Тип_кор №10]],A30,FALSE)),"")</f>
        <v/>
      </c>
      <c r="E30" s="146" t="str">
        <f>IF(D30&lt;&gt;"",VLOOKUP(D30,таблВидКор[],2,FALSE),"")</f>
        <v/>
      </c>
    </row>
    <row r="31" spans="1:5">
      <c r="A31" s="59" t="str">
        <f>IF(ROW()&gt;Passport!$BO$1,"",IF(B31&lt;&gt;"",IF(B31&lt;&gt;B30,4,A30+1),IF(C31&lt;&gt;C30,4,A30+1)))</f>
        <v/>
      </c>
      <c r="B31" s="145" t="str">
        <f>IF(VLOOKUP(ROW(),таблКоррозия[],4,TRUE)="ID",IF(ROW()&gt;MAX(таблКоррозия[Столбец1]),"",
                            VLOOKUP(ROW(),таблКоррозия[],5,TRUE)),"")</f>
        <v/>
      </c>
      <c r="C31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31" s="145" t="str">
        <f>IF(таблICTEhasCorrosionType[[#This Row],[Тех. Поле]]&lt;&gt;"",IF(B31="",VLOOKUP(C31,таблКоррозия[[Тех. Место]:[Тип_кор №10]],A31,FALSE),
               VLOOKUP(B31,таблКоррозия[[Тех. Место]:[Тип_кор №10]],A31,FALSE)),"")</f>
        <v/>
      </c>
      <c r="E31" s="146" t="str">
        <f>IF(D31&lt;&gt;"",VLOOKUP(D31,таблВидКор[],2,FALSE),"")</f>
        <v/>
      </c>
    </row>
    <row r="32" spans="1:5">
      <c r="A32" s="59" t="str">
        <f>IF(ROW()&gt;Passport!$BO$1,"",IF(B32&lt;&gt;"",IF(B32&lt;&gt;B31,4,A31+1),IF(C32&lt;&gt;C31,4,A31+1)))</f>
        <v/>
      </c>
      <c r="B32" s="145" t="str">
        <f>IF(VLOOKUP(ROW(),таблКоррозия[],4,TRUE)="ID",IF(ROW()&gt;MAX(таблКоррозия[Столбец1]),"",
                            VLOOKUP(ROW(),таблКоррозия[],5,TRUE)),"")</f>
        <v/>
      </c>
      <c r="C32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32" s="145" t="str">
        <f>IF(таблICTEhasCorrosionType[[#This Row],[Тех. Поле]]&lt;&gt;"",IF(B32="",VLOOKUP(C32,таблКоррозия[[Тех. Место]:[Тип_кор №10]],A32,FALSE),
               VLOOKUP(B32,таблКоррозия[[Тех. Место]:[Тип_кор №10]],A32,FALSE)),"")</f>
        <v/>
      </c>
      <c r="E32" s="146" t="str">
        <f>IF(D32&lt;&gt;"",VLOOKUP(D32,таблВидКор[],2,FALSE),"")</f>
        <v/>
      </c>
    </row>
    <row r="33" spans="1:5">
      <c r="A33" s="59" t="str">
        <f>IF(ROW()&gt;Passport!$BO$1,"",IF(B33&lt;&gt;"",IF(B33&lt;&gt;B32,4,A32+1),IF(C33&lt;&gt;C32,4,A32+1)))</f>
        <v/>
      </c>
      <c r="B33" s="145" t="str">
        <f>IF(VLOOKUP(ROW(),таблКоррозия[],4,TRUE)="ID",IF(ROW()&gt;MAX(таблКоррозия[Столбец1]),"",
                            VLOOKUP(ROW(),таблКоррозия[],5,TRUE)),"")</f>
        <v/>
      </c>
      <c r="C33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33" s="145" t="str">
        <f>IF(таблICTEhasCorrosionType[[#This Row],[Тех. Поле]]&lt;&gt;"",IF(B33="",VLOOKUP(C33,таблКоррозия[[Тех. Место]:[Тип_кор №10]],A33,FALSE),
               VLOOKUP(B33,таблКоррозия[[Тех. Место]:[Тип_кор №10]],A33,FALSE)),"")</f>
        <v/>
      </c>
      <c r="E33" s="146" t="str">
        <f>IF(D33&lt;&gt;"",VLOOKUP(D33,таблВидКор[],2,FALSE),"")</f>
        <v/>
      </c>
    </row>
    <row r="34" spans="1:5">
      <c r="A34" s="59" t="str">
        <f>IF(ROW()&gt;Passport!$BO$1,"",IF(B34&lt;&gt;"",IF(B34&lt;&gt;B33,4,A33+1),IF(C34&lt;&gt;C33,4,A33+1)))</f>
        <v/>
      </c>
      <c r="B34" s="145" t="str">
        <f>IF(VLOOKUP(ROW(),таблКоррозия[],4,TRUE)="ID",IF(ROW()&gt;MAX(таблКоррозия[Столбец1]),"",
                            VLOOKUP(ROW(),таблКоррозия[],5,TRUE)),"")</f>
        <v/>
      </c>
      <c r="C34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34" s="145" t="str">
        <f>IF(таблICTEhasCorrosionType[[#This Row],[Тех. Поле]]&lt;&gt;"",IF(B34="",VLOOKUP(C34,таблКоррозия[[Тех. Место]:[Тип_кор №10]],A34,FALSE),
               VLOOKUP(B34,таблКоррозия[[Тех. Место]:[Тип_кор №10]],A34,FALSE)),"")</f>
        <v/>
      </c>
      <c r="E34" s="146" t="str">
        <f>IF(D34&lt;&gt;"",VLOOKUP(D34,таблВидКор[],2,FALSE),"")</f>
        <v/>
      </c>
    </row>
    <row r="35" spans="1:5">
      <c r="A35" s="59" t="str">
        <f>IF(ROW()&gt;Passport!$BO$1,"",IF(B35&lt;&gt;"",IF(B35&lt;&gt;B34,4,A34+1),IF(C35&lt;&gt;C34,4,A34+1)))</f>
        <v/>
      </c>
      <c r="B35" s="145" t="str">
        <f>IF(VLOOKUP(ROW(),таблКоррозия[],4,TRUE)="ID",IF(ROW()&gt;MAX(таблКоррозия[Столбец1]),"",
                            VLOOKUP(ROW(),таблКоррозия[],5,TRUE)),"")</f>
        <v/>
      </c>
      <c r="C35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35" s="145" t="str">
        <f>IF(таблICTEhasCorrosionType[[#This Row],[Тех. Поле]]&lt;&gt;"",IF(B35="",VLOOKUP(C35,таблКоррозия[[Тех. Место]:[Тип_кор №10]],A35,FALSE),
               VLOOKUP(B35,таблКоррозия[[Тех. Место]:[Тип_кор №10]],A35,FALSE)),"")</f>
        <v/>
      </c>
      <c r="E35" s="146" t="str">
        <f>IF(D35&lt;&gt;"",VLOOKUP(D35,таблВидКор[],2,FALSE),"")</f>
        <v/>
      </c>
    </row>
    <row r="36" spans="1:5">
      <c r="A36" s="59" t="str">
        <f>IF(ROW()&gt;Passport!$BO$1,"",IF(B36&lt;&gt;"",IF(B36&lt;&gt;B35,4,A35+1),IF(C36&lt;&gt;C35,4,A35+1)))</f>
        <v/>
      </c>
      <c r="B36" s="145" t="str">
        <f>IF(VLOOKUP(ROW(),таблКоррозия[],4,TRUE)="ID",IF(ROW()&gt;MAX(таблКоррозия[Столбец1]),"",
                            VLOOKUP(ROW(),таблКоррозия[],5,TRUE)),"")</f>
        <v/>
      </c>
      <c r="C36" s="145" t="str">
        <f>IF(VLOOKUP(ROW(),таблКоррозия[],4,TRUE)="Тех. место",IF(ROW()&gt;MAX(таблКоррозия[Столбец1]),"",
                            VLOOKUP(ROW(),таблКоррозия[],5,TRUE)),"")</f>
        <v/>
      </c>
      <c r="D36" s="145" t="str">
        <f>IF(таблICTEhasCorrosionType[[#This Row],[Тех. Поле]]&lt;&gt;"",IF(B36="",VLOOKUP(C36,таблКоррозия[[Тех. Место]:[Тип_кор №10]],A36,FALSE),
               VLOOKUP(B36,таблКоррозия[[Тех. Место]:[Тип_кор №10]],A36,FALSE)),"")</f>
        <v/>
      </c>
      <c r="E36" s="146" t="str">
        <f>IF(D36&lt;&gt;"",VLOOKUP(D36,таблВидКор[],2,FALSE),"")</f>
        <v/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theme="9" tint="0.39997558519241921"/>
  </sheetPr>
  <dimension ref="A1:E36"/>
  <sheetViews>
    <sheetView zoomScale="85" zoomScaleNormal="85" workbookViewId="0">
      <selection activeCell="B7" sqref="B7"/>
    </sheetView>
  </sheetViews>
  <sheetFormatPr defaultRowHeight="15"/>
  <cols>
    <col min="1" max="1" width="11.85546875" style="59" customWidth="1"/>
    <col min="2" max="2" width="65.42578125" style="59" customWidth="1"/>
    <col min="3" max="3" width="73.140625" style="59" customWidth="1"/>
    <col min="4" max="4" width="47.5703125" style="59" customWidth="1"/>
    <col min="5" max="5" width="51.140625" style="59" customWidth="1"/>
  </cols>
  <sheetData>
    <row r="1" spans="1:5">
      <c r="B1" s="147" t="s">
        <v>318</v>
      </c>
      <c r="C1" s="147" t="s">
        <v>319</v>
      </c>
      <c r="D1" s="148" t="s">
        <v>324</v>
      </c>
      <c r="E1" s="148" t="s">
        <v>325</v>
      </c>
    </row>
    <row r="2" spans="1:5">
      <c r="A2" s="59" t="s">
        <v>416</v>
      </c>
      <c r="B2" s="149" t="s">
        <v>322</v>
      </c>
      <c r="C2" s="149" t="s">
        <v>323</v>
      </c>
      <c r="D2" s="149" t="s">
        <v>326</v>
      </c>
      <c r="E2" s="150" t="s">
        <v>327</v>
      </c>
    </row>
    <row r="3" spans="1:5">
      <c r="A3" s="59" t="str">
        <f>IF(ROW()&gt;Passport!$CG$1,"",IF(B3&lt;&gt;"",IF(B3&lt;&gt;B2,4,A2+1),IF(C3&lt;&gt;C2,4,A2+1)))</f>
        <v/>
      </c>
      <c r="B3" s="145" t="str">
        <f>IF(VLOOKUP(ROW(),таблНКС[],4,TRUE)="ID",IF(ROW()&gt;MAX(таблНКС[Столбец1]),"",
                            VLOOKUP(ROW(),таблНКС[],5,TRUE)),"")</f>
        <v/>
      </c>
      <c r="C3" s="145" t="str">
        <f>IF(VLOOKUP(ROW(),таблНКС[],4,TRUE)="Тех. место",IF(ROW()&gt;MAX(таблНКС[Столбец1]),"",
                            VLOOKUP(ROW(),таблНКС[],5,TRUE)),"")</f>
        <v/>
      </c>
      <c r="D3" s="145" t="str">
        <f>IF(таблICTEhasUnaccountedComp[[#This Row],[Тех. Поле]]&lt;&gt;"",IF(B3="",VLOOKUP(C3,таблНКС[[Тех. Место]:[Неуч_комп_среды №10]],A3,FALSE),
               VLOOKUP(B3,таблНКС[[Тех. Место]:[Неуч_комп_среды №10]],A3,FALSE)),"")</f>
        <v/>
      </c>
      <c r="E3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4" spans="1:5">
      <c r="A4" s="59" t="str">
        <f>IF(ROW()&gt;Passport!$CG$1,"",IF(B4&lt;&gt;"",IF(B4&lt;&gt;B3,4,A3+1),IF(C4&lt;&gt;C3,4,A3+1)))</f>
        <v/>
      </c>
      <c r="B4" s="145" t="str">
        <f>IF(VLOOKUP(ROW(),таблНКС[],4,TRUE)="ID",IF(ROW()&gt;MAX(таблНКС[Столбец1]),"",
                            VLOOKUP(ROW(),таблНКС[],5,TRUE)),"")</f>
        <v/>
      </c>
      <c r="C4" s="145" t="str">
        <f>IF(VLOOKUP(ROW(),таблНКС[],4,TRUE)="Тех. место",IF(ROW()&gt;MAX(таблНКС[Столбец1]),"",
                            VLOOKUP(ROW(),таблНКС[],5,TRUE)),"")</f>
        <v/>
      </c>
      <c r="D4" s="145" t="str">
        <f>IF(таблICTEhasUnaccountedComp[[#This Row],[Тех. Поле]]&lt;&gt;"",IF(B4="",VLOOKUP(C4,таблНКС[[Тех. Место]:[Неуч_комп_среды №10]],A4,FALSE),
               VLOOKUP(B4,таблНКС[[Тех. Место]:[Неуч_комп_среды №10]],A4,FALSE)),"")</f>
        <v/>
      </c>
      <c r="E4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5" spans="1:5">
      <c r="A5" s="59" t="str">
        <f>IF(ROW()&gt;Passport!$CG$1,"",IF(B5&lt;&gt;"",IF(B5&lt;&gt;B4,4,A4+1),IF(C5&lt;&gt;C4,4,A4+1)))</f>
        <v/>
      </c>
      <c r="B5" s="145" t="str">
        <f>IF(VLOOKUP(ROW(),таблНКС[],4,TRUE)="ID",IF(ROW()&gt;MAX(таблНКС[Столбец1]),"",
                            VLOOKUP(ROW(),таблНКС[],5,TRUE)),"")</f>
        <v/>
      </c>
      <c r="C5" s="145" t="str">
        <f>IF(VLOOKUP(ROW(),таблНКС[],4,TRUE)="Тех. место",IF(ROW()&gt;MAX(таблНКС[Столбец1]),"",
                            VLOOKUP(ROW(),таблНКС[],5,TRUE)),"")</f>
        <v/>
      </c>
      <c r="D5" s="145" t="str">
        <f>IF(таблICTEhasUnaccountedComp[[#This Row],[Тех. Поле]]&lt;&gt;"",IF(B5="",VLOOKUP(C5,таблНКС[[Тех. Место]:[Неуч_комп_среды №10]],A5,FALSE),
               VLOOKUP(B5,таблНКС[[Тех. Место]:[Неуч_комп_среды №10]],A5,FALSE)),"")</f>
        <v/>
      </c>
      <c r="E5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6" spans="1:5">
      <c r="A6" s="59" t="str">
        <f>IF(ROW()&gt;Passport!$CG$1,"",IF(B6&lt;&gt;"",IF(B6&lt;&gt;B5,4,A5+1),IF(C6&lt;&gt;C5,4,A5+1)))</f>
        <v/>
      </c>
      <c r="B6" s="145" t="str">
        <f>IF(VLOOKUP(ROW(),таблНКС[],4,TRUE)="ID",IF(ROW()&gt;MAX(таблНКС[Столбец1]),"",
                            VLOOKUP(ROW(),таблНКС[],5,TRUE)),"")</f>
        <v/>
      </c>
      <c r="C6" s="145" t="str">
        <f>IF(VLOOKUP(ROW(),таблНКС[],4,TRUE)="Тех. место",IF(ROW()&gt;MAX(таблНКС[Столбец1]),"",
                            VLOOKUP(ROW(),таблНКС[],5,TRUE)),"")</f>
        <v/>
      </c>
      <c r="D6" s="145" t="str">
        <f>IF(таблICTEhasUnaccountedComp[[#This Row],[Тех. Поле]]&lt;&gt;"",IF(B6="",VLOOKUP(C6,таблНКС[[Тех. Место]:[Неуч_комп_среды №10]],A6,FALSE),
               VLOOKUP(B6,таблНКС[[Тех. Место]:[Неуч_комп_среды №10]],A6,FALSE)),"")</f>
        <v/>
      </c>
      <c r="E6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7" spans="1:5">
      <c r="A7" s="59" t="str">
        <f>IF(ROW()&gt;Passport!$CG$1,"",IF(B7&lt;&gt;"",IF(B7&lt;&gt;B6,4,A6+1),IF(C7&lt;&gt;C6,4,A6+1)))</f>
        <v/>
      </c>
      <c r="B7" s="145" t="str">
        <f>IF(VLOOKUP(ROW(),таблНКС[],4,TRUE)="ID",IF(ROW()&gt;MAX(таблНКС[Столбец1]),"",
                            VLOOKUP(ROW(),таблНКС[],5,TRUE)),"")</f>
        <v/>
      </c>
      <c r="C7" s="145" t="str">
        <f>IF(VLOOKUP(ROW(),таблНКС[],4,TRUE)="Тех. место",IF(ROW()&gt;MAX(таблНКС[Столбец1]),"",
                            VLOOKUP(ROW(),таблНКС[],5,TRUE)),"")</f>
        <v/>
      </c>
      <c r="D7" s="145" t="str">
        <f>IF(таблICTEhasUnaccountedComp[[#This Row],[Тех. Поле]]&lt;&gt;"",IF(B7="",VLOOKUP(C7,таблНКС[[Тех. Место]:[Неуч_комп_среды №10]],A7,FALSE),
               VLOOKUP(B7,таблНКС[[Тех. Место]:[Неуч_комп_среды №10]],A7,FALSE)),"")</f>
        <v/>
      </c>
      <c r="E7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8" spans="1:5">
      <c r="A8" s="59" t="str">
        <f>IF(ROW()&gt;Passport!$CG$1,"",IF(B8&lt;&gt;"",IF(B8&lt;&gt;B7,4,A7+1),IF(C8&lt;&gt;C7,4,A7+1)))</f>
        <v/>
      </c>
      <c r="B8" s="145" t="str">
        <f>IF(VLOOKUP(ROW(),таблНКС[],4,TRUE)="ID",IF(ROW()&gt;MAX(таблНКС[Столбец1]),"",
                            VLOOKUP(ROW(),таблНКС[],5,TRUE)),"")</f>
        <v/>
      </c>
      <c r="C8" s="145" t="str">
        <f>IF(VLOOKUP(ROW(),таблНКС[],4,TRUE)="Тех. место",IF(ROW()&gt;MAX(таблНКС[Столбец1]),"",
                            VLOOKUP(ROW(),таблНКС[],5,TRUE)),"")</f>
        <v/>
      </c>
      <c r="D8" s="145" t="str">
        <f>IF(таблICTEhasUnaccountedComp[[#This Row],[Тех. Поле]]&lt;&gt;"",IF(B8="",VLOOKUP(C8,таблНКС[[Тех. Место]:[Неуч_комп_среды №10]],A8,FALSE),
               VLOOKUP(B8,таблНКС[[Тех. Место]:[Неуч_комп_среды №10]],A8,FALSE)),"")</f>
        <v/>
      </c>
      <c r="E8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9" spans="1:5">
      <c r="A9" s="59" t="str">
        <f>IF(ROW()&gt;Passport!$CG$1,"",IF(B9&lt;&gt;"",IF(B9&lt;&gt;B8,4,A8+1),IF(C9&lt;&gt;C8,4,A8+1)))</f>
        <v/>
      </c>
      <c r="B9" s="145" t="str">
        <f>IF(VLOOKUP(ROW(),таблНКС[],4,TRUE)="ID",IF(ROW()&gt;MAX(таблНКС[Столбец1]),"",
                            VLOOKUP(ROW(),таблНКС[],5,TRUE)),"")</f>
        <v/>
      </c>
      <c r="C9" s="145" t="str">
        <f>IF(VLOOKUP(ROW(),таблНКС[],4,TRUE)="Тех. место",IF(ROW()&gt;MAX(таблНКС[Столбец1]),"",
                            VLOOKUP(ROW(),таблНКС[],5,TRUE)),"")</f>
        <v/>
      </c>
      <c r="D9" s="145" t="str">
        <f>IF(таблICTEhasUnaccountedComp[[#This Row],[Тех. Поле]]&lt;&gt;"",IF(B9="",VLOOKUP(C9,таблНКС[[Тех. Место]:[Неуч_комп_среды №10]],A9,FALSE),
               VLOOKUP(B9,таблНКС[[Тех. Место]:[Неуч_комп_среды №10]],A9,FALSE)),"")</f>
        <v/>
      </c>
      <c r="E9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10" spans="1:5">
      <c r="A10" s="59" t="str">
        <f>IF(ROW()&gt;Passport!$CG$1,"",IF(B10&lt;&gt;"",IF(B10&lt;&gt;B9,4,A9+1),IF(C10&lt;&gt;C9,4,A9+1)))</f>
        <v/>
      </c>
      <c r="B10" s="145" t="str">
        <f>IF(VLOOKUP(ROW(),таблНКС[],4,TRUE)="ID",IF(ROW()&gt;MAX(таблНКС[Столбец1]),"",
                            VLOOKUP(ROW(),таблНКС[],5,TRUE)),"")</f>
        <v/>
      </c>
      <c r="C10" s="145" t="str">
        <f>IF(VLOOKUP(ROW(),таблНКС[],4,TRUE)="Тех. место",IF(ROW()&gt;MAX(таблНКС[Столбец1]),"",
                            VLOOKUP(ROW(),таблНКС[],5,TRUE)),"")</f>
        <v/>
      </c>
      <c r="D10" s="145" t="str">
        <f>IF(таблICTEhasUnaccountedComp[[#This Row],[Тех. Поле]]&lt;&gt;"",IF(B10="",VLOOKUP(C10,таблНКС[[Тех. Место]:[Неуч_комп_среды №10]],A10,FALSE),
               VLOOKUP(B10,таблНКС[[Тех. Место]:[Неуч_комп_среды №10]],A10,FALSE)),"")</f>
        <v/>
      </c>
      <c r="E10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11" spans="1:5">
      <c r="A11" s="59" t="str">
        <f>IF(ROW()&gt;Passport!$CG$1,"",IF(B11&lt;&gt;"",IF(B11&lt;&gt;B10,4,A10+1),IF(C11&lt;&gt;C10,4,A10+1)))</f>
        <v/>
      </c>
      <c r="B11" s="145" t="str">
        <f>IF(VLOOKUP(ROW(),таблНКС[],4,TRUE)="ID",IF(ROW()&gt;MAX(таблНКС[Столбец1]),"",
                            VLOOKUP(ROW(),таблНКС[],5,TRUE)),"")</f>
        <v/>
      </c>
      <c r="C11" s="145" t="str">
        <f>IF(VLOOKUP(ROW(),таблНКС[],4,TRUE)="Тех. место",IF(ROW()&gt;MAX(таблНКС[Столбец1]),"",
                            VLOOKUP(ROW(),таблНКС[],5,TRUE)),"")</f>
        <v/>
      </c>
      <c r="D11" s="145" t="str">
        <f>IF(таблICTEhasUnaccountedComp[[#This Row],[Тех. Поле]]&lt;&gt;"",IF(B11="",VLOOKUP(C11,таблНКС[[Тех. Место]:[Неуч_комп_среды №10]],A11,FALSE),
               VLOOKUP(B11,таблНКС[[Тех. Место]:[Неуч_комп_среды №10]],A11,FALSE)),"")</f>
        <v/>
      </c>
      <c r="E11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12" spans="1:5">
      <c r="A12" s="59" t="str">
        <f>IF(ROW()&gt;Passport!$CG$1,"",IF(B12&lt;&gt;"",IF(B12&lt;&gt;B11,4,A11+1),IF(C12&lt;&gt;C11,4,A11+1)))</f>
        <v/>
      </c>
      <c r="B12" s="145" t="str">
        <f>IF(VLOOKUP(ROW(),таблНКС[],4,TRUE)="ID",IF(ROW()&gt;MAX(таблНКС[Столбец1]),"",
                            VLOOKUP(ROW(),таблНКС[],5,TRUE)),"")</f>
        <v/>
      </c>
      <c r="C12" s="145" t="str">
        <f>IF(VLOOKUP(ROW(),таблНКС[],4,TRUE)="Тех. место",IF(ROW()&gt;MAX(таблНКС[Столбец1]),"",
                            VLOOKUP(ROW(),таблНКС[],5,TRUE)),"")</f>
        <v/>
      </c>
      <c r="D12" s="145" t="str">
        <f>IF(таблICTEhasUnaccountedComp[[#This Row],[Тех. Поле]]&lt;&gt;"",IF(B12="",VLOOKUP(C12,таблНКС[[Тех. Место]:[Неуч_комп_среды №10]],A12,FALSE),
               VLOOKUP(B12,таблНКС[[Тех. Место]:[Неуч_комп_среды №10]],A12,FALSE)),"")</f>
        <v/>
      </c>
      <c r="E12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13" spans="1:5">
      <c r="A13" s="59" t="str">
        <f>IF(ROW()&gt;Passport!$CG$1,"",IF(B13&lt;&gt;"",IF(B13&lt;&gt;B12,4,A12+1),IF(C13&lt;&gt;C12,4,A12+1)))</f>
        <v/>
      </c>
      <c r="B13" s="145" t="str">
        <f>IF(VLOOKUP(ROW(),таблНКС[],4,TRUE)="ID",IF(ROW()&gt;MAX(таблНКС[Столбец1]),"",
                            VLOOKUP(ROW(),таблНКС[],5,TRUE)),"")</f>
        <v/>
      </c>
      <c r="C13" s="145" t="str">
        <f>IF(VLOOKUP(ROW(),таблНКС[],4,TRUE)="Тех. место",IF(ROW()&gt;MAX(таблНКС[Столбец1]),"",
                            VLOOKUP(ROW(),таблНКС[],5,TRUE)),"")</f>
        <v/>
      </c>
      <c r="D13" s="145" t="str">
        <f>IF(таблICTEhasUnaccountedComp[[#This Row],[Тех. Поле]]&lt;&gt;"",IF(B13="",VLOOKUP(C13,таблНКС[[Тех. Место]:[Неуч_комп_среды №10]],A13,FALSE),
               VLOOKUP(B13,таблНКС[[Тех. Место]:[Неуч_комп_среды №10]],A13,FALSE)),"")</f>
        <v/>
      </c>
      <c r="E13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14" spans="1:5">
      <c r="A14" s="59" t="str">
        <f>IF(ROW()&gt;Passport!$CG$1,"",IF(B14&lt;&gt;"",IF(B14&lt;&gt;B13,4,A13+1),IF(C14&lt;&gt;C13,4,A13+1)))</f>
        <v/>
      </c>
      <c r="B14" s="145" t="str">
        <f>IF(VLOOKUP(ROW(),таблНКС[],4,TRUE)="ID",IF(ROW()&gt;MAX(таблНКС[Столбец1]),"",
                            VLOOKUP(ROW(),таблНКС[],5,TRUE)),"")</f>
        <v/>
      </c>
      <c r="C14" s="145" t="str">
        <f>IF(VLOOKUP(ROW(),таблНКС[],4,TRUE)="Тех. место",IF(ROW()&gt;MAX(таблНКС[Столбец1]),"",
                            VLOOKUP(ROW(),таблНКС[],5,TRUE)),"")</f>
        <v/>
      </c>
      <c r="D14" s="145" t="str">
        <f>IF(таблICTEhasUnaccountedComp[[#This Row],[Тех. Поле]]&lt;&gt;"",IF(B14="",VLOOKUP(C14,таблНКС[[Тех. Место]:[Неуч_комп_среды №10]],A14,FALSE),
               VLOOKUP(B14,таблНКС[[Тех. Место]:[Неуч_комп_среды №10]],A14,FALSE)),"")</f>
        <v/>
      </c>
      <c r="E14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15" spans="1:5">
      <c r="A15" s="59" t="str">
        <f>IF(ROW()&gt;Passport!$CG$1,"",IF(B15&lt;&gt;"",IF(B15&lt;&gt;B14,4,A14+1),IF(C15&lt;&gt;C14,4,A14+1)))</f>
        <v/>
      </c>
      <c r="B15" s="145" t="str">
        <f>IF(VLOOKUP(ROW(),таблНКС[],4,TRUE)="ID",IF(ROW()&gt;MAX(таблНКС[Столбец1]),"",
                            VLOOKUP(ROW(),таблНКС[],5,TRUE)),"")</f>
        <v/>
      </c>
      <c r="C15" s="145" t="str">
        <f>IF(VLOOKUP(ROW(),таблНКС[],4,TRUE)="Тех. место",IF(ROW()&gt;MAX(таблНКС[Столбец1]),"",
                            VLOOKUP(ROW(),таблНКС[],5,TRUE)),"")</f>
        <v/>
      </c>
      <c r="D15" s="145" t="str">
        <f>IF(таблICTEhasUnaccountedComp[[#This Row],[Тех. Поле]]&lt;&gt;"",IF(B15="",VLOOKUP(C15,таблНКС[[Тех. Место]:[Неуч_комп_среды №10]],A15,FALSE),
               VLOOKUP(B15,таблНКС[[Тех. Место]:[Неуч_комп_среды №10]],A15,FALSE)),"")</f>
        <v/>
      </c>
      <c r="E15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16" spans="1:5">
      <c r="A16" s="59" t="str">
        <f>IF(ROW()&gt;Passport!$CG$1,"",IF(B16&lt;&gt;"",IF(B16&lt;&gt;B15,4,A15+1),IF(C16&lt;&gt;C15,4,A15+1)))</f>
        <v/>
      </c>
      <c r="B16" s="145" t="str">
        <f>IF(VLOOKUP(ROW(),таблНКС[],4,TRUE)="ID",IF(ROW()&gt;MAX(таблНКС[Столбец1]),"",
                            VLOOKUP(ROW(),таблНКС[],5,TRUE)),"")</f>
        <v/>
      </c>
      <c r="C16" s="145" t="str">
        <f>IF(VLOOKUP(ROW(),таблНКС[],4,TRUE)="Тех. место",IF(ROW()&gt;MAX(таблНКС[Столбец1]),"",
                            VLOOKUP(ROW(),таблНКС[],5,TRUE)),"")</f>
        <v/>
      </c>
      <c r="D16" s="145" t="str">
        <f>IF(таблICTEhasUnaccountedComp[[#This Row],[Тех. Поле]]&lt;&gt;"",IF(B16="",VLOOKUP(C16,таблНКС[[Тех. Место]:[Неуч_комп_среды №10]],A16,FALSE),
               VLOOKUP(B16,таблНКС[[Тех. Место]:[Неуч_комп_среды №10]],A16,FALSE)),"")</f>
        <v/>
      </c>
      <c r="E16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17" spans="1:5">
      <c r="A17" s="59" t="str">
        <f>IF(ROW()&gt;Passport!$CG$1,"",IF(B17&lt;&gt;"",IF(B17&lt;&gt;B16,4,A16+1),IF(C17&lt;&gt;C16,4,A16+1)))</f>
        <v/>
      </c>
      <c r="B17" s="145" t="str">
        <f>IF(VLOOKUP(ROW(),таблНКС[],4,TRUE)="ID",IF(ROW()&gt;MAX(таблНКС[Столбец1]),"",
                            VLOOKUP(ROW(),таблНКС[],5,TRUE)),"")</f>
        <v/>
      </c>
      <c r="C17" s="145" t="str">
        <f>IF(VLOOKUP(ROW(),таблНКС[],4,TRUE)="Тех. место",IF(ROW()&gt;MAX(таблНКС[Столбец1]),"",
                            VLOOKUP(ROW(),таблНКС[],5,TRUE)),"")</f>
        <v/>
      </c>
      <c r="D17" s="145" t="str">
        <f>IF(таблICTEhasUnaccountedComp[[#This Row],[Тех. Поле]]&lt;&gt;"",IF(B17="",VLOOKUP(C17,таблНКС[[Тех. Место]:[Неуч_комп_среды №10]],A17,FALSE),
               VLOOKUP(B17,таблНКС[[Тех. Место]:[Неуч_комп_среды №10]],A17,FALSE)),"")</f>
        <v/>
      </c>
      <c r="E17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18" spans="1:5">
      <c r="A18" s="59" t="str">
        <f>IF(ROW()&gt;Passport!$CG$1,"",IF(B18&lt;&gt;"",IF(B18&lt;&gt;B17,4,A17+1),IF(C18&lt;&gt;C17,4,A17+1)))</f>
        <v/>
      </c>
      <c r="B18" s="145" t="str">
        <f>IF(VLOOKUP(ROW(),таблНКС[],4,TRUE)="ID",IF(ROW()&gt;MAX(таблНКС[Столбец1]),"",
                            VLOOKUP(ROW(),таблНКС[],5,TRUE)),"")</f>
        <v/>
      </c>
      <c r="C18" s="145" t="str">
        <f>IF(VLOOKUP(ROW(),таблНКС[],4,TRUE)="Тех. место",IF(ROW()&gt;MAX(таблНКС[Столбец1]),"",
                            VLOOKUP(ROW(),таблНКС[],5,TRUE)),"")</f>
        <v/>
      </c>
      <c r="D18" s="145" t="str">
        <f>IF(таблICTEhasUnaccountedComp[[#This Row],[Тех. Поле]]&lt;&gt;"",IF(B18="",VLOOKUP(C18,таблНКС[[Тех. Место]:[Неуч_комп_среды №10]],A18,FALSE),
               VLOOKUP(B18,таблНКС[[Тех. Место]:[Неуч_комп_среды №10]],A18,FALSE)),"")</f>
        <v/>
      </c>
      <c r="E18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19" spans="1:5">
      <c r="A19" s="59" t="str">
        <f>IF(ROW()&gt;Passport!$CG$1,"",IF(B19&lt;&gt;"",IF(B19&lt;&gt;B18,4,A18+1),IF(C19&lt;&gt;C18,4,A18+1)))</f>
        <v/>
      </c>
      <c r="B19" s="145" t="str">
        <f>IF(VLOOKUP(ROW(),таблНКС[],4,TRUE)="ID",IF(ROW()&gt;MAX(таблНКС[Столбец1]),"",
                            VLOOKUP(ROW(),таблНКС[],5,TRUE)),"")</f>
        <v/>
      </c>
      <c r="C19" s="145" t="str">
        <f>IF(VLOOKUP(ROW(),таблНКС[],4,TRUE)="Тех. место",IF(ROW()&gt;MAX(таблНКС[Столбец1]),"",
                            VLOOKUP(ROW(),таблНКС[],5,TRUE)),"")</f>
        <v/>
      </c>
      <c r="D19" s="145" t="str">
        <f>IF(таблICTEhasUnaccountedComp[[#This Row],[Тех. Поле]]&lt;&gt;"",IF(B19="",VLOOKUP(C19,таблНКС[[Тех. Место]:[Неуч_комп_среды №10]],A19,FALSE),
               VLOOKUP(B19,таблНКС[[Тех. Место]:[Неуч_комп_среды №10]],A19,FALSE)),"")</f>
        <v/>
      </c>
      <c r="E19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20" spans="1:5">
      <c r="A20" s="59" t="str">
        <f>IF(ROW()&gt;Passport!$CG$1,"",IF(B20&lt;&gt;"",IF(B20&lt;&gt;B19,4,A19+1),IF(C20&lt;&gt;C19,4,A19+1)))</f>
        <v/>
      </c>
      <c r="B20" s="145" t="str">
        <f>IF(VLOOKUP(ROW(),таблНКС[],4,TRUE)="ID",IF(ROW()&gt;MAX(таблНКС[Столбец1]),"",
                            VLOOKUP(ROW(),таблНКС[],5,TRUE)),"")</f>
        <v/>
      </c>
      <c r="C20" s="145" t="str">
        <f>IF(VLOOKUP(ROW(),таблНКС[],4,TRUE)="Тех. место",IF(ROW()&gt;MAX(таблНКС[Столбец1]),"",
                            VLOOKUP(ROW(),таблНКС[],5,TRUE)),"")</f>
        <v/>
      </c>
      <c r="D20" s="145" t="str">
        <f>IF(таблICTEhasUnaccountedComp[[#This Row],[Тех. Поле]]&lt;&gt;"",IF(B20="",VLOOKUP(C20,таблНКС[[Тех. Место]:[Неуч_комп_среды №10]],A20,FALSE),
               VLOOKUP(B20,таблНКС[[Тех. Место]:[Неуч_комп_среды №10]],A20,FALSE)),"")</f>
        <v/>
      </c>
      <c r="E20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21" spans="1:5">
      <c r="A21" s="59" t="str">
        <f>IF(ROW()&gt;Passport!$CG$1,"",IF(B21&lt;&gt;"",IF(B21&lt;&gt;B20,4,A20+1),IF(C21&lt;&gt;C20,4,A20+1)))</f>
        <v/>
      </c>
      <c r="B21" s="145" t="str">
        <f>IF(VLOOKUP(ROW(),таблНКС[],4,TRUE)="ID",IF(ROW()&gt;MAX(таблНКС[Столбец1]),"",
                            VLOOKUP(ROW(),таблНКС[],5,TRUE)),"")</f>
        <v/>
      </c>
      <c r="C21" s="145" t="str">
        <f>IF(VLOOKUP(ROW(),таблНКС[],4,TRUE)="Тех. место",IF(ROW()&gt;MAX(таблНКС[Столбец1]),"",
                            VLOOKUP(ROW(),таблНКС[],5,TRUE)),"")</f>
        <v/>
      </c>
      <c r="D21" s="145" t="str">
        <f>IF(таблICTEhasUnaccountedComp[[#This Row],[Тех. Поле]]&lt;&gt;"",IF(B21="",VLOOKUP(C21,таблНКС[[Тех. Место]:[Неуч_комп_среды №10]],A21,FALSE),
               VLOOKUP(B21,таблНКС[[Тех. Место]:[Неуч_комп_среды №10]],A21,FALSE)),"")</f>
        <v/>
      </c>
      <c r="E21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22" spans="1:5">
      <c r="A22" s="59" t="str">
        <f>IF(ROW()&gt;Passport!$CG$1,"",IF(B22&lt;&gt;"",IF(B22&lt;&gt;B21,4,A21+1),IF(C22&lt;&gt;C21,4,A21+1)))</f>
        <v/>
      </c>
      <c r="B22" s="145" t="str">
        <f>IF(VLOOKUP(ROW(),таблНКС[],4,TRUE)="ID",IF(ROW()&gt;MAX(таблНКС[Столбец1]),"",
                            VLOOKUP(ROW(),таблНКС[],5,TRUE)),"")</f>
        <v/>
      </c>
      <c r="C22" s="145" t="str">
        <f>IF(VLOOKUP(ROW(),таблНКС[],4,TRUE)="Тех. место",IF(ROW()&gt;MAX(таблНКС[Столбец1]),"",
                            VLOOKUP(ROW(),таблНКС[],5,TRUE)),"")</f>
        <v/>
      </c>
      <c r="D22" s="145" t="str">
        <f>IF(таблICTEhasUnaccountedComp[[#This Row],[Тех. Поле]]&lt;&gt;"",IF(B22="",VLOOKUP(C22,таблНКС[[Тех. Место]:[Неуч_комп_среды №10]],A22,FALSE),
               VLOOKUP(B22,таблНКС[[Тех. Место]:[Неуч_комп_среды №10]],A22,FALSE)),"")</f>
        <v/>
      </c>
      <c r="E22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23" spans="1:5">
      <c r="A23" s="59" t="str">
        <f>IF(ROW()&gt;Passport!$CG$1,"",IF(B23&lt;&gt;"",IF(B23&lt;&gt;B22,4,A22+1),IF(C23&lt;&gt;C22,4,A22+1)))</f>
        <v/>
      </c>
      <c r="B23" s="145" t="str">
        <f>IF(VLOOKUP(ROW(),таблНКС[],4,TRUE)="ID",IF(ROW()&gt;MAX(таблНКС[Столбец1]),"",
                            VLOOKUP(ROW(),таблНКС[],5,TRUE)),"")</f>
        <v/>
      </c>
      <c r="C23" s="145" t="str">
        <f>IF(VLOOKUP(ROW(),таблНКС[],4,TRUE)="Тех. место",IF(ROW()&gt;MAX(таблНКС[Столбец1]),"",
                            VLOOKUP(ROW(),таблНКС[],5,TRUE)),"")</f>
        <v/>
      </c>
      <c r="D23" s="145" t="str">
        <f>IF(таблICTEhasUnaccountedComp[[#This Row],[Тех. Поле]]&lt;&gt;"",IF(B23="",VLOOKUP(C23,таблНКС[[Тех. Место]:[Неуч_комп_среды №10]],A23,FALSE),
               VLOOKUP(B23,таблНКС[[Тех. Место]:[Неуч_комп_среды №10]],A23,FALSE)),"")</f>
        <v/>
      </c>
      <c r="E23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24" spans="1:5">
      <c r="A24" s="59" t="str">
        <f>IF(ROW()&gt;Passport!$CG$1,"",IF(B24&lt;&gt;"",IF(B24&lt;&gt;B23,4,A23+1),IF(C24&lt;&gt;C23,4,A23+1)))</f>
        <v/>
      </c>
      <c r="B24" s="145" t="str">
        <f>IF(VLOOKUP(ROW(),таблНКС[],4,TRUE)="ID",IF(ROW()&gt;MAX(таблНКС[Столбец1]),"",
                            VLOOKUP(ROW(),таблНКС[],5,TRUE)),"")</f>
        <v/>
      </c>
      <c r="C24" s="145" t="str">
        <f>IF(VLOOKUP(ROW(),таблНКС[],4,TRUE)="Тех. место",IF(ROW()&gt;MAX(таблНКС[Столбец1]),"",
                            VLOOKUP(ROW(),таблНКС[],5,TRUE)),"")</f>
        <v/>
      </c>
      <c r="D24" s="145" t="str">
        <f>IF(таблICTEhasUnaccountedComp[[#This Row],[Тех. Поле]]&lt;&gt;"",IF(B24="",VLOOKUP(C24,таблНКС[[Тех. Место]:[Неуч_комп_среды №10]],A24,FALSE),
               VLOOKUP(B24,таблНКС[[Тех. Место]:[Неуч_комп_среды №10]],A24,FALSE)),"")</f>
        <v/>
      </c>
      <c r="E24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25" spans="1:5">
      <c r="A25" s="59" t="str">
        <f>IF(ROW()&gt;Passport!$CG$1,"",IF(B25&lt;&gt;"",IF(B25&lt;&gt;B24,4,A24+1),IF(C25&lt;&gt;C24,4,A24+1)))</f>
        <v/>
      </c>
      <c r="B25" s="145" t="str">
        <f>IF(VLOOKUP(ROW(),таблНКС[],4,TRUE)="ID",IF(ROW()&gt;MAX(таблНКС[Столбец1]),"",
                            VLOOKUP(ROW(),таблНКС[],5,TRUE)),"")</f>
        <v/>
      </c>
      <c r="C25" s="145" t="str">
        <f>IF(VLOOKUP(ROW(),таблНКС[],4,TRUE)="Тех. место",IF(ROW()&gt;MAX(таблНКС[Столбец1]),"",
                            VLOOKUP(ROW(),таблНКС[],5,TRUE)),"")</f>
        <v/>
      </c>
      <c r="D25" s="145" t="str">
        <f>IF(таблICTEhasUnaccountedComp[[#This Row],[Тех. Поле]]&lt;&gt;"",IF(B25="",VLOOKUP(C25,таблНКС[[Тех. Место]:[Неуч_комп_среды №10]],A25,FALSE),
               VLOOKUP(B25,таблНКС[[Тех. Место]:[Неуч_комп_среды №10]],A25,FALSE)),"")</f>
        <v/>
      </c>
      <c r="E25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26" spans="1:5">
      <c r="A26" s="59" t="str">
        <f>IF(ROW()&gt;Passport!$CG$1,"",IF(B26&lt;&gt;"",IF(B26&lt;&gt;B25,4,A25+1),IF(C26&lt;&gt;C25,4,A25+1)))</f>
        <v/>
      </c>
      <c r="B26" s="145" t="str">
        <f>IF(VLOOKUP(ROW(),таблНКС[],4,TRUE)="ID",IF(ROW()&gt;MAX(таблНКС[Столбец1]),"",
                            VLOOKUP(ROW(),таблНКС[],5,TRUE)),"")</f>
        <v/>
      </c>
      <c r="C26" s="145" t="str">
        <f>IF(VLOOKUP(ROW(),таблНКС[],4,TRUE)="Тех. место",IF(ROW()&gt;MAX(таблНКС[Столбец1]),"",
                            VLOOKUP(ROW(),таблНКС[],5,TRUE)),"")</f>
        <v/>
      </c>
      <c r="D26" s="145" t="str">
        <f>IF(таблICTEhasUnaccountedComp[[#This Row],[Тех. Поле]]&lt;&gt;"",IF(B26="",VLOOKUP(C26,таблНКС[[Тех. Место]:[Неуч_комп_среды №10]],A26,FALSE),
               VLOOKUP(B26,таблНКС[[Тех. Место]:[Неуч_комп_среды №10]],A26,FALSE)),"")</f>
        <v/>
      </c>
      <c r="E26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27" spans="1:5">
      <c r="A27" s="59" t="str">
        <f>IF(ROW()&gt;Passport!$CG$1,"",IF(B27&lt;&gt;"",IF(B27&lt;&gt;B26,4,A26+1),IF(C27&lt;&gt;C26,4,A26+1)))</f>
        <v/>
      </c>
      <c r="B27" s="145" t="str">
        <f>IF(VLOOKUP(ROW(),таблНКС[],4,TRUE)="ID",IF(ROW()&gt;MAX(таблНКС[Столбец1]),"",
                            VLOOKUP(ROW(),таблНКС[],5,TRUE)),"")</f>
        <v/>
      </c>
      <c r="C27" s="145" t="str">
        <f>IF(VLOOKUP(ROW(),таблНКС[],4,TRUE)="Тех. место",IF(ROW()&gt;MAX(таблНКС[Столбец1]),"",
                            VLOOKUP(ROW(),таблНКС[],5,TRUE)),"")</f>
        <v/>
      </c>
      <c r="D27" s="145" t="str">
        <f>IF(таблICTEhasUnaccountedComp[[#This Row],[Тех. Поле]]&lt;&gt;"",IF(B27="",VLOOKUP(C27,таблНКС[[Тех. Место]:[Неуч_комп_среды №10]],A27,FALSE),
               VLOOKUP(B27,таблНКС[[Тех. Место]:[Неуч_комп_среды №10]],A27,FALSE)),"")</f>
        <v/>
      </c>
      <c r="E27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28" spans="1:5">
      <c r="A28" s="59" t="str">
        <f>IF(ROW()&gt;Passport!$CG$1,"",IF(B28&lt;&gt;"",IF(B28&lt;&gt;B27,4,A27+1),IF(C28&lt;&gt;C27,4,A27+1)))</f>
        <v/>
      </c>
      <c r="B28" s="145" t="str">
        <f>IF(VLOOKUP(ROW(),таблНКС[],4,TRUE)="ID",IF(ROW()&gt;MAX(таблНКС[Столбец1]),"",
                            VLOOKUP(ROW(),таблНКС[],5,TRUE)),"")</f>
        <v/>
      </c>
      <c r="C28" s="145" t="str">
        <f>IF(VLOOKUP(ROW(),таблНКС[],4,TRUE)="Тех. место",IF(ROW()&gt;MAX(таблНКС[Столбец1]),"",
                            VLOOKUP(ROW(),таблНКС[],5,TRUE)),"")</f>
        <v/>
      </c>
      <c r="D28" s="145" t="str">
        <f>IF(таблICTEhasUnaccountedComp[[#This Row],[Тех. Поле]]&lt;&gt;"",IF(B28="",VLOOKUP(C28,таблНКС[[Тех. Место]:[Неуч_комп_среды №10]],A28,FALSE),
               VLOOKUP(B28,таблНКС[[Тех. Место]:[Неуч_комп_среды №10]],A28,FALSE)),"")</f>
        <v/>
      </c>
      <c r="E28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29" spans="1:5">
      <c r="A29" s="59" t="str">
        <f>IF(ROW()&gt;Passport!$CG$1,"",IF(B29&lt;&gt;"",IF(B29&lt;&gt;B28,4,A28+1),IF(C29&lt;&gt;C28,4,A28+1)))</f>
        <v/>
      </c>
      <c r="B29" s="145" t="str">
        <f>IF(VLOOKUP(ROW(),таблНКС[],4,TRUE)="ID",IF(ROW()&gt;MAX(таблНКС[Столбец1]),"",
                            VLOOKUP(ROW(),таблНКС[],5,TRUE)),"")</f>
        <v/>
      </c>
      <c r="C29" s="145" t="str">
        <f>IF(VLOOKUP(ROW(),таблНКС[],4,TRUE)="Тех. место",IF(ROW()&gt;MAX(таблНКС[Столбец1]),"",
                            VLOOKUP(ROW(),таблНКС[],5,TRUE)),"")</f>
        <v/>
      </c>
      <c r="D29" s="145" t="str">
        <f>IF(таблICTEhasUnaccountedComp[[#This Row],[Тех. Поле]]&lt;&gt;"",IF(B29="",VLOOKUP(C29,таблНКС[[Тех. Место]:[Неуч_комп_среды №10]],A29,FALSE),
               VLOOKUP(B29,таблНКС[[Тех. Место]:[Неуч_комп_среды №10]],A29,FALSE)),"")</f>
        <v/>
      </c>
      <c r="E29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30" spans="1:5">
      <c r="A30" s="59" t="str">
        <f>IF(ROW()&gt;Passport!$CG$1,"",IF(B30&lt;&gt;"",IF(B30&lt;&gt;B29,4,A29+1),IF(C30&lt;&gt;C29,4,A29+1)))</f>
        <v/>
      </c>
      <c r="B30" s="145" t="str">
        <f>IF(VLOOKUP(ROW(),таблНКС[],4,TRUE)="ID",IF(ROW()&gt;MAX(таблНКС[Столбец1]),"",
                            VLOOKUP(ROW(),таблНКС[],5,TRUE)),"")</f>
        <v/>
      </c>
      <c r="C30" s="145" t="str">
        <f>IF(VLOOKUP(ROW(),таблНКС[],4,TRUE)="Тех. место",IF(ROW()&gt;MAX(таблНКС[Столбец1]),"",
                            VLOOKUP(ROW(),таблНКС[],5,TRUE)),"")</f>
        <v/>
      </c>
      <c r="D30" s="145" t="str">
        <f>IF(таблICTEhasUnaccountedComp[[#This Row],[Тех. Поле]]&lt;&gt;"",IF(B30="",VLOOKUP(C30,таблНКС[[Тех. Место]:[Неуч_комп_среды №10]],A30,FALSE),
               VLOOKUP(B30,таблНКС[[Тех. Место]:[Неуч_комп_среды №10]],A30,FALSE)),"")</f>
        <v/>
      </c>
      <c r="E30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31" spans="1:5">
      <c r="A31" s="59" t="str">
        <f>IF(ROW()&gt;Passport!$CG$1,"",IF(B31&lt;&gt;"",IF(B31&lt;&gt;B30,4,A30+1),IF(C31&lt;&gt;C30,4,A30+1)))</f>
        <v/>
      </c>
      <c r="B31" s="145" t="str">
        <f>IF(VLOOKUP(ROW(),таблНКС[],4,TRUE)="ID",IF(ROW()&gt;MAX(таблНКС[Столбец1]),"",
                            VLOOKUP(ROW(),таблНКС[],5,TRUE)),"")</f>
        <v/>
      </c>
      <c r="C31" s="145" t="str">
        <f>IF(VLOOKUP(ROW(),таблНКС[],4,TRUE)="Тех. место",IF(ROW()&gt;MAX(таблНКС[Столбец1]),"",
                            VLOOKUP(ROW(),таблНКС[],5,TRUE)),"")</f>
        <v/>
      </c>
      <c r="D31" s="145" t="str">
        <f>IF(таблICTEhasUnaccountedComp[[#This Row],[Тех. Поле]]&lt;&gt;"",IF(B31="",VLOOKUP(C31,таблНКС[[Тех. Место]:[Неуч_комп_среды №10]],A31,FALSE),
               VLOOKUP(B31,таблНКС[[Тех. Место]:[Неуч_комп_среды №10]],A31,FALSE)),"")</f>
        <v/>
      </c>
      <c r="E31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32" spans="1:5">
      <c r="A32" s="59" t="str">
        <f>IF(ROW()&gt;Passport!$CG$1,"",IF(B32&lt;&gt;"",IF(B32&lt;&gt;B31,4,A31+1),IF(C32&lt;&gt;C31,4,A31+1)))</f>
        <v/>
      </c>
      <c r="B32" s="145" t="str">
        <f>IF(VLOOKUP(ROW(),таблНКС[],4,TRUE)="ID",IF(ROW()&gt;MAX(таблНКС[Столбец1]),"",
                            VLOOKUP(ROW(),таблНКС[],5,TRUE)),"")</f>
        <v/>
      </c>
      <c r="C32" s="145" t="str">
        <f>IF(VLOOKUP(ROW(),таблНКС[],4,TRUE)="Тех. место",IF(ROW()&gt;MAX(таблНКС[Столбец1]),"",
                            VLOOKUP(ROW(),таблНКС[],5,TRUE)),"")</f>
        <v/>
      </c>
      <c r="D32" s="145" t="str">
        <f>IF(таблICTEhasUnaccountedComp[[#This Row],[Тех. Поле]]&lt;&gt;"",IF(B32="",VLOOKUP(C32,таблНКС[[Тех. Место]:[Неуч_комп_среды №10]],A32,FALSE),
               VLOOKUP(B32,таблНКС[[Тех. Место]:[Неуч_комп_среды №10]],A32,FALSE)),"")</f>
        <v/>
      </c>
      <c r="E32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33" spans="1:5">
      <c r="A33" s="59" t="str">
        <f>IF(ROW()&gt;Passport!$CG$1,"",IF(B33&lt;&gt;"",IF(B33&lt;&gt;B32,4,A32+1),IF(C33&lt;&gt;C32,4,A32+1)))</f>
        <v/>
      </c>
      <c r="B33" s="145" t="str">
        <f>IF(VLOOKUP(ROW(),таблНКС[],4,TRUE)="ID",IF(ROW()&gt;MAX(таблНКС[Столбец1]),"",
                            VLOOKUP(ROW(),таблНКС[],5,TRUE)),"")</f>
        <v/>
      </c>
      <c r="C33" s="145" t="str">
        <f>IF(VLOOKUP(ROW(),таблНКС[],4,TRUE)="Тех. место",IF(ROW()&gt;MAX(таблНКС[Столбец1]),"",
                            VLOOKUP(ROW(),таблНКС[],5,TRUE)),"")</f>
        <v/>
      </c>
      <c r="D33" s="145" t="str">
        <f>IF(таблICTEhasUnaccountedComp[[#This Row],[Тех. Поле]]&lt;&gt;"",IF(B33="",VLOOKUP(C33,таблНКС[[Тех. Место]:[Неуч_комп_среды №10]],A33,FALSE),
               VLOOKUP(B33,таблНКС[[Тех. Место]:[Неуч_комп_среды №10]],A33,FALSE)),"")</f>
        <v/>
      </c>
      <c r="E33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34" spans="1:5">
      <c r="A34" s="59" t="str">
        <f>IF(ROW()&gt;Passport!$CG$1,"",IF(B34&lt;&gt;"",IF(B34&lt;&gt;B33,4,A33+1),IF(C34&lt;&gt;C33,4,A33+1)))</f>
        <v/>
      </c>
      <c r="B34" s="145" t="str">
        <f>IF(VLOOKUP(ROW(),таблНКС[],4,TRUE)="ID",IF(ROW()&gt;MAX(таблНКС[Столбец1]),"",
                            VLOOKUP(ROW(),таблНКС[],5,TRUE)),"")</f>
        <v/>
      </c>
      <c r="C34" s="145" t="str">
        <f>IF(VLOOKUP(ROW(),таблНКС[],4,TRUE)="Тех. место",IF(ROW()&gt;MAX(таблНКС[Столбец1]),"",
                            VLOOKUP(ROW(),таблНКС[],5,TRUE)),"")</f>
        <v/>
      </c>
      <c r="D34" s="145" t="str">
        <f>IF(таблICTEhasUnaccountedComp[[#This Row],[Тех. Поле]]&lt;&gt;"",IF(B34="",VLOOKUP(C34,таблНКС[[Тех. Место]:[Неуч_комп_среды №10]],A34,FALSE),
               VLOOKUP(B34,таблНКС[[Тех. Место]:[Неуч_комп_среды №10]],A34,FALSE)),"")</f>
        <v/>
      </c>
      <c r="E34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35" spans="1:5">
      <c r="A35" s="59" t="str">
        <f>IF(ROW()&gt;Passport!$CG$1,"",IF(B35&lt;&gt;"",IF(B35&lt;&gt;B34,4,A34+1),IF(C35&lt;&gt;C34,4,A34+1)))</f>
        <v/>
      </c>
      <c r="B35" s="151" t="str">
        <f>IF(VLOOKUP(ROW(),таблНКС[],4,TRUE)="ID",IF(ROW()&gt;MAX(таблНКС[Столбец1]),"",
                            VLOOKUP(ROW(),таблНКС[],5,TRUE)),"")</f>
        <v/>
      </c>
      <c r="C35" s="151" t="str">
        <f>IF(VLOOKUP(ROW(),таблНКС[],4,TRUE)="Тех. место",IF(ROW()&gt;MAX(таблНКС[Столбец1]),"",
                            VLOOKUP(ROW(),таблНКС[],5,TRUE)),"")</f>
        <v/>
      </c>
      <c r="D35" s="151" t="str">
        <f>IF(таблICTEhasUnaccountedComp[[#This Row],[Тех. Поле]]&lt;&gt;"",IF(B35="",VLOOKUP(C35,таблНКС[[Тех. Место]:[Неуч_комп_среды №10]],A35,FALSE),
               VLOOKUP(B35,таблНКС[[Тех. Место]:[Неуч_комп_среды №10]],A35,FALSE)),"")</f>
        <v/>
      </c>
      <c r="E35" s="152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  <row r="36" spans="1:5">
      <c r="A36" s="59" t="str">
        <f>IF(ROW()&gt;Passport!$CG$1,"",IF(B36&lt;&gt;"",IF(B36&lt;&gt;B35,4,A35+1),IF(C36&lt;&gt;C35,4,A35+1)))</f>
        <v/>
      </c>
      <c r="B36" s="145" t="str">
        <f>IF(VLOOKUP(ROW(),таблНКС[],4,TRUE)="ID",IF(ROW()&gt;MAX(таблНКС[Столбец1]),"",
                            VLOOKUP(ROW(),таблНКС[],5,TRUE)),"")</f>
        <v/>
      </c>
      <c r="C36" s="145" t="str">
        <f>IF(VLOOKUP(ROW(),таблНКС[],4,TRUE)="Тех. место",IF(ROW()&gt;MAX(таблНКС[Столбец1]),"",
                            VLOOKUP(ROW(),таблНКС[],5,TRUE)),"")</f>
        <v/>
      </c>
      <c r="D36" s="145" t="str">
        <f>IF(таблICTEhasUnaccountedComp[[#This Row],[Тех. Поле]]&lt;&gt;"",IF(B36="",VLOOKUP(C36,таблНКС[[Тех. Место]:[Неуч_комп_среды №10]],A36,FALSE),
               VLOOKUP(B36,таблНКС[[Тех. Место]:[Неуч_комп_среды №10]],A36,FALSE)),"")</f>
        <v/>
      </c>
      <c r="E36" s="146" t="str">
        <f>IF(таблICTEhasUnaccountedComp[[#This Row],[ICTE_UNACC_COMPO|ICTE_UNACC_COMPO_CHR]]&lt;&gt;"",VLOOKUP(таблICTEhasUnaccountedComp[[#This Row],[ICTE_UNACC_COMPO|ICTE_UNACC_COMPO_CHR]],таблНеучтКомпСр[],2,FALSE),"")</f>
        <v/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theme="8"/>
  </sheetPr>
  <dimension ref="A1:J78"/>
  <sheetViews>
    <sheetView workbookViewId="0">
      <selection activeCell="A19" sqref="A19"/>
    </sheetView>
  </sheetViews>
  <sheetFormatPr defaultRowHeight="15"/>
  <cols>
    <col min="1" max="1" width="48.7109375" customWidth="1"/>
    <col min="2" max="2" width="17.7109375" customWidth="1"/>
    <col min="4" max="4" width="86.85546875" customWidth="1"/>
    <col min="6" max="6" width="38.140625" customWidth="1"/>
    <col min="7" max="7" width="33.140625" customWidth="1"/>
    <col min="8" max="8" width="103.28515625" customWidth="1"/>
    <col min="10" max="10" width="197.28515625" customWidth="1"/>
  </cols>
  <sheetData>
    <row r="1" spans="1:10">
      <c r="A1" s="212" t="s">
        <v>428</v>
      </c>
      <c r="B1" s="213" t="s">
        <v>440</v>
      </c>
      <c r="D1" s="210" t="s">
        <v>461</v>
      </c>
      <c r="F1" s="211" t="s">
        <v>307</v>
      </c>
      <c r="H1" s="214" t="s">
        <v>441</v>
      </c>
      <c r="J1" s="215" t="s">
        <v>471</v>
      </c>
    </row>
    <row r="2" spans="1:10" ht="45">
      <c r="A2" s="218" t="s">
        <v>429</v>
      </c>
      <c r="B2" s="224">
        <v>1</v>
      </c>
      <c r="D2" s="216" t="s">
        <v>454</v>
      </c>
      <c r="F2" s="222" t="s">
        <v>462</v>
      </c>
      <c r="H2" s="220" t="s">
        <v>442</v>
      </c>
      <c r="J2" s="222" t="s">
        <v>472</v>
      </c>
    </row>
    <row r="3" spans="1:10" ht="45">
      <c r="A3" s="218" t="s">
        <v>430</v>
      </c>
      <c r="B3" s="224" t="s">
        <v>431</v>
      </c>
      <c r="D3" s="216" t="s">
        <v>455</v>
      </c>
      <c r="F3" s="222" t="s">
        <v>463</v>
      </c>
      <c r="H3" s="220" t="s">
        <v>443</v>
      </c>
      <c r="J3" s="222" t="s">
        <v>473</v>
      </c>
    </row>
    <row r="4" spans="1:10" ht="45">
      <c r="A4" s="218" t="s">
        <v>432</v>
      </c>
      <c r="B4" s="224" t="s">
        <v>433</v>
      </c>
      <c r="D4" s="216" t="s">
        <v>456</v>
      </c>
      <c r="F4" s="222" t="s">
        <v>464</v>
      </c>
      <c r="H4" s="220" t="s">
        <v>444</v>
      </c>
      <c r="J4" s="222" t="s">
        <v>474</v>
      </c>
    </row>
    <row r="5" spans="1:10" ht="30">
      <c r="A5" s="218" t="s">
        <v>434</v>
      </c>
      <c r="B5" s="224" t="s">
        <v>435</v>
      </c>
      <c r="D5" s="216" t="s">
        <v>457</v>
      </c>
      <c r="F5" s="222" t="s">
        <v>465</v>
      </c>
      <c r="H5" s="220" t="s">
        <v>445</v>
      </c>
      <c r="J5" s="222" t="s">
        <v>475</v>
      </c>
    </row>
    <row r="6" spans="1:10" ht="30">
      <c r="A6" s="218" t="s">
        <v>436</v>
      </c>
      <c r="B6" s="224" t="s">
        <v>411</v>
      </c>
      <c r="D6" s="216" t="s">
        <v>458</v>
      </c>
      <c r="F6" s="222" t="s">
        <v>466</v>
      </c>
      <c r="H6" s="220" t="s">
        <v>446</v>
      </c>
      <c r="J6" s="222" t="s">
        <v>476</v>
      </c>
    </row>
    <row r="7" spans="1:10" ht="30">
      <c r="A7" s="218" t="s">
        <v>437</v>
      </c>
      <c r="B7" s="224" t="s">
        <v>409</v>
      </c>
      <c r="D7" s="216" t="s">
        <v>459</v>
      </c>
      <c r="F7" s="222" t="s">
        <v>467</v>
      </c>
      <c r="H7" s="220" t="s">
        <v>447</v>
      </c>
      <c r="J7" s="222" t="s">
        <v>477</v>
      </c>
    </row>
    <row r="8" spans="1:10" ht="30">
      <c r="A8" s="219" t="s">
        <v>438</v>
      </c>
      <c r="B8" s="225" t="s">
        <v>439</v>
      </c>
      <c r="D8" s="217" t="s">
        <v>460</v>
      </c>
      <c r="F8" s="222" t="s">
        <v>468</v>
      </c>
      <c r="H8" s="220" t="s">
        <v>448</v>
      </c>
      <c r="J8" s="222" t="s">
        <v>478</v>
      </c>
    </row>
    <row r="9" spans="1:10">
      <c r="A9" s="14"/>
      <c r="B9" s="14"/>
      <c r="F9" s="222" t="s">
        <v>469</v>
      </c>
      <c r="H9" s="220" t="s">
        <v>449</v>
      </c>
      <c r="J9" s="223" t="s">
        <v>479</v>
      </c>
    </row>
    <row r="10" spans="1:10" ht="28.5">
      <c r="F10" s="223" t="s">
        <v>470</v>
      </c>
      <c r="H10" s="220" t="s">
        <v>450</v>
      </c>
    </row>
    <row r="11" spans="1:10" ht="28.5">
      <c r="H11" s="220" t="s">
        <v>492</v>
      </c>
    </row>
    <row r="12" spans="1:10">
      <c r="H12" s="220" t="s">
        <v>451</v>
      </c>
    </row>
    <row r="13" spans="1:10">
      <c r="H13" s="220" t="s">
        <v>493</v>
      </c>
    </row>
    <row r="14" spans="1:10">
      <c r="H14" s="220" t="s">
        <v>494</v>
      </c>
    </row>
    <row r="15" spans="1:10">
      <c r="H15" s="220" t="s">
        <v>452</v>
      </c>
    </row>
    <row r="16" spans="1:10" ht="28.5">
      <c r="H16" s="221" t="s">
        <v>453</v>
      </c>
    </row>
    <row r="18" spans="1:8">
      <c r="A18" s="226" t="s">
        <v>320</v>
      </c>
      <c r="B18" s="227" t="s">
        <v>321</v>
      </c>
      <c r="D18" s="226" t="s">
        <v>324</v>
      </c>
      <c r="E18" s="227" t="s">
        <v>406</v>
      </c>
      <c r="G18" s="211" t="s">
        <v>558</v>
      </c>
      <c r="H18" s="211" t="s">
        <v>559</v>
      </c>
    </row>
    <row r="19" spans="1:8">
      <c r="A19" s="232" t="s">
        <v>376</v>
      </c>
      <c r="B19" s="233">
        <v>1</v>
      </c>
      <c r="D19" s="228" t="s">
        <v>361</v>
      </c>
      <c r="E19" s="229">
        <v>0.17</v>
      </c>
      <c r="G19" s="232" t="s">
        <v>536</v>
      </c>
      <c r="H19" s="234" t="s">
        <v>547</v>
      </c>
    </row>
    <row r="20" spans="1:8">
      <c r="A20" s="232" t="s">
        <v>496</v>
      </c>
      <c r="B20" s="233">
        <v>1.5</v>
      </c>
      <c r="D20" s="228" t="s">
        <v>392</v>
      </c>
      <c r="E20" s="229">
        <v>0.6</v>
      </c>
      <c r="G20" s="232" t="s">
        <v>537</v>
      </c>
      <c r="H20" s="234" t="s">
        <v>548</v>
      </c>
    </row>
    <row r="21" spans="1:8">
      <c r="A21" s="232" t="s">
        <v>497</v>
      </c>
      <c r="B21" s="233">
        <v>1.5</v>
      </c>
      <c r="D21" s="228" t="s">
        <v>390</v>
      </c>
      <c r="E21" s="229">
        <v>0.33</v>
      </c>
      <c r="G21" s="232" t="s">
        <v>538</v>
      </c>
      <c r="H21" s="234" t="s">
        <v>549</v>
      </c>
    </row>
    <row r="22" spans="1:8">
      <c r="A22" s="232" t="s">
        <v>498</v>
      </c>
      <c r="B22" s="233">
        <v>1.67</v>
      </c>
      <c r="D22" s="228" t="s">
        <v>408</v>
      </c>
      <c r="E22" s="229">
        <v>0.33</v>
      </c>
      <c r="G22" s="232" t="s">
        <v>539</v>
      </c>
      <c r="H22" s="234" t="s">
        <v>550</v>
      </c>
    </row>
    <row r="23" spans="1:8">
      <c r="A23" s="232" t="s">
        <v>360</v>
      </c>
      <c r="B23" s="233">
        <v>1.8</v>
      </c>
      <c r="D23" s="228" t="s">
        <v>415</v>
      </c>
      <c r="E23" s="229">
        <v>0.67</v>
      </c>
      <c r="G23" s="232" t="s">
        <v>540</v>
      </c>
      <c r="H23" s="234" t="s">
        <v>551</v>
      </c>
    </row>
    <row r="24" spans="1:8">
      <c r="A24" s="232" t="s">
        <v>499</v>
      </c>
      <c r="B24" s="233">
        <v>1.8</v>
      </c>
      <c r="D24" s="228" t="s">
        <v>414</v>
      </c>
      <c r="E24" s="229">
        <v>0.67</v>
      </c>
      <c r="G24" s="232" t="s">
        <v>541</v>
      </c>
      <c r="H24" s="234" t="s">
        <v>552</v>
      </c>
    </row>
    <row r="25" spans="1:8">
      <c r="A25" s="232" t="s">
        <v>359</v>
      </c>
      <c r="B25" s="233">
        <v>1.8</v>
      </c>
      <c r="D25" s="228" t="s">
        <v>391</v>
      </c>
      <c r="E25" s="229">
        <v>0.5</v>
      </c>
      <c r="G25" s="232" t="s">
        <v>542</v>
      </c>
      <c r="H25" s="234" t="s">
        <v>553</v>
      </c>
    </row>
    <row r="26" spans="1:8">
      <c r="A26" s="232" t="s">
        <v>500</v>
      </c>
      <c r="B26" s="233">
        <v>1.8</v>
      </c>
      <c r="D26" s="228" t="s">
        <v>412</v>
      </c>
      <c r="E26" s="229">
        <v>0.67</v>
      </c>
      <c r="G26" s="232" t="s">
        <v>543</v>
      </c>
      <c r="H26" s="234" t="s">
        <v>554</v>
      </c>
    </row>
    <row r="27" spans="1:8">
      <c r="A27" s="232" t="s">
        <v>501</v>
      </c>
      <c r="B27" s="233">
        <v>1.67</v>
      </c>
      <c r="D27" s="228" t="s">
        <v>389</v>
      </c>
      <c r="E27" s="229">
        <v>0.5</v>
      </c>
      <c r="G27" s="232" t="s">
        <v>544</v>
      </c>
      <c r="H27" s="234" t="s">
        <v>555</v>
      </c>
    </row>
    <row r="28" spans="1:8">
      <c r="A28" s="232" t="s">
        <v>502</v>
      </c>
      <c r="B28" s="233">
        <v>1.8</v>
      </c>
      <c r="D28" s="228" t="s">
        <v>410</v>
      </c>
      <c r="E28" s="229">
        <v>0.5</v>
      </c>
      <c r="G28" s="232" t="s">
        <v>545</v>
      </c>
      <c r="H28" s="234" t="s">
        <v>556</v>
      </c>
    </row>
    <row r="29" spans="1:8">
      <c r="A29" s="232" t="s">
        <v>503</v>
      </c>
      <c r="B29" s="233">
        <v>1.67</v>
      </c>
      <c r="D29" s="228" t="s">
        <v>407</v>
      </c>
      <c r="E29" s="229">
        <v>0.33</v>
      </c>
      <c r="G29" s="208" t="s">
        <v>546</v>
      </c>
      <c r="H29" s="235" t="s">
        <v>557</v>
      </c>
    </row>
    <row r="30" spans="1:8">
      <c r="A30" s="232" t="s">
        <v>504</v>
      </c>
      <c r="B30" s="233">
        <v>1.8</v>
      </c>
      <c r="D30" s="230" t="s">
        <v>413</v>
      </c>
      <c r="E30" s="231">
        <v>0.67</v>
      </c>
    </row>
    <row r="31" spans="1:8">
      <c r="A31" s="232" t="s">
        <v>505</v>
      </c>
      <c r="B31" s="233">
        <v>1.8</v>
      </c>
    </row>
    <row r="32" spans="1:8">
      <c r="A32" s="232" t="s">
        <v>506</v>
      </c>
      <c r="B32" s="233">
        <v>1.5</v>
      </c>
    </row>
    <row r="33" spans="1:2">
      <c r="A33" s="232" t="s">
        <v>507</v>
      </c>
      <c r="B33" s="233">
        <v>1.5</v>
      </c>
    </row>
    <row r="34" spans="1:2">
      <c r="A34" s="232" t="s">
        <v>508</v>
      </c>
      <c r="B34" s="233">
        <v>1.5</v>
      </c>
    </row>
    <row r="35" spans="1:2">
      <c r="A35" s="232" t="s">
        <v>393</v>
      </c>
      <c r="B35" s="233">
        <v>1.67</v>
      </c>
    </row>
    <row r="36" spans="1:2">
      <c r="A36" s="232" t="s">
        <v>394</v>
      </c>
      <c r="B36" s="233">
        <v>1.67</v>
      </c>
    </row>
    <row r="37" spans="1:2">
      <c r="A37" s="232" t="s">
        <v>509</v>
      </c>
      <c r="B37" s="233">
        <v>1.75</v>
      </c>
    </row>
    <row r="38" spans="1:2">
      <c r="A38" s="232" t="s">
        <v>395</v>
      </c>
      <c r="B38" s="233">
        <v>1.5</v>
      </c>
    </row>
    <row r="39" spans="1:2">
      <c r="A39" s="232" t="s">
        <v>397</v>
      </c>
      <c r="B39" s="233">
        <v>1.67</v>
      </c>
    </row>
    <row r="40" spans="1:2">
      <c r="A40" s="232" t="s">
        <v>510</v>
      </c>
      <c r="B40" s="233">
        <v>1.75</v>
      </c>
    </row>
    <row r="41" spans="1:2">
      <c r="A41" s="232" t="s">
        <v>511</v>
      </c>
      <c r="B41" s="233">
        <v>1.8</v>
      </c>
    </row>
    <row r="42" spans="1:2">
      <c r="A42" s="232" t="s">
        <v>512</v>
      </c>
      <c r="B42" s="233">
        <v>1.67</v>
      </c>
    </row>
    <row r="43" spans="1:2">
      <c r="A43" s="232" t="s">
        <v>513</v>
      </c>
      <c r="B43" s="233">
        <v>1.67</v>
      </c>
    </row>
    <row r="44" spans="1:2">
      <c r="A44" s="232" t="s">
        <v>514</v>
      </c>
      <c r="B44" s="233">
        <v>1.5</v>
      </c>
    </row>
    <row r="45" spans="1:2">
      <c r="A45" s="232" t="s">
        <v>515</v>
      </c>
      <c r="B45" s="233">
        <v>1.8</v>
      </c>
    </row>
    <row r="46" spans="1:2">
      <c r="A46" s="232" t="s">
        <v>516</v>
      </c>
      <c r="B46" s="233">
        <v>1.8</v>
      </c>
    </row>
    <row r="47" spans="1:2">
      <c r="A47" s="232" t="s">
        <v>517</v>
      </c>
      <c r="B47" s="233">
        <v>1.5</v>
      </c>
    </row>
    <row r="48" spans="1:2">
      <c r="A48" s="232" t="s">
        <v>518</v>
      </c>
      <c r="B48" s="233">
        <v>1.75</v>
      </c>
    </row>
    <row r="49" spans="1:2">
      <c r="A49" s="232" t="s">
        <v>519</v>
      </c>
      <c r="B49" s="233">
        <v>1.67</v>
      </c>
    </row>
    <row r="50" spans="1:2">
      <c r="A50" s="232" t="s">
        <v>520</v>
      </c>
      <c r="B50" s="233">
        <v>1.8</v>
      </c>
    </row>
    <row r="51" spans="1:2">
      <c r="A51" s="232" t="s">
        <v>521</v>
      </c>
      <c r="B51" s="233">
        <v>1.75</v>
      </c>
    </row>
    <row r="52" spans="1:2">
      <c r="A52" s="232" t="s">
        <v>522</v>
      </c>
      <c r="B52" s="233">
        <v>1.67</v>
      </c>
    </row>
    <row r="53" spans="1:2">
      <c r="A53" s="232" t="s">
        <v>523</v>
      </c>
      <c r="B53" s="233">
        <v>1.7</v>
      </c>
    </row>
    <row r="54" spans="1:2">
      <c r="A54" s="232" t="s">
        <v>524</v>
      </c>
      <c r="B54" s="233">
        <v>1.5</v>
      </c>
    </row>
    <row r="55" spans="1:2">
      <c r="A55" s="232" t="s">
        <v>525</v>
      </c>
      <c r="B55" s="233">
        <v>1.75</v>
      </c>
    </row>
    <row r="56" spans="1:2">
      <c r="A56" s="232" t="s">
        <v>526</v>
      </c>
      <c r="B56" s="233">
        <v>1.67</v>
      </c>
    </row>
    <row r="57" spans="1:2">
      <c r="A57" s="232" t="s">
        <v>527</v>
      </c>
      <c r="B57" s="233">
        <v>1.8</v>
      </c>
    </row>
    <row r="58" spans="1:2">
      <c r="A58" s="232" t="s">
        <v>528</v>
      </c>
      <c r="B58" s="233">
        <v>1.5</v>
      </c>
    </row>
    <row r="59" spans="1:2">
      <c r="A59" s="232" t="s">
        <v>529</v>
      </c>
      <c r="B59" s="233">
        <v>1.8</v>
      </c>
    </row>
    <row r="60" spans="1:2">
      <c r="A60" s="232" t="s">
        <v>530</v>
      </c>
      <c r="B60" s="233">
        <v>1.8</v>
      </c>
    </row>
    <row r="61" spans="1:2">
      <c r="A61" s="232" t="s">
        <v>531</v>
      </c>
      <c r="B61" s="233">
        <v>1.8</v>
      </c>
    </row>
    <row r="62" spans="1:2">
      <c r="A62" s="232" t="s">
        <v>396</v>
      </c>
      <c r="B62" s="233">
        <v>1.75</v>
      </c>
    </row>
    <row r="63" spans="1:2">
      <c r="A63" s="232" t="s">
        <v>532</v>
      </c>
      <c r="B63" s="233">
        <v>1.67</v>
      </c>
    </row>
    <row r="64" spans="1:2">
      <c r="A64" s="232" t="s">
        <v>400</v>
      </c>
      <c r="B64" s="233">
        <v>1.5</v>
      </c>
    </row>
    <row r="65" spans="1:2">
      <c r="A65" s="232" t="s">
        <v>358</v>
      </c>
      <c r="B65" s="233">
        <v>1.34</v>
      </c>
    </row>
    <row r="66" spans="1:2">
      <c r="A66" s="232" t="s">
        <v>401</v>
      </c>
      <c r="B66" s="233">
        <v>1.67</v>
      </c>
    </row>
    <row r="67" spans="1:2">
      <c r="A67" s="232" t="s">
        <v>403</v>
      </c>
      <c r="B67" s="233">
        <v>1.5</v>
      </c>
    </row>
    <row r="68" spans="1:2">
      <c r="A68" s="232" t="s">
        <v>404</v>
      </c>
      <c r="B68" s="233">
        <v>1.75</v>
      </c>
    </row>
    <row r="69" spans="1:2">
      <c r="A69" s="232" t="s">
        <v>405</v>
      </c>
      <c r="B69" s="233">
        <v>1.5</v>
      </c>
    </row>
    <row r="70" spans="1:2">
      <c r="A70" s="232" t="s">
        <v>397</v>
      </c>
      <c r="B70" s="233">
        <v>1.67</v>
      </c>
    </row>
    <row r="71" spans="1:2">
      <c r="A71" s="232" t="s">
        <v>377</v>
      </c>
      <c r="B71" s="233">
        <v>1.8</v>
      </c>
    </row>
    <row r="72" spans="1:2">
      <c r="A72" s="232" t="s">
        <v>378</v>
      </c>
      <c r="B72" s="233">
        <v>1.5</v>
      </c>
    </row>
    <row r="73" spans="1:2">
      <c r="A73" s="232" t="s">
        <v>398</v>
      </c>
      <c r="B73" s="233">
        <v>1.5</v>
      </c>
    </row>
    <row r="74" spans="1:2">
      <c r="A74" s="232" t="s">
        <v>399</v>
      </c>
      <c r="B74" s="233">
        <v>1.67</v>
      </c>
    </row>
    <row r="75" spans="1:2">
      <c r="A75" s="232" t="s">
        <v>402</v>
      </c>
      <c r="B75" s="233">
        <v>1.67</v>
      </c>
    </row>
    <row r="76" spans="1:2">
      <c r="A76" s="232" t="s">
        <v>533</v>
      </c>
      <c r="B76" s="233">
        <v>1.67</v>
      </c>
    </row>
    <row r="77" spans="1:2">
      <c r="A77" s="232" t="s">
        <v>534</v>
      </c>
      <c r="B77" s="233">
        <v>1.8</v>
      </c>
    </row>
    <row r="78" spans="1:2">
      <c r="A78" s="208" t="s">
        <v>535</v>
      </c>
      <c r="B78" s="209">
        <v>1.8</v>
      </c>
    </row>
  </sheetData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theme="4" tint="-0.249977111117893"/>
    <outlinePr summaryBelow="0" summaryRight="0"/>
  </sheetPr>
  <dimension ref="A1:AD50"/>
  <sheetViews>
    <sheetView zoomScale="85" zoomScaleNormal="85" zoomScaleSheetLayoutView="70" zoomScalePageLayoutView="70" workbookViewId="0">
      <selection activeCell="F36" sqref="F36"/>
    </sheetView>
  </sheetViews>
  <sheetFormatPr defaultRowHeight="15" outlineLevelCol="1"/>
  <cols>
    <col min="1" max="1" width="17.42578125" style="30" bestFit="1" customWidth="1"/>
    <col min="2" max="2" width="24.42578125" style="31" customWidth="1"/>
    <col min="3" max="3" width="26.28515625" style="30" customWidth="1"/>
    <col min="4" max="4" width="28.42578125" style="32" customWidth="1" outlineLevel="1"/>
    <col min="5" max="5" width="32.140625" style="33" customWidth="1"/>
    <col min="6" max="6" width="11.85546875" style="34" customWidth="1" outlineLevel="1"/>
    <col min="7" max="7" width="15.7109375" style="46" customWidth="1"/>
    <col min="8" max="8" width="18.5703125" style="34" customWidth="1" outlineLevel="1"/>
    <col min="9" max="9" width="18" style="30" customWidth="1"/>
    <col min="10" max="10" width="13.28515625" style="30" customWidth="1"/>
    <col min="11" max="11" width="12.5703125" style="30" customWidth="1"/>
    <col min="12" max="12" width="18.140625" style="30" bestFit="1" customWidth="1"/>
    <col min="13" max="13" width="15.28515625" style="30" customWidth="1"/>
    <col min="14" max="14" width="9.140625" style="30"/>
    <col min="15" max="15" width="8.42578125" style="30" customWidth="1"/>
    <col min="16" max="16" width="9.140625" style="30"/>
    <col min="17" max="17" width="14.42578125" style="30" customWidth="1"/>
    <col min="18" max="18" width="13.7109375" style="30" customWidth="1"/>
    <col min="19" max="19" width="10.42578125" style="30" customWidth="1"/>
    <col min="20" max="22" width="13.140625" style="30" customWidth="1"/>
    <col min="23" max="23" width="23" style="30" customWidth="1"/>
    <col min="24" max="24" width="28.28515625" style="30" customWidth="1"/>
    <col min="25" max="25" width="9.140625" style="30"/>
    <col min="26" max="26" width="13.85546875" style="30" customWidth="1"/>
    <col min="27" max="27" width="15.5703125" style="30" customWidth="1"/>
    <col min="28" max="28" width="13.42578125" style="45" bestFit="1" customWidth="1"/>
    <col min="29" max="29" width="9.140625" style="30"/>
    <col min="30" max="30" width="17.85546875" style="30" customWidth="1"/>
    <col min="31" max="16384" width="9.140625" style="30"/>
  </cols>
  <sheetData>
    <row r="1" spans="1:30">
      <c r="G1" s="34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6"/>
      <c r="AC1" s="35"/>
      <c r="AD1" s="35"/>
    </row>
    <row r="2" spans="1:30">
      <c r="G2" s="34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6"/>
      <c r="AC2" s="35"/>
      <c r="AD2" s="35"/>
    </row>
    <row r="3" spans="1:30">
      <c r="G3" s="34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6"/>
      <c r="AC3" s="35"/>
      <c r="AD3" s="35"/>
    </row>
    <row r="4" spans="1:30" ht="42" customHeight="1">
      <c r="A4" s="238" t="s">
        <v>328</v>
      </c>
      <c r="B4" s="238"/>
      <c r="C4" s="238"/>
      <c r="D4" s="238"/>
      <c r="E4" s="238"/>
      <c r="F4" s="238"/>
      <c r="G4" s="238"/>
      <c r="H4" s="238"/>
      <c r="I4" s="238"/>
      <c r="J4" s="238"/>
      <c r="K4" s="238"/>
      <c r="L4" s="238"/>
      <c r="M4" s="238"/>
      <c r="P4" s="35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5"/>
      <c r="AD4" s="35"/>
    </row>
    <row r="5" spans="1:30" ht="45">
      <c r="A5" s="161" t="s">
        <v>0</v>
      </c>
      <c r="B5" s="162" t="s">
        <v>329</v>
      </c>
      <c r="C5" s="163" t="s">
        <v>330</v>
      </c>
      <c r="D5" s="164" t="s">
        <v>331</v>
      </c>
      <c r="E5" s="165" t="s">
        <v>332</v>
      </c>
      <c r="F5" s="165" t="s">
        <v>491</v>
      </c>
      <c r="G5" s="165" t="s">
        <v>333</v>
      </c>
      <c r="H5" s="165" t="s">
        <v>334</v>
      </c>
      <c r="I5" s="165" t="s">
        <v>335</v>
      </c>
      <c r="J5" s="166" t="s">
        <v>118</v>
      </c>
      <c r="K5" s="167" t="s">
        <v>336</v>
      </c>
      <c r="L5" s="165" t="s">
        <v>50</v>
      </c>
      <c r="M5" s="168" t="s">
        <v>337</v>
      </c>
      <c r="P5" s="35"/>
      <c r="Q5" s="38"/>
      <c r="R5" s="38"/>
      <c r="S5" s="38"/>
      <c r="T5" s="38"/>
      <c r="U5" s="239"/>
      <c r="V5" s="239"/>
      <c r="W5" s="38"/>
      <c r="X5" s="38"/>
      <c r="Y5" s="38"/>
      <c r="Z5" s="35"/>
      <c r="AA5" s="35"/>
      <c r="AB5" s="36"/>
      <c r="AC5" s="35"/>
      <c r="AD5" s="35"/>
    </row>
    <row r="6" spans="1:30" s="39" customFormat="1" ht="15" customHeight="1">
      <c r="A6" s="169" t="s">
        <v>338</v>
      </c>
      <c r="B6" s="170" t="s">
        <v>339</v>
      </c>
      <c r="C6" s="171" t="s">
        <v>340</v>
      </c>
      <c r="D6" s="172" t="s">
        <v>341</v>
      </c>
      <c r="E6" s="173" t="s">
        <v>342</v>
      </c>
      <c r="F6" s="173" t="s">
        <v>343</v>
      </c>
      <c r="G6" s="173" t="s">
        <v>344</v>
      </c>
      <c r="H6" s="173" t="s">
        <v>345</v>
      </c>
      <c r="I6" s="174" t="s">
        <v>346</v>
      </c>
      <c r="J6" s="175" t="s">
        <v>347</v>
      </c>
      <c r="K6" s="175" t="s">
        <v>348</v>
      </c>
      <c r="L6" s="173" t="s">
        <v>349</v>
      </c>
      <c r="M6" s="176" t="s">
        <v>350</v>
      </c>
      <c r="P6" s="40"/>
      <c r="Q6" s="41"/>
      <c r="R6" s="41"/>
      <c r="S6" s="41"/>
      <c r="T6" s="42"/>
      <c r="U6" s="239"/>
      <c r="V6" s="239"/>
      <c r="W6" s="41"/>
      <c r="X6" s="42"/>
      <c r="Y6" s="41"/>
      <c r="Z6" s="40"/>
      <c r="AA6" s="40"/>
      <c r="AB6" s="43"/>
      <c r="AC6" s="40"/>
      <c r="AD6" s="40"/>
    </row>
    <row r="7" spans="1:30" s="39" customFormat="1" ht="15" customHeight="1">
      <c r="A7" s="153"/>
      <c r="B7" s="154"/>
      <c r="C7" s="155"/>
      <c r="D7" s="48"/>
      <c r="E7" s="156"/>
      <c r="F7" s="49"/>
      <c r="G7" s="56"/>
      <c r="H7" s="49"/>
      <c r="I7" s="44"/>
      <c r="J7" s="50"/>
      <c r="K7" s="44"/>
      <c r="L7" s="49"/>
      <c r="M7" s="51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3"/>
      <c r="AC7" s="43"/>
      <c r="AD7" s="40"/>
    </row>
    <row r="8" spans="1:30" s="39" customFormat="1" ht="15" customHeight="1">
      <c r="A8" s="153"/>
      <c r="B8" s="154"/>
      <c r="C8" s="155"/>
      <c r="D8" s="48"/>
      <c r="E8" s="156"/>
      <c r="F8" s="49"/>
      <c r="G8" s="56"/>
      <c r="H8" s="49"/>
      <c r="I8" s="44"/>
      <c r="J8" s="50"/>
      <c r="K8" s="44"/>
      <c r="L8" s="49"/>
      <c r="M8" s="51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3"/>
      <c r="AC8" s="43"/>
      <c r="AD8" s="40"/>
    </row>
    <row r="9" spans="1:30" s="39" customFormat="1" ht="15" customHeight="1">
      <c r="A9" s="153"/>
      <c r="B9" s="154"/>
      <c r="C9" s="155"/>
      <c r="D9" s="48"/>
      <c r="E9" s="156"/>
      <c r="F9" s="49"/>
      <c r="G9" s="56"/>
      <c r="H9" s="49"/>
      <c r="I9" s="44"/>
      <c r="J9" s="50"/>
      <c r="K9" s="44"/>
      <c r="L9" s="49"/>
      <c r="M9" s="51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3"/>
      <c r="AC9" s="43"/>
      <c r="AD9" s="40"/>
    </row>
    <row r="10" spans="1:30" s="39" customFormat="1" ht="15" customHeight="1">
      <c r="A10" s="153"/>
      <c r="B10" s="154"/>
      <c r="C10" s="155"/>
      <c r="D10" s="48"/>
      <c r="E10" s="156"/>
      <c r="F10" s="49"/>
      <c r="G10" s="56"/>
      <c r="H10" s="49"/>
      <c r="I10" s="44"/>
      <c r="J10" s="50"/>
      <c r="K10" s="44"/>
      <c r="L10" s="49"/>
      <c r="M10" s="51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3"/>
      <c r="AC10" s="43"/>
      <c r="AD10" s="40"/>
    </row>
    <row r="11" spans="1:30" s="39" customFormat="1" ht="15" customHeight="1">
      <c r="A11" s="153"/>
      <c r="B11" s="154"/>
      <c r="C11" s="155"/>
      <c r="D11" s="48"/>
      <c r="E11" s="156"/>
      <c r="F11" s="49"/>
      <c r="G11" s="56"/>
      <c r="H11" s="49"/>
      <c r="I11" s="44"/>
      <c r="J11" s="50"/>
      <c r="K11" s="44"/>
      <c r="L11" s="49"/>
      <c r="M11" s="51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3"/>
      <c r="AC11" s="43"/>
      <c r="AD11" s="40"/>
    </row>
    <row r="12" spans="1:30" s="39" customFormat="1" ht="15" customHeight="1">
      <c r="A12" s="153"/>
      <c r="B12" s="154"/>
      <c r="C12" s="155"/>
      <c r="D12" s="48"/>
      <c r="E12" s="156"/>
      <c r="F12" s="49"/>
      <c r="G12" s="56"/>
      <c r="H12" s="49"/>
      <c r="I12" s="44"/>
      <c r="J12" s="50"/>
      <c r="K12" s="44"/>
      <c r="L12" s="49"/>
      <c r="M12" s="51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3"/>
      <c r="AC12" s="43"/>
      <c r="AD12" s="40"/>
    </row>
    <row r="13" spans="1:30" s="39" customFormat="1" ht="15" customHeight="1">
      <c r="A13" s="153"/>
      <c r="B13" s="154"/>
      <c r="C13" s="155"/>
      <c r="D13" s="48"/>
      <c r="E13" s="156"/>
      <c r="F13" s="49"/>
      <c r="G13" s="56"/>
      <c r="H13" s="49"/>
      <c r="I13" s="44"/>
      <c r="J13" s="50"/>
      <c r="K13" s="44"/>
      <c r="L13" s="49"/>
      <c r="M13" s="51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3"/>
      <c r="AC13" s="43"/>
      <c r="AD13" s="40"/>
    </row>
    <row r="14" spans="1:30" s="39" customFormat="1" ht="15" customHeight="1">
      <c r="A14" s="153"/>
      <c r="B14" s="154"/>
      <c r="C14" s="155"/>
      <c r="D14" s="48"/>
      <c r="E14" s="156"/>
      <c r="F14" s="49"/>
      <c r="G14" s="56"/>
      <c r="H14" s="49"/>
      <c r="I14" s="44"/>
      <c r="J14" s="50"/>
      <c r="K14" s="44"/>
      <c r="L14" s="49"/>
      <c r="M14" s="51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3"/>
      <c r="AC14" s="43"/>
      <c r="AD14" s="40"/>
    </row>
    <row r="15" spans="1:30" s="39" customFormat="1" ht="15" customHeight="1">
      <c r="A15" s="153"/>
      <c r="B15" s="154"/>
      <c r="C15" s="155"/>
      <c r="D15" s="48"/>
      <c r="E15" s="156"/>
      <c r="F15" s="49"/>
      <c r="G15" s="56"/>
      <c r="H15" s="49"/>
      <c r="I15" s="44"/>
      <c r="J15" s="50"/>
      <c r="K15" s="44"/>
      <c r="L15" s="49"/>
      <c r="M15" s="51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3"/>
      <c r="AC15" s="43"/>
      <c r="AD15" s="40"/>
    </row>
    <row r="16" spans="1:30" s="39" customFormat="1" ht="15" customHeight="1">
      <c r="A16" s="153"/>
      <c r="B16" s="154"/>
      <c r="C16" s="155"/>
      <c r="D16" s="48"/>
      <c r="E16" s="156"/>
      <c r="F16" s="49"/>
      <c r="G16" s="56"/>
      <c r="H16" s="49"/>
      <c r="I16" s="44"/>
      <c r="J16" s="50"/>
      <c r="K16" s="44"/>
      <c r="L16" s="49"/>
      <c r="M16" s="51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3"/>
      <c r="AC16" s="43"/>
      <c r="AD16" s="40"/>
    </row>
    <row r="17" spans="1:30" s="39" customFormat="1" ht="15" customHeight="1">
      <c r="A17" s="153"/>
      <c r="B17" s="154"/>
      <c r="C17" s="155"/>
      <c r="D17" s="48"/>
      <c r="E17" s="156"/>
      <c r="F17" s="49"/>
      <c r="G17" s="56"/>
      <c r="H17" s="49"/>
      <c r="I17" s="44"/>
      <c r="J17" s="50"/>
      <c r="K17" s="44"/>
      <c r="L17" s="49"/>
      <c r="M17" s="51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3"/>
      <c r="AC17" s="43"/>
      <c r="AD17" s="40"/>
    </row>
    <row r="18" spans="1:30" s="39" customFormat="1" ht="15" customHeight="1">
      <c r="A18" s="153"/>
      <c r="B18" s="154"/>
      <c r="C18" s="155"/>
      <c r="D18" s="48"/>
      <c r="E18" s="156"/>
      <c r="F18" s="49"/>
      <c r="G18" s="56"/>
      <c r="H18" s="49"/>
      <c r="I18" s="44"/>
      <c r="J18" s="50"/>
      <c r="K18" s="44"/>
      <c r="L18" s="49"/>
      <c r="M18" s="51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3"/>
      <c r="AC18" s="43"/>
      <c r="AD18" s="40"/>
    </row>
    <row r="19" spans="1:30" s="39" customFormat="1" ht="15" customHeight="1">
      <c r="A19" s="153"/>
      <c r="B19" s="154"/>
      <c r="C19" s="155"/>
      <c r="D19" s="48"/>
      <c r="E19" s="156"/>
      <c r="F19" s="49"/>
      <c r="G19" s="56"/>
      <c r="H19" s="49"/>
      <c r="I19" s="44"/>
      <c r="J19" s="50"/>
      <c r="K19" s="44"/>
      <c r="L19" s="49"/>
      <c r="M19" s="51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3"/>
      <c r="AC19" s="43"/>
      <c r="AD19" s="40"/>
    </row>
    <row r="20" spans="1:30" s="39" customFormat="1">
      <c r="A20" s="153"/>
      <c r="B20" s="154"/>
      <c r="C20" s="155"/>
      <c r="D20" s="48"/>
      <c r="E20" s="156"/>
      <c r="F20" s="49"/>
      <c r="G20" s="56"/>
      <c r="H20" s="49"/>
      <c r="I20" s="44"/>
      <c r="J20" s="50"/>
      <c r="K20" s="44"/>
      <c r="L20" s="49"/>
      <c r="M20" s="51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3"/>
      <c r="AC20" s="43"/>
      <c r="AD20" s="40"/>
    </row>
    <row r="21" spans="1:30" s="39" customFormat="1" ht="15" customHeight="1">
      <c r="A21" s="153"/>
      <c r="B21" s="154"/>
      <c r="C21" s="155"/>
      <c r="D21" s="48"/>
      <c r="E21" s="156"/>
      <c r="F21" s="49"/>
      <c r="G21" s="56"/>
      <c r="H21" s="49"/>
      <c r="I21" s="44"/>
      <c r="J21" s="50"/>
      <c r="K21" s="44"/>
      <c r="L21" s="49"/>
      <c r="M21" s="51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3"/>
      <c r="AC21" s="43"/>
      <c r="AD21" s="40"/>
    </row>
    <row r="22" spans="1:30" s="39" customFormat="1" ht="15" customHeight="1">
      <c r="A22" s="153"/>
      <c r="B22" s="154"/>
      <c r="C22" s="155"/>
      <c r="D22" s="48"/>
      <c r="E22" s="156"/>
      <c r="F22" s="49"/>
      <c r="G22" s="56"/>
      <c r="H22" s="49"/>
      <c r="I22" s="44"/>
      <c r="J22" s="50"/>
      <c r="K22" s="44"/>
      <c r="L22" s="49"/>
      <c r="M22" s="51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3"/>
      <c r="AC22" s="43"/>
      <c r="AD22" s="40"/>
    </row>
    <row r="23" spans="1:30" s="39" customFormat="1" ht="15" customHeight="1">
      <c r="A23" s="153"/>
      <c r="B23" s="154"/>
      <c r="C23" s="155"/>
      <c r="D23" s="48"/>
      <c r="E23" s="156"/>
      <c r="F23" s="49"/>
      <c r="G23" s="56"/>
      <c r="H23" s="49"/>
      <c r="I23" s="44"/>
      <c r="J23" s="50"/>
      <c r="K23" s="44"/>
      <c r="L23" s="49"/>
      <c r="M23" s="51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3"/>
      <c r="AC23" s="43"/>
      <c r="AD23" s="40"/>
    </row>
    <row r="24" spans="1:30" s="39" customFormat="1" ht="15" customHeight="1">
      <c r="A24" s="153"/>
      <c r="B24" s="154"/>
      <c r="C24" s="155"/>
      <c r="D24" s="48"/>
      <c r="E24" s="156"/>
      <c r="F24" s="49"/>
      <c r="G24" s="56"/>
      <c r="H24" s="49"/>
      <c r="I24" s="44"/>
      <c r="J24" s="50"/>
      <c r="K24" s="44"/>
      <c r="L24" s="49"/>
      <c r="M24" s="51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3"/>
      <c r="AC24" s="43"/>
      <c r="AD24" s="40"/>
    </row>
    <row r="25" spans="1:30" s="39" customFormat="1" ht="15" customHeight="1">
      <c r="A25" s="153"/>
      <c r="B25" s="154"/>
      <c r="C25" s="155"/>
      <c r="D25" s="48"/>
      <c r="E25" s="156"/>
      <c r="F25" s="49"/>
      <c r="G25" s="56"/>
      <c r="H25" s="49"/>
      <c r="I25" s="44"/>
      <c r="J25" s="50"/>
      <c r="K25" s="44"/>
      <c r="L25" s="49"/>
      <c r="M25" s="51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3"/>
      <c r="AC25" s="43"/>
      <c r="AD25" s="40"/>
    </row>
    <row r="26" spans="1:30" s="39" customFormat="1" ht="15" customHeight="1">
      <c r="A26" s="153"/>
      <c r="B26" s="154"/>
      <c r="C26" s="155"/>
      <c r="D26" s="48"/>
      <c r="E26" s="156"/>
      <c r="F26" s="49"/>
      <c r="G26" s="56"/>
      <c r="H26" s="49"/>
      <c r="I26" s="44"/>
      <c r="J26" s="50"/>
      <c r="K26" s="44"/>
      <c r="L26" s="49"/>
      <c r="M26" s="51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3"/>
      <c r="AC26" s="43"/>
      <c r="AD26" s="40"/>
    </row>
    <row r="27" spans="1:30" s="39" customFormat="1" ht="15" customHeight="1">
      <c r="A27" s="153"/>
      <c r="B27" s="154"/>
      <c r="C27" s="155"/>
      <c r="D27" s="48"/>
      <c r="E27" s="156"/>
      <c r="F27" s="49"/>
      <c r="G27" s="56"/>
      <c r="H27" s="49"/>
      <c r="I27" s="44"/>
      <c r="J27" s="50"/>
      <c r="K27" s="44"/>
      <c r="L27" s="49"/>
      <c r="M27" s="51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3"/>
      <c r="AC27" s="43"/>
      <c r="AD27" s="40"/>
    </row>
    <row r="28" spans="1:30" s="39" customFormat="1" ht="15" customHeight="1">
      <c r="A28" s="153"/>
      <c r="B28" s="154"/>
      <c r="C28" s="155"/>
      <c r="D28" s="48"/>
      <c r="E28" s="156"/>
      <c r="F28" s="49"/>
      <c r="G28" s="56"/>
      <c r="H28" s="49"/>
      <c r="I28" s="44"/>
      <c r="J28" s="50"/>
      <c r="K28" s="44"/>
      <c r="L28" s="49"/>
      <c r="M28" s="51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3"/>
      <c r="AC28" s="43"/>
      <c r="AD28" s="40"/>
    </row>
    <row r="29" spans="1:30" s="39" customFormat="1" ht="15" customHeight="1">
      <c r="A29" s="153"/>
      <c r="B29" s="154"/>
      <c r="C29" s="155"/>
      <c r="D29" s="48"/>
      <c r="E29" s="156"/>
      <c r="F29" s="49"/>
      <c r="G29" s="56"/>
      <c r="H29" s="49"/>
      <c r="I29" s="44"/>
      <c r="J29" s="50"/>
      <c r="K29" s="44"/>
      <c r="L29" s="49"/>
      <c r="M29" s="51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3"/>
      <c r="AC29" s="43"/>
      <c r="AD29" s="40"/>
    </row>
    <row r="30" spans="1:30" s="39" customFormat="1" ht="15" customHeight="1">
      <c r="A30" s="153"/>
      <c r="B30" s="154"/>
      <c r="C30" s="155"/>
      <c r="D30" s="48"/>
      <c r="E30" s="156"/>
      <c r="F30" s="49"/>
      <c r="G30" s="56"/>
      <c r="H30" s="49"/>
      <c r="I30" s="44"/>
      <c r="J30" s="50"/>
      <c r="K30" s="44"/>
      <c r="L30" s="49"/>
      <c r="M30" s="51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3"/>
      <c r="AC30" s="43"/>
      <c r="AD30" s="40"/>
    </row>
    <row r="31" spans="1:30" s="39" customFormat="1" ht="15" customHeight="1">
      <c r="A31" s="153"/>
      <c r="B31" s="154"/>
      <c r="C31" s="155"/>
      <c r="D31" s="48"/>
      <c r="E31" s="156"/>
      <c r="F31" s="49"/>
      <c r="G31" s="56"/>
      <c r="H31" s="49"/>
      <c r="I31" s="44"/>
      <c r="J31" s="50"/>
      <c r="K31" s="44"/>
      <c r="L31" s="49"/>
      <c r="M31" s="51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3"/>
      <c r="AC31" s="43"/>
      <c r="AD31" s="40"/>
    </row>
    <row r="32" spans="1:30" s="39" customFormat="1" ht="15" customHeight="1">
      <c r="A32" s="153"/>
      <c r="B32" s="154"/>
      <c r="C32" s="155"/>
      <c r="D32" s="48"/>
      <c r="E32" s="156"/>
      <c r="F32" s="49"/>
      <c r="G32" s="56"/>
      <c r="H32" s="49"/>
      <c r="I32" s="44"/>
      <c r="J32" s="50"/>
      <c r="K32" s="44"/>
      <c r="L32" s="49"/>
      <c r="M32" s="51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3"/>
      <c r="AC32" s="43"/>
      <c r="AD32" s="40"/>
    </row>
    <row r="33" spans="1:30" s="39" customFormat="1" ht="15" customHeight="1">
      <c r="A33" s="153"/>
      <c r="B33" s="154"/>
      <c r="C33" s="155"/>
      <c r="D33" s="48"/>
      <c r="E33" s="156"/>
      <c r="F33" s="49"/>
      <c r="G33" s="56"/>
      <c r="H33" s="49"/>
      <c r="I33" s="44"/>
      <c r="J33" s="50"/>
      <c r="K33" s="44"/>
      <c r="L33" s="49"/>
      <c r="M33" s="51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3"/>
      <c r="AC33" s="43"/>
      <c r="AD33" s="40"/>
    </row>
    <row r="34" spans="1:30" s="39" customFormat="1" ht="15" customHeight="1">
      <c r="A34" s="153"/>
      <c r="B34" s="154"/>
      <c r="C34" s="155"/>
      <c r="D34" s="48"/>
      <c r="E34" s="156"/>
      <c r="F34" s="49"/>
      <c r="G34" s="56"/>
      <c r="H34" s="49"/>
      <c r="I34" s="44"/>
      <c r="J34" s="50"/>
      <c r="K34" s="44"/>
      <c r="L34" s="49"/>
      <c r="M34" s="51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3"/>
      <c r="AC34" s="43"/>
      <c r="AD34" s="40"/>
    </row>
    <row r="35" spans="1:30" s="39" customFormat="1" ht="15" customHeight="1">
      <c r="A35" s="153"/>
      <c r="B35" s="154"/>
      <c r="C35" s="155"/>
      <c r="D35" s="48"/>
      <c r="E35" s="156"/>
      <c r="F35" s="49"/>
      <c r="G35" s="56"/>
      <c r="H35" s="49"/>
      <c r="I35" s="44"/>
      <c r="J35" s="50"/>
      <c r="K35" s="44"/>
      <c r="L35" s="49"/>
      <c r="M35" s="51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3"/>
      <c r="AC35" s="43"/>
      <c r="AD35" s="40"/>
    </row>
    <row r="36" spans="1:30" s="39" customFormat="1" ht="15" customHeight="1">
      <c r="A36" s="153"/>
      <c r="B36" s="154"/>
      <c r="C36" s="155"/>
      <c r="D36" s="48"/>
      <c r="E36" s="156"/>
      <c r="F36" s="49"/>
      <c r="G36" s="56"/>
      <c r="H36" s="49"/>
      <c r="I36" s="44"/>
      <c r="J36" s="50"/>
      <c r="K36" s="44"/>
      <c r="L36" s="49"/>
      <c r="M36" s="51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3"/>
      <c r="AC36" s="43"/>
      <c r="AD36" s="40"/>
    </row>
    <row r="37" spans="1:30" s="39" customFormat="1" ht="15" customHeight="1">
      <c r="A37" s="153"/>
      <c r="B37" s="154"/>
      <c r="C37" s="155"/>
      <c r="D37" s="48"/>
      <c r="E37" s="156"/>
      <c r="F37" s="49"/>
      <c r="G37" s="56"/>
      <c r="H37" s="49"/>
      <c r="I37" s="44"/>
      <c r="J37" s="50"/>
      <c r="K37" s="44"/>
      <c r="L37" s="49"/>
      <c r="M37" s="51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3"/>
      <c r="AC37" s="43"/>
      <c r="AD37" s="40"/>
    </row>
    <row r="38" spans="1:30" s="39" customFormat="1" ht="15" customHeight="1">
      <c r="A38" s="153"/>
      <c r="B38" s="154"/>
      <c r="C38" s="155"/>
      <c r="D38" s="48"/>
      <c r="E38" s="156"/>
      <c r="F38" s="49"/>
      <c r="G38" s="56"/>
      <c r="H38" s="49"/>
      <c r="I38" s="44"/>
      <c r="J38" s="50"/>
      <c r="K38" s="44"/>
      <c r="L38" s="49"/>
      <c r="M38" s="51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3"/>
      <c r="AC38" s="43"/>
      <c r="AD38" s="40"/>
    </row>
    <row r="39" spans="1:30" s="39" customFormat="1" ht="15" customHeight="1">
      <c r="A39" s="153"/>
      <c r="B39" s="154"/>
      <c r="C39" s="155"/>
      <c r="D39" s="48"/>
      <c r="E39" s="156"/>
      <c r="F39" s="49"/>
      <c r="G39" s="56"/>
      <c r="H39" s="49"/>
      <c r="I39" s="44"/>
      <c r="J39" s="50"/>
      <c r="K39" s="44"/>
      <c r="L39" s="49"/>
      <c r="M39" s="51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3"/>
      <c r="AC39" s="43"/>
      <c r="AD39" s="40"/>
    </row>
    <row r="40" spans="1:30" s="39" customFormat="1" ht="15" customHeight="1">
      <c r="A40" s="153"/>
      <c r="B40" s="154"/>
      <c r="C40" s="155"/>
      <c r="D40" s="48"/>
      <c r="E40" s="156"/>
      <c r="F40" s="49"/>
      <c r="G40" s="56"/>
      <c r="H40" s="49"/>
      <c r="I40" s="44"/>
      <c r="J40" s="50"/>
      <c r="K40" s="44"/>
      <c r="L40" s="49"/>
      <c r="M40" s="51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3"/>
      <c r="AC40" s="43"/>
      <c r="AD40" s="40"/>
    </row>
    <row r="41" spans="1:30" s="39" customFormat="1" ht="15" customHeight="1">
      <c r="A41" s="153"/>
      <c r="B41" s="154"/>
      <c r="C41" s="155"/>
      <c r="D41" s="48"/>
      <c r="E41" s="156"/>
      <c r="F41" s="49"/>
      <c r="G41" s="56"/>
      <c r="H41" s="49"/>
      <c r="I41" s="44"/>
      <c r="J41" s="50"/>
      <c r="K41" s="44"/>
      <c r="L41" s="49"/>
      <c r="M41" s="51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3"/>
      <c r="AC41" s="43"/>
      <c r="AD41" s="40"/>
    </row>
    <row r="42" spans="1:30" s="39" customFormat="1" ht="15" customHeight="1">
      <c r="A42" s="153"/>
      <c r="B42" s="154"/>
      <c r="C42" s="155"/>
      <c r="D42" s="48"/>
      <c r="E42" s="156"/>
      <c r="F42" s="49"/>
      <c r="G42" s="56"/>
      <c r="H42" s="49"/>
      <c r="I42" s="44"/>
      <c r="J42" s="50"/>
      <c r="K42" s="44"/>
      <c r="L42" s="49"/>
      <c r="M42" s="51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3"/>
      <c r="AC42" s="43"/>
      <c r="AD42" s="40"/>
    </row>
    <row r="43" spans="1:30" s="39" customFormat="1" ht="15" customHeight="1">
      <c r="A43" s="153"/>
      <c r="B43" s="154"/>
      <c r="C43" s="155"/>
      <c r="D43" s="48"/>
      <c r="E43" s="156"/>
      <c r="F43" s="49"/>
      <c r="G43" s="56"/>
      <c r="H43" s="49"/>
      <c r="I43" s="44"/>
      <c r="J43" s="50"/>
      <c r="K43" s="44"/>
      <c r="L43" s="49"/>
      <c r="M43" s="51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3"/>
      <c r="AC43" s="43"/>
      <c r="AD43" s="40"/>
    </row>
    <row r="44" spans="1:30" s="39" customFormat="1" ht="15" customHeight="1">
      <c r="A44" s="153"/>
      <c r="B44" s="154"/>
      <c r="C44" s="155"/>
      <c r="D44" s="48"/>
      <c r="E44" s="156"/>
      <c r="F44" s="49"/>
      <c r="G44" s="56"/>
      <c r="H44" s="49"/>
      <c r="I44" s="44"/>
      <c r="J44" s="50"/>
      <c r="K44" s="44"/>
      <c r="L44" s="49"/>
      <c r="M44" s="51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3"/>
      <c r="AC44" s="43"/>
      <c r="AD44" s="40"/>
    </row>
    <row r="45" spans="1:30" s="39" customFormat="1" ht="15" customHeight="1">
      <c r="A45" s="153"/>
      <c r="B45" s="154"/>
      <c r="C45" s="155"/>
      <c r="D45" s="48"/>
      <c r="E45" s="156"/>
      <c r="F45" s="49"/>
      <c r="G45" s="56"/>
      <c r="H45" s="49"/>
      <c r="I45" s="44"/>
      <c r="J45" s="50"/>
      <c r="K45" s="44"/>
      <c r="L45" s="49"/>
      <c r="M45" s="51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3"/>
      <c r="AC45" s="43"/>
      <c r="AD45" s="40"/>
    </row>
    <row r="46" spans="1:30" s="39" customFormat="1" ht="15" customHeight="1">
      <c r="A46" s="153"/>
      <c r="B46" s="154"/>
      <c r="C46" s="155"/>
      <c r="D46" s="48"/>
      <c r="E46" s="156"/>
      <c r="F46" s="49"/>
      <c r="G46" s="56"/>
      <c r="H46" s="49"/>
      <c r="I46" s="44"/>
      <c r="J46" s="50"/>
      <c r="K46" s="44"/>
      <c r="L46" s="49"/>
      <c r="M46" s="51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3"/>
      <c r="AC46" s="43"/>
      <c r="AD46" s="40"/>
    </row>
    <row r="47" spans="1:30" s="39" customFormat="1" ht="15" customHeight="1">
      <c r="A47" s="153"/>
      <c r="B47" s="154"/>
      <c r="C47" s="155"/>
      <c r="D47" s="48"/>
      <c r="E47" s="156"/>
      <c r="F47" s="49"/>
      <c r="G47" s="56"/>
      <c r="H47" s="49"/>
      <c r="I47" s="44"/>
      <c r="J47" s="50"/>
      <c r="K47" s="44"/>
      <c r="L47" s="49"/>
      <c r="M47" s="51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3"/>
      <c r="AC47" s="43"/>
      <c r="AD47" s="40"/>
    </row>
    <row r="48" spans="1:30" s="39" customFormat="1" ht="15" customHeight="1">
      <c r="A48" s="153"/>
      <c r="B48" s="154"/>
      <c r="C48" s="155"/>
      <c r="D48" s="48"/>
      <c r="E48" s="156"/>
      <c r="F48" s="49"/>
      <c r="G48" s="56"/>
      <c r="H48" s="49"/>
      <c r="I48" s="44"/>
      <c r="J48" s="50"/>
      <c r="K48" s="44"/>
      <c r="L48" s="49"/>
      <c r="M48" s="51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3"/>
      <c r="AC48" s="43"/>
      <c r="AD48" s="40"/>
    </row>
    <row r="49" spans="1:30" s="39" customFormat="1" ht="15" customHeight="1">
      <c r="A49" s="153"/>
      <c r="B49" s="154"/>
      <c r="C49" s="155"/>
      <c r="D49" s="48"/>
      <c r="E49" s="156"/>
      <c r="F49" s="49"/>
      <c r="G49" s="56"/>
      <c r="H49" s="49"/>
      <c r="I49" s="44"/>
      <c r="J49" s="50"/>
      <c r="K49" s="44"/>
      <c r="L49" s="49"/>
      <c r="M49" s="51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3"/>
      <c r="AC49" s="43"/>
      <c r="AD49" s="40"/>
    </row>
    <row r="50" spans="1:30" s="39" customFormat="1" ht="15" customHeight="1">
      <c r="A50" s="157"/>
      <c r="B50" s="158"/>
      <c r="C50" s="159"/>
      <c r="D50" s="52"/>
      <c r="E50" s="160"/>
      <c r="F50" s="53"/>
      <c r="G50" s="57"/>
      <c r="H50" s="53"/>
      <c r="I50" s="47"/>
      <c r="J50" s="54"/>
      <c r="K50" s="47"/>
      <c r="L50" s="53"/>
      <c r="M50" s="55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3"/>
      <c r="AC50" s="43"/>
      <c r="AD50" s="40"/>
    </row>
  </sheetData>
  <mergeCells count="2">
    <mergeCell ref="A4:M4"/>
    <mergeCell ref="U5:V6"/>
  </mergeCells>
  <pageMargins left="0.51181102362204722" right="0.27559055118110237" top="0.74803149606299213" bottom="0.74803149606299213" header="0.31496062992125984" footer="0.31496062992125984"/>
  <pageSetup paperSize="9" scale="55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</vt:i4>
      </vt:variant>
    </vt:vector>
  </HeadingPairs>
  <TitlesOfParts>
    <vt:vector size="12" baseType="lpstr">
      <vt:lpstr>Лист2-ЭЛЕМЕНТ</vt:lpstr>
      <vt:lpstr>Лист4-Толщинометрия</vt:lpstr>
      <vt:lpstr>Вспомогательный лист</vt:lpstr>
      <vt:lpstr>Passport</vt:lpstr>
      <vt:lpstr>FLHasPassport</vt:lpstr>
      <vt:lpstr>EQHasPassport</vt:lpstr>
      <vt:lpstr>ICTE_Analysis</vt:lpstr>
      <vt:lpstr>ICTEhasCorrosionType</vt:lpstr>
      <vt:lpstr>ICTEhasUnaccountedComp</vt:lpstr>
      <vt:lpstr>СПРАВОЧНИК</vt:lpstr>
      <vt:lpstr>ШАБЛОН</vt:lpstr>
      <vt:lpstr>ШАБЛОН!Область_печати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Andrianov.NSe</dc:creator>
  <cp:lastModifiedBy>Ленчак Павел Алексеевич</cp:lastModifiedBy>
  <dcterms:created xsi:type="dcterms:W3CDTF">2019-11-05T07:00:59Z</dcterms:created>
  <dcterms:modified xsi:type="dcterms:W3CDTF">2021-05-14T04:43:30Z</dcterms:modified>
</cp:coreProperties>
</file>