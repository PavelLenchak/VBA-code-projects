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My\Макросы\"/>
    </mc:Choice>
  </mc:AlternateContent>
  <bookViews>
    <workbookView xWindow="0" yWindow="10350" windowWidth="20490" windowHeight="7890" tabRatio="597"/>
  </bookViews>
  <sheets>
    <sheet name="Лист2-ЭЛЕМЕНТ" sheetId="7" r:id="rId1"/>
    <sheet name="Лист4-Толщинометрия" sheetId="4" r:id="rId2"/>
    <sheet name="Вспомогательный лист" sheetId="5" r:id="rId3"/>
    <sheet name="Passport" sheetId="8" r:id="rId4"/>
    <sheet name="ICTE_Analysis" sheetId="9" r:id="rId5"/>
    <sheet name="ICTEhasCorrosionType" sheetId="10" r:id="rId6"/>
    <sheet name="ICTEhasUnaccountedComp" sheetId="11" r:id="rId7"/>
    <sheet name="ШАБЛОН" sheetId="12" r:id="rId8"/>
  </sheets>
  <functionGroups builtInGroupCount="18"/>
  <externalReferences>
    <externalReference r:id="rId9"/>
    <externalReference r:id="rId10"/>
    <externalReference r:id="rId11"/>
  </externalReferences>
  <definedNames>
    <definedName name="_xlnm._FilterDatabase" localSheetId="2" hidden="1">'Вспомогательный лист'!$A$4:$K$4</definedName>
    <definedName name="_xlnm._FilterDatabase" localSheetId="0" hidden="1">'Лист2-ЭЛЕМЕНТ'!$A$4:$BF$2745</definedName>
    <definedName name="_xlnm._FilterDatabase" localSheetId="1" hidden="1">'Лист4-Толщинометрия'!$A$4:$J$4</definedName>
    <definedName name="_xlnm._FilterDatabase" localSheetId="7" hidden="1">ШАБЛОН!$A$6:$M$50</definedName>
    <definedName name="RBI_Data_Load_Template">#REF!</definedName>
    <definedName name="Sheet1">#REF!</definedName>
    <definedName name="компТр" localSheetId="0">#REF!</definedName>
    <definedName name="компТр" localSheetId="7">#REF!</definedName>
    <definedName name="компТр">#REF!</definedName>
    <definedName name="Материал">[1]Справочники!$X$2:$X$208</definedName>
    <definedName name="_xlnm.Print_Area" localSheetId="7">ШАБЛОН!$A$1:$M$50</definedName>
    <definedName name="Числа">[2]Т3!#REF!</definedName>
    <definedName name="элемент">[3]Справочники!$D$2:$D$14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3" i="7" l="1"/>
  <c r="A6" i="5" l="1"/>
  <c r="B6" i="5"/>
  <c r="C6" i="5"/>
  <c r="D6" i="5"/>
  <c r="F6" i="5"/>
  <c r="G6" i="5"/>
  <c r="H6" i="5"/>
  <c r="K6" i="5"/>
  <c r="M6" i="5"/>
  <c r="N6" i="5"/>
  <c r="O6" i="5"/>
  <c r="A7" i="5"/>
  <c r="B7" i="5"/>
  <c r="C7" i="5"/>
  <c r="D7" i="5"/>
  <c r="F7" i="5"/>
  <c r="G7" i="5"/>
  <c r="H7" i="5"/>
  <c r="K7" i="5"/>
  <c r="M7" i="5"/>
  <c r="N7" i="5"/>
  <c r="O7" i="5"/>
  <c r="A8" i="5"/>
  <c r="B8" i="5"/>
  <c r="C8" i="5"/>
  <c r="D8" i="5"/>
  <c r="F8" i="5"/>
  <c r="G8" i="5"/>
  <c r="H8" i="5"/>
  <c r="K8" i="5"/>
  <c r="M8" i="5"/>
  <c r="N8" i="5"/>
  <c r="O8" i="5"/>
  <c r="A9" i="5"/>
  <c r="B9" i="5"/>
  <c r="C9" i="5"/>
  <c r="D9" i="5"/>
  <c r="F9" i="5"/>
  <c r="G9" i="5"/>
  <c r="H9" i="5"/>
  <c r="K9" i="5"/>
  <c r="M9" i="5"/>
  <c r="N9" i="5"/>
  <c r="O9" i="5"/>
  <c r="A10" i="5"/>
  <c r="B10" i="5"/>
  <c r="C10" i="5"/>
  <c r="D10" i="5"/>
  <c r="F10" i="5"/>
  <c r="G10" i="5"/>
  <c r="H10" i="5"/>
  <c r="K10" i="5"/>
  <c r="M10" i="5"/>
  <c r="N10" i="5"/>
  <c r="O10" i="5"/>
  <c r="A11" i="5"/>
  <c r="B11" i="5"/>
  <c r="C11" i="5"/>
  <c r="D11" i="5"/>
  <c r="F11" i="5"/>
  <c r="G11" i="5"/>
  <c r="H11" i="5"/>
  <c r="K11" i="5"/>
  <c r="M11" i="5"/>
  <c r="N11" i="5"/>
  <c r="O11" i="5"/>
  <c r="A12" i="5"/>
  <c r="B12" i="5"/>
  <c r="C12" i="5"/>
  <c r="D12" i="5"/>
  <c r="F12" i="5"/>
  <c r="G12" i="5"/>
  <c r="H12" i="5"/>
  <c r="K12" i="5"/>
  <c r="M12" i="5"/>
  <c r="N12" i="5"/>
  <c r="O12" i="5"/>
  <c r="A13" i="5"/>
  <c r="B13" i="5"/>
  <c r="C13" i="5"/>
  <c r="D13" i="5"/>
  <c r="F13" i="5"/>
  <c r="G13" i="5"/>
  <c r="H13" i="5"/>
  <c r="K13" i="5"/>
  <c r="M13" i="5"/>
  <c r="N13" i="5"/>
  <c r="O13" i="5"/>
  <c r="A14" i="5"/>
  <c r="B14" i="5"/>
  <c r="C14" i="5"/>
  <c r="D14" i="5"/>
  <c r="F14" i="5"/>
  <c r="G14" i="5"/>
  <c r="H14" i="5"/>
  <c r="K14" i="5"/>
  <c r="M14" i="5"/>
  <c r="N14" i="5"/>
  <c r="O14" i="5"/>
  <c r="A15" i="5"/>
  <c r="B15" i="5"/>
  <c r="C15" i="5"/>
  <c r="D15" i="5"/>
  <c r="F15" i="5"/>
  <c r="G15" i="5"/>
  <c r="H15" i="5"/>
  <c r="K15" i="5"/>
  <c r="M15" i="5"/>
  <c r="N15" i="5"/>
  <c r="O15" i="5"/>
  <c r="A16" i="5"/>
  <c r="B16" i="5"/>
  <c r="C16" i="5"/>
  <c r="D16" i="5"/>
  <c r="F16" i="5"/>
  <c r="G16" i="5"/>
  <c r="H16" i="5"/>
  <c r="K16" i="5"/>
  <c r="M16" i="5"/>
  <c r="N16" i="5"/>
  <c r="O16" i="5"/>
  <c r="A17" i="5"/>
  <c r="B17" i="5"/>
  <c r="C17" i="5"/>
  <c r="D17" i="5"/>
  <c r="F17" i="5"/>
  <c r="G17" i="5"/>
  <c r="H17" i="5"/>
  <c r="K17" i="5"/>
  <c r="M17" i="5"/>
  <c r="N17" i="5"/>
  <c r="O17" i="5"/>
  <c r="A18" i="5"/>
  <c r="B18" i="5"/>
  <c r="C18" i="5"/>
  <c r="D18" i="5"/>
  <c r="F18" i="5"/>
  <c r="G18" i="5"/>
  <c r="H18" i="5"/>
  <c r="K18" i="5"/>
  <c r="M18" i="5"/>
  <c r="N18" i="5"/>
  <c r="O18" i="5"/>
  <c r="A19" i="5"/>
  <c r="B19" i="5"/>
  <c r="C19" i="5"/>
  <c r="D19" i="5"/>
  <c r="F19" i="5"/>
  <c r="G19" i="5"/>
  <c r="H19" i="5"/>
  <c r="K19" i="5"/>
  <c r="M19" i="5"/>
  <c r="N19" i="5"/>
  <c r="O19" i="5"/>
  <c r="A20" i="5"/>
  <c r="B20" i="5"/>
  <c r="C20" i="5"/>
  <c r="D20" i="5"/>
  <c r="F20" i="5"/>
  <c r="G20" i="5"/>
  <c r="H20" i="5"/>
  <c r="K20" i="5"/>
  <c r="M20" i="5"/>
  <c r="N20" i="5"/>
  <c r="O20" i="5"/>
  <c r="A21" i="5"/>
  <c r="B21" i="5"/>
  <c r="C21" i="5"/>
  <c r="D21" i="5"/>
  <c r="F21" i="5"/>
  <c r="G21" i="5"/>
  <c r="H21" i="5"/>
  <c r="K21" i="5"/>
  <c r="M21" i="5"/>
  <c r="N21" i="5"/>
  <c r="O21" i="5"/>
  <c r="A22" i="5"/>
  <c r="B22" i="5"/>
  <c r="C22" i="5"/>
  <c r="D22" i="5"/>
  <c r="F22" i="5"/>
  <c r="G22" i="5"/>
  <c r="H22" i="5"/>
  <c r="K22" i="5"/>
  <c r="M22" i="5"/>
  <c r="N22" i="5"/>
  <c r="O22" i="5"/>
  <c r="A23" i="5"/>
  <c r="B23" i="5"/>
  <c r="C23" i="5"/>
  <c r="D23" i="5"/>
  <c r="F23" i="5"/>
  <c r="G23" i="5"/>
  <c r="H23" i="5"/>
  <c r="K23" i="5"/>
  <c r="M23" i="5"/>
  <c r="N23" i="5"/>
  <c r="O23" i="5"/>
  <c r="A24" i="5"/>
  <c r="B24" i="5"/>
  <c r="C24" i="5"/>
  <c r="D24" i="5"/>
  <c r="F24" i="5"/>
  <c r="G24" i="5"/>
  <c r="H24" i="5"/>
  <c r="K24" i="5"/>
  <c r="M24" i="5"/>
  <c r="N24" i="5"/>
  <c r="O24" i="5"/>
  <c r="A25" i="5"/>
  <c r="B25" i="5"/>
  <c r="C25" i="5"/>
  <c r="D25" i="5"/>
  <c r="F25" i="5"/>
  <c r="G25" i="5"/>
  <c r="H25" i="5"/>
  <c r="K25" i="5"/>
  <c r="M25" i="5"/>
  <c r="N25" i="5"/>
  <c r="O25" i="5"/>
  <c r="A26" i="5"/>
  <c r="B26" i="5"/>
  <c r="C26" i="5"/>
  <c r="D26" i="5"/>
  <c r="F26" i="5"/>
  <c r="G26" i="5"/>
  <c r="H26" i="5"/>
  <c r="K26" i="5"/>
  <c r="M26" i="5"/>
  <c r="N26" i="5"/>
  <c r="O26" i="5"/>
  <c r="A27" i="5"/>
  <c r="B27" i="5"/>
  <c r="C27" i="5"/>
  <c r="D27" i="5"/>
  <c r="F27" i="5"/>
  <c r="G27" i="5"/>
  <c r="H27" i="5"/>
  <c r="K27" i="5"/>
  <c r="M27" i="5"/>
  <c r="N27" i="5"/>
  <c r="O27" i="5"/>
  <c r="A28" i="5"/>
  <c r="B28" i="5"/>
  <c r="C28" i="5"/>
  <c r="D28" i="5"/>
  <c r="F28" i="5"/>
  <c r="G28" i="5"/>
  <c r="H28" i="5"/>
  <c r="K28" i="5"/>
  <c r="M28" i="5"/>
  <c r="N28" i="5"/>
  <c r="O28" i="5"/>
  <c r="A29" i="5"/>
  <c r="B29" i="5"/>
  <c r="C29" i="5"/>
  <c r="D29" i="5"/>
  <c r="F29" i="5"/>
  <c r="G29" i="5"/>
  <c r="H29" i="5"/>
  <c r="K29" i="5"/>
  <c r="M29" i="5"/>
  <c r="N29" i="5"/>
  <c r="O29" i="5"/>
  <c r="A30" i="5"/>
  <c r="B30" i="5"/>
  <c r="C30" i="5"/>
  <c r="D30" i="5"/>
  <c r="F30" i="5"/>
  <c r="G30" i="5"/>
  <c r="H30" i="5"/>
  <c r="K30" i="5"/>
  <c r="M30" i="5"/>
  <c r="N30" i="5"/>
  <c r="O30" i="5"/>
  <c r="A31" i="5"/>
  <c r="B31" i="5"/>
  <c r="C31" i="5"/>
  <c r="D31" i="5"/>
  <c r="F31" i="5"/>
  <c r="G31" i="5"/>
  <c r="H31" i="5"/>
  <c r="K31" i="5"/>
  <c r="M31" i="5"/>
  <c r="N31" i="5"/>
  <c r="O31" i="5"/>
  <c r="A32" i="5"/>
  <c r="B32" i="5"/>
  <c r="C32" i="5"/>
  <c r="D32" i="5"/>
  <c r="F32" i="5"/>
  <c r="G32" i="5"/>
  <c r="H32" i="5"/>
  <c r="K32" i="5"/>
  <c r="M32" i="5"/>
  <c r="N32" i="5"/>
  <c r="O32" i="5"/>
  <c r="A33" i="5"/>
  <c r="B33" i="5"/>
  <c r="C33" i="5"/>
  <c r="D33" i="5"/>
  <c r="F33" i="5"/>
  <c r="G33" i="5"/>
  <c r="H33" i="5"/>
  <c r="K33" i="5"/>
  <c r="M33" i="5"/>
  <c r="N33" i="5"/>
  <c r="O33" i="5"/>
  <c r="A34" i="5"/>
  <c r="B34" i="5"/>
  <c r="C34" i="5"/>
  <c r="D34" i="5"/>
  <c r="F34" i="5"/>
  <c r="G34" i="5"/>
  <c r="H34" i="5"/>
  <c r="K34" i="5"/>
  <c r="M34" i="5"/>
  <c r="N34" i="5"/>
  <c r="O34" i="5"/>
  <c r="A35" i="5"/>
  <c r="B35" i="5"/>
  <c r="C35" i="5"/>
  <c r="D35" i="5"/>
  <c r="F35" i="5"/>
  <c r="G35" i="5"/>
  <c r="H35" i="5"/>
  <c r="K35" i="5"/>
  <c r="M35" i="5"/>
  <c r="N35" i="5"/>
  <c r="O35" i="5"/>
  <c r="A36" i="5"/>
  <c r="B36" i="5"/>
  <c r="C36" i="5"/>
  <c r="D36" i="5"/>
  <c r="F36" i="5"/>
  <c r="G36" i="5"/>
  <c r="H36" i="5"/>
  <c r="K36" i="5"/>
  <c r="M36" i="5"/>
  <c r="N36" i="5"/>
  <c r="O36" i="5"/>
  <c r="A37" i="5"/>
  <c r="B37" i="5"/>
  <c r="C37" i="5"/>
  <c r="D37" i="5"/>
  <c r="F37" i="5"/>
  <c r="G37" i="5"/>
  <c r="H37" i="5"/>
  <c r="K37" i="5"/>
  <c r="M37" i="5"/>
  <c r="N37" i="5"/>
  <c r="O37" i="5"/>
  <c r="A38" i="5"/>
  <c r="B38" i="5"/>
  <c r="C38" i="5"/>
  <c r="D38" i="5"/>
  <c r="F38" i="5"/>
  <c r="G38" i="5"/>
  <c r="H38" i="5"/>
  <c r="K38" i="5"/>
  <c r="M38" i="5"/>
  <c r="N38" i="5"/>
  <c r="O38" i="5"/>
  <c r="A39" i="5"/>
  <c r="B39" i="5"/>
  <c r="C39" i="5"/>
  <c r="D39" i="5"/>
  <c r="F39" i="5"/>
  <c r="G39" i="5"/>
  <c r="H39" i="5"/>
  <c r="K39" i="5"/>
  <c r="M39" i="5"/>
  <c r="N39" i="5"/>
  <c r="O39" i="5"/>
  <c r="A40" i="5"/>
  <c r="B40" i="5"/>
  <c r="C40" i="5"/>
  <c r="D40" i="5"/>
  <c r="F40" i="5"/>
  <c r="G40" i="5"/>
  <c r="H40" i="5"/>
  <c r="K40" i="5"/>
  <c r="M40" i="5"/>
  <c r="N40" i="5"/>
  <c r="O40" i="5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A21" i="4"/>
  <c r="B21" i="4"/>
  <c r="C21" i="4"/>
  <c r="D21" i="4"/>
  <c r="F21" i="4"/>
  <c r="G21" i="4"/>
  <c r="A22" i="4"/>
  <c r="B22" i="4"/>
  <c r="C22" i="4"/>
  <c r="D22" i="4"/>
  <c r="F22" i="4"/>
  <c r="G22" i="4"/>
  <c r="A23" i="4"/>
  <c r="B23" i="4"/>
  <c r="C23" i="4"/>
  <c r="D23" i="4"/>
  <c r="F23" i="4"/>
  <c r="G23" i="4"/>
  <c r="A24" i="4"/>
  <c r="B24" i="4"/>
  <c r="C24" i="4"/>
  <c r="D24" i="4"/>
  <c r="F24" i="4"/>
  <c r="G24" i="4"/>
  <c r="A25" i="4"/>
  <c r="B25" i="4"/>
  <c r="C25" i="4"/>
  <c r="D25" i="4"/>
  <c r="F25" i="4"/>
  <c r="G25" i="4"/>
  <c r="A26" i="4"/>
  <c r="B26" i="4"/>
  <c r="C26" i="4"/>
  <c r="D26" i="4"/>
  <c r="F26" i="4"/>
  <c r="G26" i="4"/>
  <c r="A27" i="4"/>
  <c r="B27" i="4"/>
  <c r="C27" i="4"/>
  <c r="D27" i="4"/>
  <c r="F27" i="4"/>
  <c r="G27" i="4"/>
  <c r="A28" i="4"/>
  <c r="B28" i="4"/>
  <c r="C28" i="4"/>
  <c r="D28" i="4"/>
  <c r="F28" i="4"/>
  <c r="G28" i="4"/>
  <c r="A29" i="4"/>
  <c r="B29" i="4"/>
  <c r="C29" i="4"/>
  <c r="D29" i="4"/>
  <c r="F29" i="4"/>
  <c r="G29" i="4"/>
  <c r="A30" i="4"/>
  <c r="B30" i="4"/>
  <c r="C30" i="4"/>
  <c r="D30" i="4"/>
  <c r="F30" i="4"/>
  <c r="G30" i="4"/>
  <c r="A31" i="4"/>
  <c r="B31" i="4"/>
  <c r="C31" i="4"/>
  <c r="D31" i="4"/>
  <c r="F31" i="4"/>
  <c r="G31" i="4"/>
  <c r="A32" i="4"/>
  <c r="B32" i="4"/>
  <c r="C32" i="4"/>
  <c r="D32" i="4"/>
  <c r="F32" i="4"/>
  <c r="G32" i="4"/>
  <c r="A33" i="4"/>
  <c r="B33" i="4"/>
  <c r="C33" i="4"/>
  <c r="D33" i="4"/>
  <c r="F33" i="4"/>
  <c r="G33" i="4"/>
  <c r="A34" i="4"/>
  <c r="B34" i="4"/>
  <c r="C34" i="4"/>
  <c r="D34" i="4"/>
  <c r="F34" i="4"/>
  <c r="G34" i="4"/>
  <c r="A35" i="4"/>
  <c r="B35" i="4"/>
  <c r="C35" i="4"/>
  <c r="D35" i="4"/>
  <c r="F35" i="4"/>
  <c r="G35" i="4"/>
  <c r="A36" i="4"/>
  <c r="B36" i="4"/>
  <c r="C36" i="4"/>
  <c r="D36" i="4"/>
  <c r="F36" i="4"/>
  <c r="G36" i="4"/>
  <c r="A37" i="4"/>
  <c r="B37" i="4"/>
  <c r="C37" i="4"/>
  <c r="D37" i="4"/>
  <c r="F37" i="4"/>
  <c r="G37" i="4"/>
  <c r="A38" i="4"/>
  <c r="B38" i="4"/>
  <c r="C38" i="4"/>
  <c r="D38" i="4"/>
  <c r="F38" i="4"/>
  <c r="G38" i="4"/>
  <c r="A39" i="4"/>
  <c r="B39" i="4"/>
  <c r="C39" i="4"/>
  <c r="D39" i="4"/>
  <c r="F39" i="4"/>
  <c r="G39" i="4"/>
  <c r="A40" i="4"/>
  <c r="B40" i="4"/>
  <c r="C40" i="4"/>
  <c r="D40" i="4"/>
  <c r="F40" i="4"/>
  <c r="G40" i="4"/>
  <c r="R39" i="5" l="1"/>
  <c r="R35" i="5"/>
  <c r="R33" i="5"/>
  <c r="R23" i="5"/>
  <c r="R31" i="5"/>
  <c r="R21" i="5"/>
  <c r="R37" i="5"/>
  <c r="R17" i="5"/>
  <c r="R15" i="5"/>
  <c r="R9" i="5"/>
  <c r="R30" i="5"/>
  <c r="R34" i="5"/>
  <c r="R38" i="5"/>
  <c r="R29" i="5"/>
  <c r="R19" i="5"/>
  <c r="R7" i="5"/>
  <c r="R27" i="5"/>
  <c r="R13" i="5"/>
  <c r="R11" i="5"/>
  <c r="R18" i="5"/>
  <c r="R26" i="5"/>
  <c r="R25" i="5"/>
  <c r="R22" i="5"/>
  <c r="R10" i="5"/>
  <c r="R14" i="5"/>
  <c r="R40" i="5"/>
  <c r="R36" i="5"/>
  <c r="R32" i="5"/>
  <c r="R28" i="5"/>
  <c r="R24" i="5"/>
  <c r="R20" i="5"/>
  <c r="R16" i="5"/>
  <c r="R12" i="5"/>
  <c r="R8" i="5"/>
  <c r="K5" i="5"/>
  <c r="M5" i="5" l="1"/>
  <c r="Q38" i="5" l="1"/>
  <c r="Q34" i="5"/>
  <c r="Q30" i="5"/>
  <c r="Q26" i="5"/>
  <c r="Q22" i="5"/>
  <c r="Q18" i="5"/>
  <c r="Q14" i="5"/>
  <c r="Q10" i="5"/>
  <c r="Q6" i="5"/>
  <c r="Q39" i="5"/>
  <c r="Q35" i="5"/>
  <c r="Q31" i="5"/>
  <c r="Q27" i="5"/>
  <c r="Q23" i="5"/>
  <c r="Q19" i="5"/>
  <c r="Q15" i="5"/>
  <c r="Q11" i="5"/>
  <c r="Q7" i="5"/>
  <c r="Q40" i="5"/>
  <c r="Y40" i="7" s="1"/>
  <c r="Q36" i="5"/>
  <c r="Q32" i="5"/>
  <c r="Q28" i="5"/>
  <c r="Q24" i="5"/>
  <c r="Q20" i="5"/>
  <c r="Q16" i="5"/>
  <c r="Q12" i="5"/>
  <c r="Q8" i="5"/>
  <c r="Q37" i="5"/>
  <c r="Q33" i="5"/>
  <c r="Q29" i="5"/>
  <c r="Q25" i="5"/>
  <c r="Q21" i="5"/>
  <c r="Q17" i="5"/>
  <c r="Q13" i="5"/>
  <c r="Q9" i="5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E39" i="5" l="1"/>
  <c r="E39" i="4"/>
  <c r="E37" i="5"/>
  <c r="E37" i="4"/>
  <c r="E35" i="5"/>
  <c r="E35" i="4"/>
  <c r="E33" i="5"/>
  <c r="E33" i="4"/>
  <c r="E31" i="5"/>
  <c r="E31" i="4"/>
  <c r="E29" i="5"/>
  <c r="E29" i="4"/>
  <c r="E27" i="5"/>
  <c r="E27" i="4"/>
  <c r="E25" i="5"/>
  <c r="E25" i="4"/>
  <c r="E23" i="5"/>
  <c r="E23" i="4"/>
  <c r="E21" i="5"/>
  <c r="E21" i="4"/>
  <c r="E19" i="5"/>
  <c r="E19" i="4"/>
  <c r="E17" i="5"/>
  <c r="E17" i="4"/>
  <c r="E15" i="5"/>
  <c r="E15" i="4"/>
  <c r="E13" i="5"/>
  <c r="E13" i="4"/>
  <c r="E11" i="5"/>
  <c r="E11" i="4"/>
  <c r="E9" i="5"/>
  <c r="E9" i="4"/>
  <c r="E7" i="5"/>
  <c r="E7" i="4"/>
  <c r="E40" i="4"/>
  <c r="E40" i="5"/>
  <c r="E38" i="5"/>
  <c r="E38" i="4"/>
  <c r="E36" i="4"/>
  <c r="E36" i="5"/>
  <c r="E34" i="5"/>
  <c r="E34" i="4"/>
  <c r="E32" i="4"/>
  <c r="E32" i="5"/>
  <c r="E30" i="5"/>
  <c r="E30" i="4"/>
  <c r="E28" i="4"/>
  <c r="E28" i="5"/>
  <c r="E26" i="5"/>
  <c r="E26" i="4"/>
  <c r="E24" i="4"/>
  <c r="E24" i="5"/>
  <c r="E22" i="5"/>
  <c r="E22" i="4"/>
  <c r="E20" i="4"/>
  <c r="E20" i="5"/>
  <c r="E18" i="5"/>
  <c r="E18" i="4"/>
  <c r="E16" i="4"/>
  <c r="E16" i="5"/>
  <c r="E14" i="5"/>
  <c r="E14" i="4"/>
  <c r="E12" i="4"/>
  <c r="E12" i="5"/>
  <c r="E10" i="5"/>
  <c r="E10" i="4"/>
  <c r="E8" i="4"/>
  <c r="E8" i="5"/>
  <c r="E6" i="5"/>
  <c r="E6" i="4"/>
  <c r="B5" i="5"/>
  <c r="C5" i="5"/>
  <c r="D5" i="5"/>
  <c r="E5" i="5"/>
  <c r="F5" i="5"/>
  <c r="G5" i="5"/>
  <c r="H5" i="5"/>
  <c r="N5" i="5"/>
  <c r="O5" i="5"/>
  <c r="A5" i="4"/>
  <c r="B5" i="4"/>
  <c r="C5" i="4"/>
  <c r="D5" i="4"/>
  <c r="E5" i="4"/>
  <c r="F5" i="4"/>
  <c r="G5" i="4"/>
  <c r="R6" i="5" l="1"/>
  <c r="R5" i="5"/>
  <c r="A5" i="5"/>
  <c r="Q5" i="5" l="1"/>
  <c r="Y5" i="7" s="1"/>
  <c r="Y13" i="7"/>
  <c r="Y21" i="7"/>
  <c r="Y29" i="7"/>
  <c r="Y37" i="7"/>
  <c r="Y11" i="7"/>
  <c r="Y19" i="7"/>
  <c r="Y27" i="7"/>
  <c r="Y35" i="7"/>
  <c r="Y6" i="7"/>
  <c r="Y10" i="7"/>
  <c r="Y14" i="7"/>
  <c r="Y18" i="7"/>
  <c r="Y22" i="7"/>
  <c r="Y26" i="7"/>
  <c r="Y30" i="7"/>
  <c r="Y34" i="7"/>
  <c r="Y38" i="7"/>
  <c r="Y9" i="7"/>
  <c r="Y17" i="7"/>
  <c r="Y25" i="7"/>
  <c r="Y33" i="7"/>
  <c r="Y7" i="7"/>
  <c r="Y15" i="7"/>
  <c r="Y23" i="7"/>
  <c r="Y31" i="7"/>
  <c r="Y39" i="7"/>
  <c r="Y8" i="7"/>
  <c r="Y12" i="7"/>
  <c r="Y16" i="7"/>
  <c r="Y20" i="7"/>
  <c r="Y24" i="7"/>
  <c r="Y28" i="7"/>
  <c r="Y32" i="7"/>
  <c r="Y36" i="7"/>
</calcChain>
</file>

<file path=xl/sharedStrings.xml><?xml version="1.0" encoding="utf-8"?>
<sst xmlns="http://schemas.openxmlformats.org/spreadsheetml/2006/main" count="498" uniqueCount="364">
  <si>
    <t>Установка</t>
  </si>
  <si>
    <t>ID_Оборудования</t>
  </si>
  <si>
    <t>ID_Технического_места</t>
  </si>
  <si>
    <t>Позиция</t>
  </si>
  <si>
    <t>Тип_материала</t>
  </si>
  <si>
    <t>ID элемента</t>
  </si>
  <si>
    <t>ID точки</t>
  </si>
  <si>
    <t xml:space="preserve">Место измерения толщины. Должна соответствовать карте замеров. </t>
  </si>
  <si>
    <t>Отбраковочная толщина по паспорту (НМД).</t>
  </si>
  <si>
    <t>Расчетная минимальная толщина</t>
  </si>
  <si>
    <t>Прибавка_на_коррозию_мм</t>
  </si>
  <si>
    <t>Не заполнять, заполняется автоматически по марке материала.</t>
  </si>
  <si>
    <t>Наружный диаметр элементов.</t>
  </si>
  <si>
    <t>Внутренний диаметр элементов.</t>
  </si>
  <si>
    <t>Расчетная температура</t>
  </si>
  <si>
    <t>По умолчанию равен 1</t>
  </si>
  <si>
    <t>Выбирается из выпадающего списка.</t>
  </si>
  <si>
    <t>Равно Внутренний диаметр для эллиптических, для полусферических равно 0,5 внутреннего диаметра</t>
  </si>
  <si>
    <t>Для торосферических днищ</t>
  </si>
  <si>
    <t>Для конических и тороконических днищ</t>
  </si>
  <si>
    <t xml:space="preserve">В расчетах значение должно быть не менее 5, если меньше в расчетах используем 5
</t>
  </si>
  <si>
    <t>Только для переходов</t>
  </si>
  <si>
    <t>Только для тройников. При расчете берется значение не менее 5</t>
  </si>
  <si>
    <t>Только для плоской межфланцевой заглушки. Определяют по техническим условиям или по чертежу.</t>
  </si>
  <si>
    <t>Только для плоской фланцевой заглушки. Определяют по чертежу.</t>
  </si>
  <si>
    <t>Толщина стенки S используется в формуле расчетной толщины стенки магистрали в тройниковых соединениях (врезках).</t>
  </si>
  <si>
    <t>Только для плоской круглой торцевой заглушки.</t>
  </si>
  <si>
    <t>Только для сварных тройников. Выбирается из выпадающего списка.</t>
  </si>
  <si>
    <t>ID группы TML</t>
  </si>
  <si>
    <t>ID TML</t>
  </si>
  <si>
    <t>Расположение</t>
  </si>
  <si>
    <t>Мин. Толщина</t>
  </si>
  <si>
    <t>добавить</t>
  </si>
  <si>
    <t>Допустимость коррозии</t>
  </si>
  <si>
    <t>Класс материала</t>
  </si>
  <si>
    <t>Внешний диаметр</t>
  </si>
  <si>
    <t xml:space="preserve">Внутренний диаметр </t>
  </si>
  <si>
    <t>Расчетное давление</t>
  </si>
  <si>
    <t>Коэф. Стыка</t>
  </si>
  <si>
    <t>Тип резервуара</t>
  </si>
  <si>
    <t>Внутр. Радиус</t>
  </si>
  <si>
    <t>Внешний радиус</t>
  </si>
  <si>
    <t>Угол при вершине</t>
  </si>
  <si>
    <t>Радиус кривизны осевой линии отвода</t>
  </si>
  <si>
    <t>Наружный диаметр перехода со стороны большего диаметра</t>
  </si>
  <si>
    <t>Наружный диаметр перехода со стороны меньшего диаметра</t>
  </si>
  <si>
    <t>Длина перехода</t>
  </si>
  <si>
    <t>Внутренний радиус</t>
  </si>
  <si>
    <t>Ширина уплотнительной прокладки</t>
  </si>
  <si>
    <t>Расстояние между центральными осями шпилек</t>
  </si>
  <si>
    <t>Номинальная толщина</t>
  </si>
  <si>
    <t>Радиус скругления для плоский торцевой заглушки</t>
  </si>
  <si>
    <t>Тип элемента тройника</t>
  </si>
  <si>
    <t>MI_TMLGROUP_ID_C</t>
  </si>
  <si>
    <t>MI_DP_ID_CHR</t>
  </si>
  <si>
    <t>MI_DP_LOCTN_CHR</t>
  </si>
  <si>
    <t>MI_TML_MIN_THICK_NBR</t>
  </si>
  <si>
    <t>MI_THICK_MEASU_LOCAT_DESIG_MIN_THICK_NBR</t>
  </si>
  <si>
    <t>MI_TML_CORR_ALLOW_NBR</t>
  </si>
  <si>
    <t>MI_TML_MATER_TYPE_CHR</t>
  </si>
  <si>
    <t>MI_TML_MAT_GRADE_CHR</t>
  </si>
  <si>
    <t>MI_TML_OUTSD_DIAM_NBR</t>
  </si>
  <si>
    <t>MI_TML_INSD_DIAM_NBR</t>
  </si>
  <si>
    <t>MI_TML_DSGN_PRESS_NBR</t>
  </si>
  <si>
    <t>MI_TML_DSGN_TEMP_NBR</t>
  </si>
  <si>
    <t>MI_TML_JOINT_EFF_NBR</t>
  </si>
  <si>
    <t>MI_TML_VESSEL_TYPE_C</t>
  </si>
  <si>
    <t>MI_TML_INSIDE_RADIUS_N</t>
  </si>
  <si>
    <t>MI_TML_OUTSIDE_RADIUS_N</t>
  </si>
  <si>
    <t>MI_TML_APEX_ANGLE_N</t>
  </si>
  <si>
    <t>MI_THICK_MEASU_LOCAT_Z_RADIU_CURV_THE_CENTE_NBR</t>
  </si>
  <si>
    <t>MI_THICK_MEAS_LOC_OUTER_DIAM_OF_TRANS_LARG_NBR</t>
  </si>
  <si>
    <t>MI_THICK_MEASU_LOCAT_Z_OUTER_DIAME_TRANS_SMALL_CHR</t>
  </si>
  <si>
    <t>MI_THICK_MEASU_LOCAT_Z_TRANS_LENGT_NBR</t>
  </si>
  <si>
    <t>MI_THICK_MEASU_LOCAT_Z_INNER_RADIU_NBR</t>
  </si>
  <si>
    <t>MI_THICK_MEASU_LOCAT_Z_WIDTH_OF_GASKE_NBR</t>
  </si>
  <si>
    <t>MI_THICK_MEASU_LOCAT_Z_DIST_BETWE_CENTR_HAIRP_NBR</t>
  </si>
  <si>
    <t>MI_THICK_MEASU_LOCAT_Z_NOMIN_THICK_NBR</t>
  </si>
  <si>
    <t>MI_THICK_MEASU_LOCAT_Z_ROUND_RADIU_OF_THE_NBR</t>
  </si>
  <si>
    <t>MI_THICK_MEASU_LOCAT_Z_TFIT_ELEME_TYPE_CHR</t>
  </si>
  <si>
    <t>Номер_точки</t>
  </si>
  <si>
    <t>S_отбраковки_мин_мм</t>
  </si>
  <si>
    <t>S_расчетная_мм</t>
  </si>
  <si>
    <t>Марка_материала</t>
  </si>
  <si>
    <t>D_(диаметр)_наружний_мм</t>
  </si>
  <si>
    <t>D_(диаметр)_внутренний_мм</t>
  </si>
  <si>
    <t>Расчетное_давление_Мпа</t>
  </si>
  <si>
    <t>Расчетная_температура_С</t>
  </si>
  <si>
    <t>Коэффициент_стыка</t>
  </si>
  <si>
    <t>Геометрия_днища</t>
  </si>
  <si>
    <t>Внутренний_радиус_днища_при_вершине_мм</t>
  </si>
  <si>
    <t>Внутр_радиус_в_вершине_днища_мм</t>
  </si>
  <si>
    <t>Угол_при_вершине_С</t>
  </si>
  <si>
    <t>Радиус_кривизны_осевой_линии_отвода_мм</t>
  </si>
  <si>
    <t>Наружный_диаметр_перехода_со_стороны_большего_диаметра_мм</t>
  </si>
  <si>
    <t>Наружный_диаметр_перехода_со_стороны_меньшего_диаметра_мм</t>
  </si>
  <si>
    <t>Длина_перехода_мм</t>
  </si>
  <si>
    <t>Внутренний_радиус_мм</t>
  </si>
  <si>
    <t>Ширина_уплотнительной_прокладки_мм</t>
  </si>
  <si>
    <t>Расстояние_между_центральными_осями_шпилек_мм</t>
  </si>
  <si>
    <t>Номинальная_толщина_тройниковых_соединений_мм</t>
  </si>
  <si>
    <t>Радиус_круглой_торцевой_заглушки_мм</t>
  </si>
  <si>
    <t>Тип_элемента_тройника_мм</t>
  </si>
  <si>
    <t>Назначение элемента с точки зрения технологии. Пишется в произвольной форме. Для трубопроводов заполняется при необходимости.</t>
  </si>
  <si>
    <t>Заносятся по толщинометрии.</t>
  </si>
  <si>
    <t>Заносятся по толщиноиетрии</t>
  </si>
  <si>
    <t>Номинальная (исполнительная) толщина элемента.</t>
  </si>
  <si>
    <t>Описание</t>
  </si>
  <si>
    <t>Номин. Толщина</t>
  </si>
  <si>
    <t>MI_TMLGROUP_DESCR_C</t>
  </si>
  <si>
    <t>Описание_элемента</t>
  </si>
  <si>
    <t>Дата_измерения</t>
  </si>
  <si>
    <t>Значение_измерения</t>
  </si>
  <si>
    <t>Лицо_производящее_замер</t>
  </si>
  <si>
    <t>S_исполнительная_толщина_мм</t>
  </si>
  <si>
    <t>Существует в Меридиуме</t>
  </si>
  <si>
    <t>идентификационный номер SAP. Заполняется для сосудов аппаратов.</t>
  </si>
  <si>
    <t>идентификационный номер SAP. Заполняется для трубопроводов</t>
  </si>
  <si>
    <t>TML ID</t>
  </si>
  <si>
    <t>Дата измерения</t>
  </si>
  <si>
    <t>значение измерения</t>
  </si>
  <si>
    <t>Измерения выполненные пользователем</t>
  </si>
  <si>
    <t>Датчик измерительного прибора</t>
  </si>
  <si>
    <t>MI_DP_MEAS_TAKEN_DT</t>
  </si>
  <si>
    <t>MI_THICK_MEAS_VAL_NBR</t>
  </si>
  <si>
    <t>MI_DP_MEAS_TAKEN_BY_CHR</t>
  </si>
  <si>
    <t>MI_DP_MEAS_INSTR_ID_CHR</t>
  </si>
  <si>
    <t>MI_THICK_MEASU_NOMINAL_FLG</t>
  </si>
  <si>
    <t>Тип_элемента</t>
  </si>
  <si>
    <t>Идентификационный номер элемента по чертежу</t>
  </si>
  <si>
    <t xml:space="preserve">Дата последней замены элемента. </t>
  </si>
  <si>
    <t xml:space="preserve"> Применение термообработки</t>
  </si>
  <si>
    <t>Наличие плакирующего слоя.</t>
  </si>
  <si>
    <t>Толщина плакирующего слоя</t>
  </si>
  <si>
    <t>Заполняется для элементов, для которых применимо понятие. (Вылет штуцеров, длины участков и т.д.)</t>
  </si>
  <si>
    <t>Рабочее давление</t>
  </si>
  <si>
    <t>Рабочая температура</t>
  </si>
  <si>
    <t>Давление Гидроиспытания</t>
  </si>
  <si>
    <t>Для теплообменных аппаратов.</t>
  </si>
  <si>
    <t>Для плоских днищ</t>
  </si>
  <si>
    <t>Для тороконических и торосферических днищ</t>
  </si>
  <si>
    <t>Высота днища  - для эллиптических днищ (1/4 внутреннего диаметра), для остальных не заполнять</t>
  </si>
  <si>
    <t>Системный тип</t>
  </si>
  <si>
    <t>Группа коррозии</t>
  </si>
  <si>
    <t>Да/Нет</t>
  </si>
  <si>
    <t>Заполняется в случае наличия плакировки.</t>
  </si>
  <si>
    <t>Заполняется в случае наличия плакировки. Формат:  20</t>
  </si>
  <si>
    <t>Группа TML</t>
  </si>
  <si>
    <t>Коэффициент конструкции плоских днищ и крышек (К)</t>
  </si>
  <si>
    <t>MI_TMLGROUP_SYSTE_TYPE_C</t>
  </si>
  <si>
    <t>MI_TMLGROUP_CORRO_GROUP_C</t>
  </si>
  <si>
    <t>MI_TMLGROUP_DATE_REPL_ELEM_DT</t>
  </si>
  <si>
    <t>MI_TMLGROUP_APPL_HEAT_TREAT_FLG</t>
  </si>
  <si>
    <t>MI_TMLGROUP_PLATING_FLG</t>
  </si>
  <si>
    <t>MI_TMLGROUP_MATER_OF_PLATI_CHR</t>
  </si>
  <si>
    <t>MI_TMLGROUP_TYPE_OF_PLATI_MATER_CHR</t>
  </si>
  <si>
    <t>MI_TMLGROUP_PLATI_THIKN_NBR</t>
  </si>
  <si>
    <t>MI_TMLGROUP_LENGT_ELEME_NBR</t>
  </si>
  <si>
    <t>MI_TMLGROUP_FLANG_SERIE_CHR</t>
  </si>
  <si>
    <t>MI_TMLGROUP_WORK_PRESS_NBR</t>
  </si>
  <si>
    <t>MI_TMLGROUP_WORK_TEMPE_NBR</t>
  </si>
  <si>
    <t>MI_TMLGROUP_HYDRA_TEST_PRESS_NBR</t>
  </si>
  <si>
    <t>MI_TMLGROUP_NUMBE_OF_PIPES_NBR</t>
  </si>
  <si>
    <t>MI_TMLGROUP_NUMBE_OF_MOVES_NBR</t>
  </si>
  <si>
    <t>MI_TMLGROUP_NUM_PLUGG_TUBES_NBR</t>
  </si>
  <si>
    <t>MI_TMLGROUP_CONNE_RATIO_CHR</t>
  </si>
  <si>
    <t>MI_TMLGROUP_OUTER_FLANG_RAD_NBR</t>
  </si>
  <si>
    <t>MI_TMLGROUP_HLF_HEIGH_MINOR_NBR</t>
  </si>
  <si>
    <t>Шифр_по_паспорту</t>
  </si>
  <si>
    <t>Дата_ввода_в_эксплуатацию_элемента</t>
  </si>
  <si>
    <t>Термообработка</t>
  </si>
  <si>
    <t>Плакировка</t>
  </si>
  <si>
    <t>Марка_материала_плакировки</t>
  </si>
  <si>
    <t>Тип_материала_плакировки</t>
  </si>
  <si>
    <t>Толщина_плакировки_мм</t>
  </si>
  <si>
    <t>Длина_элемента_мм</t>
  </si>
  <si>
    <t>Серия_фланца_МПа</t>
  </si>
  <si>
    <t>Рабочее_давление_Мпа</t>
  </si>
  <si>
    <t>Рабочая_температура_С</t>
  </si>
  <si>
    <t>Давление_ГИ_Мпа</t>
  </si>
  <si>
    <t>Число_труб</t>
  </si>
  <si>
    <t>Число_ходов</t>
  </si>
  <si>
    <t>Число_заглушенных_труб</t>
  </si>
  <si>
    <t>Коэффициент_соединения</t>
  </si>
  <si>
    <t>Наружный_радиус_отбортовки_мм</t>
  </si>
  <si>
    <t>1/2_высоты_малой_оси_мм</t>
  </si>
  <si>
    <t>Тип_элемента_трубопровода</t>
  </si>
  <si>
    <t xml:space="preserve">Только для трубопроводов. Выбирается из выпадающего списка.
</t>
  </si>
  <si>
    <t>Тип элемента трубопровода</t>
  </si>
  <si>
    <t>MI_THICK_MEASU_LOCAT_Z_TYPE_PIPEL_ELEME_CHR</t>
  </si>
  <si>
    <t>Нет</t>
  </si>
  <si>
    <t>53
Номинальная толщина</t>
  </si>
  <si>
    <t>54
Дата измерения</t>
  </si>
  <si>
    <t>55
Измерения</t>
  </si>
  <si>
    <t>56
Лицо</t>
  </si>
  <si>
    <t>Да</t>
  </si>
  <si>
    <t>Заполнить вручную</t>
  </si>
  <si>
    <r>
      <t xml:space="preserve">Для работы с VISIO (Спецификация)
</t>
    </r>
    <r>
      <rPr>
        <u/>
        <sz val="14"/>
        <color theme="1"/>
        <rFont val="Calibri"/>
        <family val="2"/>
        <charset val="204"/>
        <scheme val="minor"/>
      </rPr>
      <t>протянуть перед заполнением 
(столбец №1, 2, 3)</t>
    </r>
  </si>
  <si>
    <t>Для закрашивания 2,4 столбцов</t>
  </si>
  <si>
    <t>ID_оборудования_SAP</t>
  </si>
  <si>
    <t>Описание оборудования SAP</t>
  </si>
  <si>
    <t>ID_Тех_место</t>
  </si>
  <si>
    <t>Наименование_ТМ</t>
  </si>
  <si>
    <t>Код организации</t>
  </si>
  <si>
    <t>Наименование</t>
  </si>
  <si>
    <t>Назначение</t>
  </si>
  <si>
    <t>Регистрационный_номер</t>
  </si>
  <si>
    <t>Место_учета</t>
  </si>
  <si>
    <t>Заводской_номер</t>
  </si>
  <si>
    <t>Дата_ввода_в_эксплуатацию</t>
  </si>
  <si>
    <t>Дата_изготовления</t>
  </si>
  <si>
    <t>Количества_циклов_нагрузки_оборудования</t>
  </si>
  <si>
    <t>Изготовитель</t>
  </si>
  <si>
    <t>Нормативный_срок_службы</t>
  </si>
  <si>
    <t>Категория_оборудования_ТР_ТС_032_2013</t>
  </si>
  <si>
    <t>Режим_эксплуатации</t>
  </si>
  <si>
    <t>Объем_м3</t>
  </si>
  <si>
    <t>Расположение_Ориентация</t>
  </si>
  <si>
    <t>Длина_мм</t>
  </si>
  <si>
    <t>Высота_мм</t>
  </si>
  <si>
    <t>Тип_теплоизоляции</t>
  </si>
  <si>
    <t>Наличие_футеровки</t>
  </si>
  <si>
    <t>Антикоррозионное_покрытие_внутренне</t>
  </si>
  <si>
    <t>Антикоррозионное_покрытие_внешнее</t>
  </si>
  <si>
    <t>Антикоррозионные_мероприятия</t>
  </si>
  <si>
    <t>Наличие_внутренних_устройств</t>
  </si>
  <si>
    <t>Масса_пустого_сосуда_кг</t>
  </si>
  <si>
    <t>Пространственное_расположение_секций</t>
  </si>
  <si>
    <t>Количество_теплообменных_секций</t>
  </si>
  <si>
    <t>Поверхность_теплообмена_м2</t>
  </si>
  <si>
    <t>Нормативная_СК_мм_год</t>
  </si>
  <si>
    <t>Среда</t>
  </si>
  <si>
    <t>Среда_по_справочнику</t>
  </si>
  <si>
    <t>Класс_опасности</t>
  </si>
  <si>
    <t>Взрывопожароопасность</t>
  </si>
  <si>
    <t>Рабочее_давление_МПа</t>
  </si>
  <si>
    <t>Рабочая_температура_⁰С</t>
  </si>
  <si>
    <t>Разрешенное_давление_МПа</t>
  </si>
  <si>
    <t>Разрешенная_температура_С</t>
  </si>
  <si>
    <t>Расчетное_давление_МПа</t>
  </si>
  <si>
    <t>Расчетная_температура_⁰С</t>
  </si>
  <si>
    <t>Пробное_давление_ГИ_МПа</t>
  </si>
  <si>
    <t>Пробное_давление_ПИ_МПа</t>
  </si>
  <si>
    <t>Находится_под_вакуумом</t>
  </si>
  <si>
    <t>Межремонтный_интервал_КР</t>
  </si>
  <si>
    <t>Дата_проведения_КТС_в_КР</t>
  </si>
  <si>
    <t>Дата_следующего_проведения_КТС_КР</t>
  </si>
  <si>
    <t>Дата_проведения_последнего_ЭПБ</t>
  </si>
  <si>
    <t>Дата_следующего_ЭПБ</t>
  </si>
  <si>
    <t>Разрешенный_срок_эксплуатации</t>
  </si>
  <si>
    <t>Остаточный_срок_службы_по_фактической_скорости_коррозии</t>
  </si>
  <si>
    <t>Количество методов контроля</t>
  </si>
  <si>
    <t>Единица</t>
  </si>
  <si>
    <t>Описание единицы</t>
  </si>
  <si>
    <t>MI_SITE_NAME</t>
  </si>
  <si>
    <t>Z_PAS_TECH_NUMBE_CHR</t>
  </si>
  <si>
    <t>Z_PAS_NAME_CHR</t>
  </si>
  <si>
    <t>Z_PAS_PURPO_CHR</t>
  </si>
  <si>
    <t>Z_PAS_REGIS_NUMBE_CHR</t>
  </si>
  <si>
    <t>Z_PAS_ACCOU_IN_RTN_CHR</t>
  </si>
  <si>
    <t>Z_PAS_PLANT_NUMBE_CHR</t>
  </si>
  <si>
    <t>Z_PAS_COMMI_DATE_DT</t>
  </si>
  <si>
    <t>Z_PAS_DATE_OF_MANUF_DT</t>
  </si>
  <si>
    <t>Z_PAS_THE_NUMBE_OF_CYCLE_OF_LOAD_EQUIP_NBR</t>
  </si>
  <si>
    <t>Z_PAS_MANUF_CHR</t>
  </si>
  <si>
    <t>Z_PAS_STAND_LIFE_NBR</t>
  </si>
  <si>
    <t>Z_PAS_EQUIP_CATEG__032_NBR</t>
  </si>
  <si>
    <t>Z_PAS_EXPLO_MODE_CHR</t>
  </si>
  <si>
    <t>Z_PAS_VOLUM_NBR</t>
  </si>
  <si>
    <t>Z_PAS_LOCAT_CHR</t>
  </si>
  <si>
    <t>Z_PAS_LENGT_NBR</t>
  </si>
  <si>
    <t>Z_PAS_HEIGH_NBR</t>
  </si>
  <si>
    <t>Z_PAS_INSUL_TYPE_CHR</t>
  </si>
  <si>
    <t>Z_PAS_PRESE_OF_LININ_FLG</t>
  </si>
  <si>
    <t>Z_PAS_ANTIC_COATI_INTE_CHR</t>
  </si>
  <si>
    <t>Z_PAS_ANTIC_COATI_EXTE_CHR</t>
  </si>
  <si>
    <t>Z_PAS_ANTIC_MEASU_CHR</t>
  </si>
  <si>
    <t>Z_PAS_THE_PRESE_OF_INTER_DEVIC_CHR</t>
  </si>
  <si>
    <t>Z_PAS_EMPTY_VESSE_WEIGH_NBR</t>
  </si>
  <si>
    <t>Z_PAS_SPATI_ARRAN_OF_SECTI_CHR</t>
  </si>
  <si>
    <t>Z_PAS_NUMBE_OF_HEAT_EXCHA_SECTI_NBR</t>
  </si>
  <si>
    <t>Z_PAS_HEAT_EXCHA_SURFA_NBR</t>
  </si>
  <si>
    <t>Z_PAS_REGUL_SC_NBR</t>
  </si>
  <si>
    <t>Z_PAS_WORKI_ENVIR_CHR</t>
  </si>
  <si>
    <t>Z_PAS_ENVIR_DIREC_CHR</t>
  </si>
  <si>
    <t>Z_PAS_HAZAR_CLASS_CHR</t>
  </si>
  <si>
    <t>Z_PAS_FIRE_AND_EXPLO_HAZAR_CHR</t>
  </si>
  <si>
    <t>Z_PAS_OPERA_PRESS_NBR</t>
  </si>
  <si>
    <t>Z_PAS_OPERA_TEMPE_NBR</t>
  </si>
  <si>
    <t>Z_PAS_PERMI_PRESS_NBR</t>
  </si>
  <si>
    <t>Z_PAS_ALLOW_TEMPE_NBR</t>
  </si>
  <si>
    <t>Z_PAS_Z_PA_NBR</t>
  </si>
  <si>
    <t>Z_PAS_DESIG_TEMPE_NBR</t>
  </si>
  <si>
    <t>Z_PAS_TEST_PRESS_GI_NBR</t>
  </si>
  <si>
    <t>Z_PAS_TEST_PRESS_PI_NBR</t>
  </si>
  <si>
    <t>Z_PAS_IS_UNDER_VACUU_FLG</t>
  </si>
  <si>
    <t>Z_PAS_MTBR_NBR</t>
  </si>
  <si>
    <t>Z_PAS_DATE_OF_THE_KTS_KR_DT</t>
  </si>
  <si>
    <t>Z_PAS_DATE_OF_THE_NEXT_CTS_KR_DT</t>
  </si>
  <si>
    <t>Z_PAS_DATE_OF_THE_LAST_ESB_DT</t>
  </si>
  <si>
    <t>Z_PAS_NEXT_EAB_DATE_DT</t>
  </si>
  <si>
    <t>Z_PAS_PERMI_USEFU_LIFE_NBR</t>
  </si>
  <si>
    <t>Z_PAS_RESID_SERVI_LIFE_AT_ACTUA_CORRO_RATE_NBR</t>
  </si>
  <si>
    <t>Z_PAS_NUMBE_OF_CONTR_METHO_NBR</t>
  </si>
  <si>
    <t>Z_PAS_UNIT_CHR</t>
  </si>
  <si>
    <t>Z_PAS_UNIT_DESCR_CHR</t>
  </si>
  <si>
    <t>Коэффициент, учитывающий антикоррозионные мероприятия (Kам)</t>
  </si>
  <si>
    <t>Изменения в процессе эксплуатации</t>
  </si>
  <si>
    <t>Продолжительность эксплуатации</t>
  </si>
  <si>
    <t>Поправочный коэффициент (Ψ)</t>
  </si>
  <si>
    <t>Фактор выявленных дефектов</t>
  </si>
  <si>
    <t>RANKI_EQUIP_ACCOR_ICTE_EQUIP_CHR</t>
  </si>
  <si>
    <t>RANKI_EQUIP_ACCOR_ICTE_EQUIP_DESCR_CHR</t>
  </si>
  <si>
    <t>RANKI_EQUIP_ACCOR_ICTE_FUNCT_LOCAT_CHR</t>
  </si>
  <si>
    <t>RANKI_EQUIP_ACCOR_ICTE_FUNCT_LOCAT_DESCR_CHR</t>
  </si>
  <si>
    <t>RANKI_EQUIP_ACCOR_ICTE_ANTIC_FACTO_NBR</t>
  </si>
  <si>
    <t>RANKI_EQUIP_ACCOR_ICTE_HANGE_FACTO_NBR</t>
  </si>
  <si>
    <t>RANKI_EQUIP_ACCOR_ICTE_DURAT_FACTO_NBR</t>
  </si>
  <si>
    <t>RANKI_EQUIP_ACCOR_ICTE_CORRE_FACTO_NBR</t>
  </si>
  <si>
    <t>RANKI_EQUIP_ACCOR_ICTE_DEFEC_FACTO_NBR</t>
  </si>
  <si>
    <t>Ранжирование/ID Оборудования</t>
  </si>
  <si>
    <t>Ранжирование/Техническое место</t>
  </si>
  <si>
    <t>ICTE Вид коррозии</t>
  </si>
  <si>
    <t>Ки</t>
  </si>
  <si>
    <t>RANKI_EQUIP_ACCOR_ICTE|RANKI_EQUIP_ACCOR_ICTE_EQUIP_CHR</t>
  </si>
  <si>
    <t>RANKI_EQUIP_ACCOR_ICTE|RANKI_EQUIP_ACCOR_ICTE_FUNCT_LOCAT_CHR</t>
  </si>
  <si>
    <t>Неучтенные компоненты среды</t>
  </si>
  <si>
    <t>Kc</t>
  </si>
  <si>
    <t>ICTE_UNACC_COMPO|ICTE_UNACC_COMPO_CHR</t>
  </si>
  <si>
    <t>ICTE_UNACC_COMPO|ICTE_UNACC_COMPO_KC_NBR</t>
  </si>
  <si>
    <t>2012-KK103-BREAK-TP005</t>
  </si>
  <si>
    <t>Общая равномерная</t>
  </si>
  <si>
    <t>1,34</t>
  </si>
  <si>
    <t>Шаблон загрузки результатов измерения толщин</t>
  </si>
  <si>
    <t>Поле сортировки SAP (номер трубопровода)</t>
  </si>
  <si>
    <t>Техническое место SAP</t>
  </si>
  <si>
    <t>Группа точек измерения</t>
  </si>
  <si>
    <t>Описание компонента</t>
  </si>
  <si>
    <t>Материал компанента</t>
  </si>
  <si>
    <t>Дата ввода в эксплуатацию компонента</t>
  </si>
  <si>
    <t>Номер точки измерения</t>
  </si>
  <si>
    <t>Отбраковаочная толщина</t>
  </si>
  <si>
    <t>Показания</t>
  </si>
  <si>
    <t>Лицо производящее замер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</si>
  <si>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</si>
  <si>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</si>
  <si>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</si>
  <si>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</si>
  <si>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</si>
  <si>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</si>
  <si>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</si>
  <si>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</si>
  <si>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</si>
  <si>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</si>
  <si>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</si>
  <si>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</si>
  <si>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</si>
  <si>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57
Сварной стык</t>
  </si>
  <si>
    <t>58
Номер по спецификации</t>
  </si>
  <si>
    <t>Тип элемента из классификатора. Использовать справочник классификации.</t>
  </si>
  <si>
    <t>При заполнении использовать справочник.</t>
  </si>
  <si>
    <t>Давление, на которое рассчитаны фланцевые соединения.</t>
  </si>
  <si>
    <t>Расчётное давление</t>
  </si>
  <si>
    <t>Тип материала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</si>
</sst>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Times New Roman"/>
      <family val="1"/>
      <charset val="1"/>
    </font>
    <font>
      <sz val="10"/>
      <name val="MS Sans Serif"/>
      <family val="2"/>
      <charset val="204"/>
    </font>
    <font>
      <sz val="10"/>
      <name val="Calibri"/>
      <family val="2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u/>
      <sz val="14"/>
      <color theme="1"/>
      <name val="Calibri"/>
      <family val="2"/>
      <charset val="204"/>
      <scheme val="minor"/>
    </font>
    <font>
      <sz val="14"/>
      <name val="Times New Roman"/>
      <family val="1"/>
      <charset val="204"/>
    </font>
    <font>
      <sz val="10"/>
      <name val="Arial"/>
      <family val="2"/>
    </font>
    <font>
      <sz val="10"/>
      <color rgb="FF9C0006"/>
      <name val="Arial"/>
      <family val="2"/>
    </font>
    <font>
      <sz val="10"/>
      <name val="MS Sans Serif"/>
    </font>
    <font>
      <sz val="10"/>
      <color rgb="FF1F4E78"/>
      <name val="Arial"/>
      <family val="2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name val="MS Sans Serif"/>
      <family val="2"/>
      <charset val="204"/>
    </font>
    <font>
      <b/>
      <sz val="11"/>
      <name val="MS Sans Serif"/>
      <family val="2"/>
      <charset val="204"/>
    </font>
    <font>
      <b/>
      <sz val="10"/>
      <name val="Arial"/>
      <family val="2"/>
      <charset val="204"/>
    </font>
    <font>
      <sz val="1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0"/>
    <xf numFmtId="0" fontId="6" fillId="0" borderId="0"/>
    <xf numFmtId="0" fontId="6" fillId="0" borderId="0"/>
    <xf numFmtId="0" fontId="3" fillId="0" borderId="0"/>
    <xf numFmtId="0" fontId="12" fillId="0" borderId="0"/>
    <xf numFmtId="0" fontId="14" fillId="0" borderId="0"/>
  </cellStyleXfs>
  <cellXfs count="151">
    <xf numFmtId="0" fontId="0" fillId="0" borderId="0" xfId="0"/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0" fillId="2" borderId="1" xfId="0" applyFill="1" applyBorder="1"/>
    <xf numFmtId="0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Font="1"/>
    <xf numFmtId="0" fontId="5" fillId="9" borderId="1" xfId="0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164" fontId="7" fillId="0" borderId="1" xfId="3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" xfId="0" applyFont="1" applyBorder="1"/>
    <xf numFmtId="0" fontId="0" fillId="0" borderId="1" xfId="0" applyBorder="1" applyAlignment="1">
      <alignment horizontal="center"/>
    </xf>
    <xf numFmtId="0" fontId="0" fillId="0" borderId="0" xfId="0" applyFont="1" applyFill="1"/>
    <xf numFmtId="0" fontId="0" fillId="0" borderId="0" xfId="0" applyBorder="1"/>
    <xf numFmtId="0" fontId="2" fillId="0" borderId="3" xfId="0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4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1" xfId="3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4" fontId="4" fillId="8" borderId="1" xfId="0" applyNumberFormat="1" applyFont="1" applyFill="1" applyBorder="1" applyAlignment="1" applyProtection="1">
      <alignment horizontal="center" vertical="center" wrapText="1"/>
      <protection locked="0"/>
    </xf>
    <xf numFmtId="14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49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0" borderId="2" xfId="0" quotePrefix="1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14" fontId="11" fillId="0" borderId="1" xfId="0" applyNumberFormat="1" applyFont="1" applyFill="1" applyBorder="1" applyAlignment="1">
      <alignment horizontal="center" vertical="center" wrapText="1"/>
    </xf>
    <xf numFmtId="14" fontId="8" fillId="0" borderId="0" xfId="0" applyNumberFormat="1" applyFont="1" applyFill="1" applyAlignment="1">
      <alignment horizontal="center" vertical="center" wrapText="1"/>
    </xf>
    <xf numFmtId="0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14" fontId="8" fillId="0" borderId="0" xfId="0" applyNumberFormat="1" applyFont="1" applyFill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3" fillId="10" borderId="6" xfId="5" applyNumberFormat="1" applyFont="1" applyFill="1" applyBorder="1" applyAlignment="1">
      <alignment horizontal="center" vertical="center" wrapText="1"/>
    </xf>
    <xf numFmtId="49" fontId="13" fillId="10" borderId="6" xfId="5" applyNumberFormat="1" applyFont="1" applyFill="1" applyBorder="1" applyAlignment="1">
      <alignment horizontal="center" vertical="center" wrapText="1"/>
    </xf>
    <xf numFmtId="49" fontId="13" fillId="10" borderId="6" xfId="5" applyNumberFormat="1" applyFont="1" applyFill="1" applyBorder="1" applyAlignment="1">
      <alignment horizontal="center" vertical="center"/>
    </xf>
    <xf numFmtId="0" fontId="15" fillId="11" borderId="6" xfId="6" applyFont="1" applyFill="1" applyBorder="1" applyAlignment="1">
      <alignment horizontal="center" vertical="center" wrapText="1"/>
    </xf>
    <xf numFmtId="0" fontId="13" fillId="10" borderId="7" xfId="5" applyNumberFormat="1" applyFont="1" applyFill="1" applyBorder="1" applyAlignment="1">
      <alignment horizontal="center" vertical="center"/>
    </xf>
    <xf numFmtId="49" fontId="13" fillId="10" borderId="7" xfId="5" applyNumberFormat="1" applyFont="1" applyFill="1" applyBorder="1" applyAlignment="1">
      <alignment horizontal="center" vertical="center"/>
    </xf>
    <xf numFmtId="0" fontId="15" fillId="11" borderId="1" xfId="6" applyFont="1" applyFill="1" applyBorder="1" applyAlignment="1">
      <alignment horizontal="center" vertical="center" wrapText="1"/>
    </xf>
    <xf numFmtId="0" fontId="15" fillId="12" borderId="1" xfId="6" applyFont="1" applyFill="1" applyBorder="1" applyAlignment="1">
      <alignment horizontal="center" vertical="center" wrapText="1"/>
    </xf>
    <xf numFmtId="49" fontId="13" fillId="10" borderId="1" xfId="5" applyNumberFormat="1" applyFont="1" applyFill="1" applyBorder="1" applyAlignment="1">
      <alignment horizontal="center" vertical="center" wrapText="1"/>
    </xf>
    <xf numFmtId="0" fontId="15" fillId="11" borderId="7" xfId="6" applyFont="1" applyFill="1" applyBorder="1" applyAlignment="1">
      <alignment horizontal="center" vertical="center" wrapText="1"/>
    </xf>
    <xf numFmtId="49" fontId="13" fillId="10" borderId="7" xfId="5" applyNumberFormat="1" applyFont="1" applyFill="1" applyBorder="1" applyAlignment="1">
      <alignment horizontal="center" vertical="center" wrapText="1"/>
    </xf>
    <xf numFmtId="0" fontId="13" fillId="10" borderId="1" xfId="6" quotePrefix="1" applyNumberFormat="1" applyFont="1" applyFill="1" applyBorder="1" applyAlignment="1">
      <alignment horizontal="center" vertical="center" wrapText="1"/>
    </xf>
    <xf numFmtId="49" fontId="13" fillId="10" borderId="1" xfId="6" quotePrefix="1" applyNumberFormat="1" applyFont="1" applyFill="1" applyBorder="1" applyAlignment="1">
      <alignment horizontal="center" vertical="center" wrapText="1"/>
    </xf>
    <xf numFmtId="49" fontId="13" fillId="10" borderId="6" xfId="6" quotePrefix="1" applyNumberFormat="1" applyFont="1" applyFill="1" applyBorder="1" applyAlignment="1">
      <alignment horizontal="center" vertical="center" wrapText="1"/>
    </xf>
    <xf numFmtId="49" fontId="13" fillId="10" borderId="6" xfId="6" applyNumberFormat="1" applyFont="1" applyFill="1" applyBorder="1" applyAlignment="1">
      <alignment horizontal="center" vertical="center" wrapText="1"/>
    </xf>
    <xf numFmtId="49" fontId="13" fillId="10" borderId="7" xfId="6" quotePrefix="1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15" fillId="11" borderId="6" xfId="6" applyNumberFormat="1" applyFont="1" applyFill="1" applyBorder="1" applyAlignment="1">
      <alignment horizontal="center" vertical="center" wrapText="1"/>
    </xf>
    <xf numFmtId="0" fontId="15" fillId="11" borderId="7" xfId="6" applyNumberFormat="1" applyFont="1" applyFill="1" applyBorder="1" applyAlignment="1">
      <alignment horizontal="center" vertical="center" wrapText="1"/>
    </xf>
    <xf numFmtId="0" fontId="3" fillId="0" borderId="0" xfId="1" applyFill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ill="1" applyAlignment="1">
      <alignment horizontal="left" vertical="center"/>
    </xf>
    <xf numFmtId="0" fontId="3" fillId="0" borderId="0" xfId="1" applyNumberFormat="1" applyFill="1" applyAlignment="1">
      <alignment vertical="center"/>
    </xf>
    <xf numFmtId="14" fontId="3" fillId="0" borderId="0" xfId="1" applyNumberFormat="1" applyFont="1" applyFill="1" applyBorder="1" applyAlignment="1">
      <alignment horizontal="center" vertical="center"/>
    </xf>
    <xf numFmtId="0" fontId="3" fillId="0" borderId="0" xfId="1" applyFill="1" applyBorder="1" applyAlignment="1">
      <alignment vertical="center"/>
    </xf>
    <xf numFmtId="49" fontId="3" fillId="0" borderId="0" xfId="1" applyNumberFormat="1" applyFill="1" applyBorder="1" applyAlignment="1">
      <alignment vertical="center"/>
    </xf>
    <xf numFmtId="0" fontId="17" fillId="0" borderId="0" xfId="1" applyFont="1" applyFill="1" applyBorder="1" applyAlignment="1">
      <alignment vertical="center"/>
    </xf>
    <xf numFmtId="0" fontId="18" fillId="13" borderId="1" xfId="1" quotePrefix="1" applyNumberFormat="1" applyFont="1" applyFill="1" applyBorder="1" applyAlignment="1" applyProtection="1">
      <alignment horizontal="center" vertical="center"/>
      <protection locked="0"/>
    </xf>
    <xf numFmtId="0" fontId="19" fillId="13" borderId="1" xfId="1" quotePrefix="1" applyNumberFormat="1" applyFont="1" applyFill="1" applyBorder="1" applyAlignment="1" applyProtection="1">
      <alignment horizontal="center" vertical="center" wrapText="1"/>
      <protection locked="0"/>
    </xf>
    <xf numFmtId="0" fontId="20" fillId="13" borderId="1" xfId="1" quotePrefix="1" applyNumberFormat="1" applyFont="1" applyFill="1" applyBorder="1" applyAlignment="1">
      <alignment horizontal="center" vertical="center" wrapText="1"/>
    </xf>
    <xf numFmtId="0" fontId="20" fillId="13" borderId="1" xfId="1" quotePrefix="1" applyNumberFormat="1" applyFont="1" applyFill="1" applyBorder="1" applyAlignment="1">
      <alignment horizontal="left" vertical="center" wrapText="1"/>
    </xf>
    <xf numFmtId="0" fontId="20" fillId="13" borderId="1" xfId="1" applyNumberFormat="1" applyFont="1" applyFill="1" applyBorder="1" applyAlignment="1">
      <alignment horizontal="center" vertical="center" wrapText="1"/>
    </xf>
    <xf numFmtId="14" fontId="20" fillId="3" borderId="1" xfId="1" applyNumberFormat="1" applyFont="1" applyFill="1" applyBorder="1" applyAlignment="1">
      <alignment horizontal="center" vertical="center" wrapText="1"/>
    </xf>
    <xf numFmtId="0" fontId="20" fillId="3" borderId="1" xfId="1" applyNumberFormat="1" applyFont="1" applyFill="1" applyBorder="1" applyAlignment="1">
      <alignment horizontal="center" vertical="center"/>
    </xf>
    <xf numFmtId="0" fontId="20" fillId="3" borderId="1" xfId="1" applyNumberFormat="1" applyFont="1" applyFill="1" applyBorder="1" applyAlignment="1">
      <alignment horizontal="center" vertical="center" wrapText="1"/>
    </xf>
    <xf numFmtId="0" fontId="3" fillId="0" borderId="0" xfId="1" applyFill="1" applyBorder="1" applyAlignment="1">
      <alignment horizontal="center" vertical="center" wrapText="1"/>
    </xf>
    <xf numFmtId="0" fontId="16" fillId="0" borderId="0" xfId="1" applyFont="1" applyFill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49" fontId="16" fillId="0" borderId="0" xfId="1" applyNumberFormat="1" applyFont="1" applyFill="1" applyBorder="1" applyAlignment="1">
      <alignment horizontal="center" vertical="center"/>
    </xf>
    <xf numFmtId="0" fontId="21" fillId="0" borderId="1" xfId="1" applyNumberFormat="1" applyFont="1" applyFill="1" applyBorder="1" applyAlignment="1">
      <alignment horizontal="center" vertical="center"/>
    </xf>
    <xf numFmtId="49" fontId="3" fillId="0" borderId="0" xfId="1" applyNumberFormat="1" applyFill="1" applyAlignment="1">
      <alignment vertical="center"/>
    </xf>
    <xf numFmtId="2" fontId="3" fillId="0" borderId="0" xfId="1" applyNumberFormat="1" applyFont="1" applyFill="1" applyBorder="1" applyAlignment="1">
      <alignment horizontal="center" vertical="center"/>
    </xf>
    <xf numFmtId="0" fontId="21" fillId="13" borderId="10" xfId="1" quotePrefix="1" applyNumberFormat="1" applyFont="1" applyFill="1" applyBorder="1" applyAlignment="1" applyProtection="1">
      <alignment horizontal="center" vertical="center"/>
      <protection locked="0"/>
    </xf>
    <xf numFmtId="0" fontId="21" fillId="13" borderId="10" xfId="1" quotePrefix="1" applyNumberFormat="1" applyFont="1" applyFill="1" applyBorder="1" applyAlignment="1" applyProtection="1">
      <alignment horizontal="center" vertical="center" wrapText="1"/>
      <protection locked="0"/>
    </xf>
    <xf numFmtId="0" fontId="21" fillId="13" borderId="10" xfId="1" quotePrefix="1" applyNumberFormat="1" applyFont="1" applyFill="1" applyBorder="1" applyAlignment="1">
      <alignment horizontal="center" vertical="center"/>
    </xf>
    <xf numFmtId="0" fontId="21" fillId="13" borderId="10" xfId="1" quotePrefix="1" applyNumberFormat="1" applyFont="1" applyFill="1" applyBorder="1" applyAlignment="1">
      <alignment horizontal="center" vertical="center" wrapText="1"/>
    </xf>
    <xf numFmtId="0" fontId="21" fillId="13" borderId="10" xfId="1" applyNumberFormat="1" applyFont="1" applyFill="1" applyBorder="1" applyAlignment="1">
      <alignment horizontal="center" vertical="center" wrapText="1"/>
    </xf>
    <xf numFmtId="0" fontId="21" fillId="13" borderId="10" xfId="1" applyNumberFormat="1" applyFont="1" applyFill="1" applyBorder="1" applyAlignment="1">
      <alignment horizontal="center" vertical="center"/>
    </xf>
    <xf numFmtId="0" fontId="21" fillId="3" borderId="10" xfId="1" applyNumberFormat="1" applyFont="1" applyFill="1" applyBorder="1" applyAlignment="1">
      <alignment horizontal="center" vertical="center"/>
    </xf>
    <xf numFmtId="0" fontId="21" fillId="3" borderId="11" xfId="1" applyNumberFormat="1" applyFont="1" applyFill="1" applyBorder="1" applyAlignment="1">
      <alignment horizontal="center" vertical="center" wrapText="1"/>
    </xf>
    <xf numFmtId="0" fontId="21" fillId="0" borderId="13" xfId="1" applyNumberFormat="1" applyFont="1" applyFill="1" applyBorder="1" applyAlignment="1">
      <alignment horizontal="center" vertical="center"/>
    </xf>
    <xf numFmtId="0" fontId="4" fillId="0" borderId="9" xfId="1" applyFont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left" vertical="center"/>
    </xf>
    <xf numFmtId="0" fontId="21" fillId="0" borderId="1" xfId="1" quotePrefix="1" applyNumberFormat="1" applyFont="1" applyFill="1" applyBorder="1" applyAlignment="1">
      <alignment horizontal="left" vertical="center" wrapText="1"/>
    </xf>
    <xf numFmtId="0" fontId="16" fillId="0" borderId="10" xfId="1" applyNumberFormat="1" applyFont="1" applyFill="1" applyBorder="1" applyAlignment="1">
      <alignment horizontal="center" vertical="center"/>
    </xf>
    <xf numFmtId="0" fontId="21" fillId="0" borderId="1" xfId="1" applyNumberFormat="1" applyFont="1" applyFill="1" applyBorder="1" applyAlignment="1">
      <alignment horizontal="center" vertical="center" wrapText="1"/>
    </xf>
    <xf numFmtId="14" fontId="21" fillId="0" borderId="1" xfId="1" applyNumberFormat="1" applyFont="1" applyFill="1" applyBorder="1" applyAlignment="1">
      <alignment horizontal="center" vertical="center"/>
    </xf>
    <xf numFmtId="0" fontId="21" fillId="0" borderId="3" xfId="1" applyNumberFormat="1" applyFont="1" applyFill="1" applyBorder="1" applyAlignment="1">
      <alignment horizontal="center" vertical="center" wrapText="1"/>
    </xf>
    <xf numFmtId="0" fontId="4" fillId="0" borderId="12" xfId="1" applyFont="1" applyFill="1" applyBorder="1" applyAlignment="1">
      <alignment horizontal="center" vertical="center"/>
    </xf>
    <xf numFmtId="0" fontId="4" fillId="0" borderId="5" xfId="1" applyFont="1" applyFill="1" applyBorder="1" applyAlignment="1">
      <alignment horizontal="center" vertical="center"/>
    </xf>
    <xf numFmtId="0" fontId="4" fillId="0" borderId="5" xfId="1" applyFont="1" applyFill="1" applyBorder="1" applyAlignment="1">
      <alignment horizontal="left" vertical="center"/>
    </xf>
    <xf numFmtId="0" fontId="21" fillId="0" borderId="13" xfId="1" quotePrefix="1" applyNumberFormat="1" applyFont="1" applyFill="1" applyBorder="1" applyAlignment="1">
      <alignment horizontal="left" vertical="center" wrapText="1"/>
    </xf>
    <xf numFmtId="0" fontId="16" fillId="0" borderId="5" xfId="1" applyNumberFormat="1" applyFont="1" applyFill="1" applyBorder="1" applyAlignment="1">
      <alignment horizontal="center" vertical="center"/>
    </xf>
    <xf numFmtId="0" fontId="21" fillId="0" borderId="13" xfId="1" applyNumberFormat="1" applyFont="1" applyFill="1" applyBorder="1" applyAlignment="1">
      <alignment horizontal="center" vertical="center" wrapText="1"/>
    </xf>
    <xf numFmtId="14" fontId="21" fillId="0" borderId="13" xfId="1" applyNumberFormat="1" applyFont="1" applyFill="1" applyBorder="1" applyAlignment="1">
      <alignment horizontal="center" vertical="center"/>
    </xf>
    <xf numFmtId="0" fontId="21" fillId="0" borderId="14" xfId="1" applyNumberFormat="1" applyFont="1" applyFill="1" applyBorder="1" applyAlignment="1">
      <alignment horizontal="center" vertical="center" wrapText="1"/>
    </xf>
    <xf numFmtId="14" fontId="21" fillId="0" borderId="1" xfId="1" applyNumberFormat="1" applyFont="1" applyFill="1" applyBorder="1" applyAlignment="1">
      <alignment horizontal="center" vertical="center" wrapText="1"/>
    </xf>
    <xf numFmtId="14" fontId="21" fillId="0" borderId="13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7" fillId="0" borderId="8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 wrapText="1"/>
    </xf>
  </cellXfs>
  <cellStyles count="7">
    <cellStyle name="Normal 2" xfId="5"/>
    <cellStyle name="Обычный" xfId="0" builtinId="0"/>
    <cellStyle name="Обычный 2" xfId="1"/>
    <cellStyle name="Обычный 2 2" xfId="3"/>
    <cellStyle name="Обычный 3" xfId="2"/>
    <cellStyle name="Обычный 3 2" xfId="4"/>
    <cellStyle name="Обычный 7" xfId="6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40821</xdr:colOff>
      <xdr:row>0</xdr:row>
      <xdr:rowOff>40821</xdr:rowOff>
    </xdr:from>
    <xdr:to>
      <xdr:col>3</xdr:col>
      <xdr:colOff>2068285</xdr:colOff>
      <xdr:row>0</xdr:row>
      <xdr:rowOff>557893</xdr:rowOff>
    </xdr:to>
    <xdr:sp macro="[0]!ultra_main_execute" textlink="">
      <xdr:nvSpPr>
        <xdr:cNvPr id="2" name="Прямоугольник 1"/>
        <xdr:cNvSpPr/>
      </xdr:nvSpPr>
      <xdr:spPr>
        <a:xfrm>
          <a:off x="4669971" y="40821"/>
          <a:ext cx="2027464" cy="51707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i="0">
              <a:solidFill>
                <a:schemeClr val="bg1"/>
              </a:solidFill>
            </a:rPr>
            <a:t>Начать</a:t>
          </a:r>
          <a:r>
            <a:rPr lang="ru-RU" sz="1400" i="0" baseline="0">
              <a:solidFill>
                <a:schemeClr val="bg1"/>
              </a:solidFill>
            </a:rPr>
            <a:t> работу</a:t>
          </a:r>
          <a:endParaRPr lang="ru-RU" sz="1400" i="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S02-MPOL01\ThiknessMonitoring\Users\Andrianov.NSe\Documents\&#1050;&#1086;&#1087;&#1080;&#1103;%20&#1064;&#1072;&#1073;&#1083;&#1086;&#1085;&#1099;%20&#1079;&#1072;&#1075;&#1088;&#1091;&#1079;&#1082;&#1080;%20&#1090;&#1086;&#1083;&#1097;&#1080;&#1085;&#1086;&#1084;&#1077;&#1090;&#1088;&#1080;&#1103;_N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chak.P\Desktop\&#1057;-300%20&#1050;&#1055;&#1040;%20&#1090;&#1086;&#1083;&#1097;&#1080;&#1085;&#1086;&#1084;&#1077;&#1090;&#1088;&#1080;&#1103;%20(&#1058;&#1088;&#1091;&#1073;&#1086;&#1087;&#1088;&#1086;&#1074;&#1086;&#1076;&#1099;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.local\dfs\Users\mezhulis.SV\Desktop\&#1053;&#1072;%20&#1044;&#1054;&#1052;\ICTE%20-%20&#1088;&#1072;&#1073;&#1086;&#1095;&#1072;&#1103;%20&#1075;&#1088;&#1091;&#1087;&#1087;&#1072;\&#1064;&#1072;&#1073;&#1083;&#1086;&#1085;&#1099;%20&#1076;&#1083;&#1103;%20&#1043;&#1048;&#1040;&#1055;\&#1064;&#1072;&#1073;&#1083;&#1086;&#1085;%20&#1069;&#1083;&#1077;&#1084;&#1077;&#1085;&#1090;%20&#1080;%20&#1058;&#1086;&#1083;&#1097;&#1080;&#1085;&#1086;&#1084;&#1077;&#1090;&#1088;&#1080;&#1103;%20&#1076;&#1083;&#1103;%20&#1079;&#1072;&#1075;&#1088;&#1091;&#1079;&#1082;&#1080;%20&#1074;%20&#1052;&#1045;&#1056;%20v.2%20(&#1045;-6)%200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аспорт"/>
      <sheetName val="Элементы сосуды"/>
      <sheetName val="Элементы трубопроводы"/>
      <sheetName val="Шаблон загрузки измерений"/>
      <sheetName val="Шаблон загрузки КТС"/>
      <sheetName val="Справочники"/>
      <sheetName val="Копия Шаблоны загрузки толщином"/>
    </sheetNames>
    <sheetDataSet>
      <sheetData sheetId="0"/>
      <sheetData sheetId="1"/>
      <sheetData sheetId="2"/>
      <sheetData sheetId="3"/>
      <sheetData sheetId="4"/>
      <sheetData sheetId="5">
        <row r="2">
          <cell r="X2" t="str">
            <v>08</v>
          </cell>
        </row>
        <row r="3">
          <cell r="X3" t="str">
            <v>10</v>
          </cell>
        </row>
        <row r="4">
          <cell r="X4" t="str">
            <v>20</v>
          </cell>
        </row>
        <row r="5">
          <cell r="X5" t="str">
            <v>25</v>
          </cell>
        </row>
        <row r="6">
          <cell r="X6" t="str">
            <v>30</v>
          </cell>
        </row>
        <row r="7">
          <cell r="X7" t="str">
            <v>35</v>
          </cell>
        </row>
        <row r="8">
          <cell r="X8" t="str">
            <v>02Х8Н22С6</v>
          </cell>
        </row>
        <row r="9">
          <cell r="X9" t="str">
            <v>03Х17Р14М3</v>
          </cell>
        </row>
        <row r="10">
          <cell r="X10" t="str">
            <v>03Х18Н11</v>
          </cell>
        </row>
        <row r="11">
          <cell r="X11" t="str">
            <v>03Х21Н21М4ГБ</v>
          </cell>
        </row>
        <row r="12">
          <cell r="X12" t="str">
            <v>03ХН28МДТ</v>
          </cell>
        </row>
        <row r="13">
          <cell r="X13" t="str">
            <v>04Х18Н10Т</v>
          </cell>
        </row>
        <row r="14">
          <cell r="X14" t="str">
            <v>06ХН28МДТ</v>
          </cell>
        </row>
        <row r="15">
          <cell r="X15" t="str">
            <v>07Х13 (А120)</v>
          </cell>
        </row>
        <row r="16">
          <cell r="X16" t="str">
            <v>07Х13АГ20</v>
          </cell>
        </row>
        <row r="17">
          <cell r="X17" t="str">
            <v>08X18H10</v>
          </cell>
        </row>
        <row r="18">
          <cell r="X18" t="str">
            <v>08Г2С</v>
          </cell>
        </row>
        <row r="19">
          <cell r="X19" t="str">
            <v>08Х13</v>
          </cell>
        </row>
        <row r="20">
          <cell r="X20" t="str">
            <v>08Х17Н13М2Т</v>
          </cell>
        </row>
        <row r="21">
          <cell r="X21" t="str">
            <v>08Х17Н13М2Т (0Х17Н13М2Т)</v>
          </cell>
        </row>
        <row r="22">
          <cell r="X22" t="str">
            <v>08Х17Н15М3Т</v>
          </cell>
        </row>
        <row r="23">
          <cell r="X23" t="str">
            <v>08Х17Н15М3Т (0Х17Н16М3Т; ЭИ580)</v>
          </cell>
        </row>
        <row r="24">
          <cell r="X24" t="str">
            <v>08Х18Г8Н2Т</v>
          </cell>
        </row>
        <row r="25">
          <cell r="X25" t="str">
            <v>08Х18Н10Т</v>
          </cell>
        </row>
        <row r="26">
          <cell r="X26" t="str">
            <v>08Х18Н12Т</v>
          </cell>
        </row>
        <row r="27">
          <cell r="X27" t="str">
            <v>08Х18Н9Т</v>
          </cell>
        </row>
        <row r="28">
          <cell r="X28" t="str">
            <v>08Х21Н6М2Т</v>
          </cell>
        </row>
        <row r="29">
          <cell r="X29" t="str">
            <v>08Х22Н6Т</v>
          </cell>
        </row>
        <row r="30">
          <cell r="X30" t="str">
            <v>09GS13</v>
          </cell>
        </row>
        <row r="31">
          <cell r="X31" t="str">
            <v>09Г2</v>
          </cell>
        </row>
        <row r="32">
          <cell r="X32" t="str">
            <v>09Г2ДТ</v>
          </cell>
        </row>
        <row r="33">
          <cell r="X33" t="str">
            <v>09Г2С</v>
          </cell>
        </row>
        <row r="34">
          <cell r="X34" t="str">
            <v>09Г2С &lt;=32mm</v>
          </cell>
        </row>
        <row r="35">
          <cell r="X35" t="str">
            <v>09Г2С &gt;32mm</v>
          </cell>
        </row>
        <row r="36">
          <cell r="X36" t="str">
            <v>09Г2С15</v>
          </cell>
        </row>
        <row r="37">
          <cell r="X37" t="str">
            <v>09Г2ФБ</v>
          </cell>
        </row>
        <row r="38">
          <cell r="X38" t="str">
            <v>09ГС2</v>
          </cell>
        </row>
        <row r="39">
          <cell r="X39" t="str">
            <v>09ГС2С</v>
          </cell>
        </row>
        <row r="40">
          <cell r="X40" t="str">
            <v>0Х13</v>
          </cell>
        </row>
        <row r="41">
          <cell r="X41" t="str">
            <v>10X17H13M2T</v>
          </cell>
        </row>
        <row r="42">
          <cell r="X42" t="str">
            <v>10Г2</v>
          </cell>
        </row>
        <row r="43">
          <cell r="X43" t="str">
            <v>10Г2С</v>
          </cell>
        </row>
        <row r="44">
          <cell r="X44" t="str">
            <v>10ГА</v>
          </cell>
        </row>
        <row r="45">
          <cell r="X45" t="str">
            <v>10Х14Г14Н4Т</v>
          </cell>
        </row>
        <row r="46">
          <cell r="X46" t="str">
            <v>10Х17Н13М2Т</v>
          </cell>
        </row>
        <row r="47">
          <cell r="X47" t="str">
            <v>10Х17Н13М3Т</v>
          </cell>
        </row>
        <row r="48">
          <cell r="X48" t="str">
            <v>10Х18Н10Т</v>
          </cell>
        </row>
        <row r="49">
          <cell r="X49" t="str">
            <v>10Х18Н9Т</v>
          </cell>
        </row>
        <row r="50">
          <cell r="X50" t="str">
            <v>10Х2М1</v>
          </cell>
        </row>
        <row r="51">
          <cell r="X51" t="str">
            <v>10Х2М1А-А</v>
          </cell>
        </row>
        <row r="52">
          <cell r="X52" t="str">
            <v>12Г2С</v>
          </cell>
        </row>
        <row r="53">
          <cell r="X53" t="str">
            <v>12К</v>
          </cell>
        </row>
        <row r="54">
          <cell r="X54" t="str">
            <v>12МХ</v>
          </cell>
        </row>
        <row r="55">
          <cell r="X55" t="str">
            <v>12Сr Мо 2,5</v>
          </cell>
        </row>
        <row r="56">
          <cell r="X56" t="str">
            <v>12Х13</v>
          </cell>
        </row>
        <row r="57">
          <cell r="X57" t="str">
            <v>12Х18Н10Т</v>
          </cell>
        </row>
        <row r="58">
          <cell r="X58" t="str">
            <v>12Х18Н12Т</v>
          </cell>
        </row>
        <row r="59">
          <cell r="X59" t="str">
            <v>12Х18Н9Т</v>
          </cell>
        </row>
        <row r="60">
          <cell r="X60" t="str">
            <v>12Х8</v>
          </cell>
        </row>
        <row r="61">
          <cell r="X61" t="str">
            <v>12Х8ВФ</v>
          </cell>
        </row>
        <row r="62">
          <cell r="X62" t="str">
            <v>12ХМ</v>
          </cell>
        </row>
        <row r="63">
          <cell r="X63" t="str">
            <v>12ХМ1</v>
          </cell>
        </row>
        <row r="64">
          <cell r="X64" t="str">
            <v>12ХМ1Ф</v>
          </cell>
        </row>
        <row r="65">
          <cell r="X65" t="str">
            <v>12ХМФ</v>
          </cell>
        </row>
        <row r="66">
          <cell r="X66" t="str">
            <v>13CrMo44 (12ХМ)</v>
          </cell>
        </row>
        <row r="67">
          <cell r="X67" t="str">
            <v>13ГС</v>
          </cell>
        </row>
        <row r="68">
          <cell r="X68" t="str">
            <v>15Г2СФ</v>
          </cell>
        </row>
        <row r="69">
          <cell r="X69" t="str">
            <v>15ГС</v>
          </cell>
        </row>
        <row r="70">
          <cell r="X70" t="str">
            <v>15К</v>
          </cell>
        </row>
        <row r="71">
          <cell r="X71" t="str">
            <v>15Н2МFА</v>
          </cell>
        </row>
        <row r="72">
          <cell r="X72" t="str">
            <v>15Х18Н12С4ТЮ</v>
          </cell>
        </row>
        <row r="73">
          <cell r="X73" t="str">
            <v>15Х1М1Ф</v>
          </cell>
        </row>
        <row r="74">
          <cell r="X74" t="str">
            <v>15Х5ВФ</v>
          </cell>
        </row>
        <row r="75">
          <cell r="X75" t="str">
            <v>15Х5М</v>
          </cell>
        </row>
        <row r="76">
          <cell r="X76" t="str">
            <v>15Х5М-У</v>
          </cell>
        </row>
        <row r="77">
          <cell r="X77" t="str">
            <v>15ХМ</v>
          </cell>
        </row>
        <row r="78">
          <cell r="X78" t="str">
            <v>15ХФ</v>
          </cell>
        </row>
        <row r="79">
          <cell r="X79" t="str">
            <v>16ГА</v>
          </cell>
        </row>
        <row r="80">
          <cell r="X80" t="str">
            <v>16ГС</v>
          </cell>
        </row>
        <row r="81">
          <cell r="X81" t="str">
            <v>16ГС &lt;=32mm</v>
          </cell>
        </row>
        <row r="82">
          <cell r="X82" t="str">
            <v>16ГС &gt;32mm</v>
          </cell>
        </row>
        <row r="83">
          <cell r="X83" t="str">
            <v>16ГТ</v>
          </cell>
        </row>
        <row r="84">
          <cell r="X84" t="str">
            <v>16К</v>
          </cell>
        </row>
        <row r="85">
          <cell r="X85" t="str">
            <v>17102.2 (15Х5М)</v>
          </cell>
        </row>
        <row r="86">
          <cell r="X86" t="str">
            <v>17Г10</v>
          </cell>
        </row>
        <row r="87">
          <cell r="X87" t="str">
            <v>17Г1С</v>
          </cell>
        </row>
        <row r="88">
          <cell r="X88" t="str">
            <v>17Г1СУ</v>
          </cell>
        </row>
        <row r="89">
          <cell r="X89" t="str">
            <v>17Г2СФ</v>
          </cell>
        </row>
        <row r="90">
          <cell r="X90" t="str">
            <v>17ГА</v>
          </cell>
        </row>
        <row r="91">
          <cell r="X91" t="str">
            <v>17ГС</v>
          </cell>
        </row>
        <row r="92">
          <cell r="X92" t="str">
            <v>17ГС1С</v>
          </cell>
        </row>
        <row r="93">
          <cell r="X93" t="str">
            <v>17ПС</v>
          </cell>
        </row>
        <row r="94">
          <cell r="X94" t="str">
            <v>17ПС</v>
          </cell>
        </row>
        <row r="95">
          <cell r="X95" t="str">
            <v>18G2F</v>
          </cell>
        </row>
        <row r="96">
          <cell r="X96" t="str">
            <v>18К</v>
          </cell>
        </row>
        <row r="97">
          <cell r="X97" t="str">
            <v>19Г2С</v>
          </cell>
        </row>
        <row r="98">
          <cell r="X98" t="str">
            <v>1Х18Н10Т</v>
          </cell>
        </row>
        <row r="99">
          <cell r="X99" t="str">
            <v>1Х18Н9Т</v>
          </cell>
        </row>
        <row r="100">
          <cell r="X100" t="str">
            <v>1Х2М1</v>
          </cell>
        </row>
        <row r="101">
          <cell r="X101" t="str">
            <v>20К</v>
          </cell>
        </row>
        <row r="102">
          <cell r="X102" t="str">
            <v>20Л</v>
          </cell>
        </row>
        <row r="103">
          <cell r="X103" t="str">
            <v>20ХМ</v>
          </cell>
        </row>
        <row r="104">
          <cell r="X104" t="str">
            <v>20ХМЛ</v>
          </cell>
        </row>
        <row r="105">
          <cell r="X105" t="str">
            <v>22К</v>
          </cell>
        </row>
        <row r="106">
          <cell r="X106" t="str">
            <v>30Л</v>
          </cell>
        </row>
        <row r="107">
          <cell r="X107" t="str">
            <v>30ХМА</v>
          </cell>
        </row>
        <row r="108">
          <cell r="X108" t="str">
            <v>316L SS</v>
          </cell>
        </row>
        <row r="109">
          <cell r="X109" t="str">
            <v>316Ti</v>
          </cell>
        </row>
        <row r="110">
          <cell r="X110" t="str">
            <v>8Х18Н10Т</v>
          </cell>
        </row>
        <row r="111">
          <cell r="X111" t="str">
            <v>9Г2Д</v>
          </cell>
        </row>
        <row r="112">
          <cell r="X112" t="str">
            <v>9Г2С</v>
          </cell>
        </row>
        <row r="113">
          <cell r="X113" t="str">
            <v>A312</v>
          </cell>
        </row>
        <row r="114">
          <cell r="X114" t="str">
            <v>A350LF2</v>
          </cell>
        </row>
        <row r="115">
          <cell r="X115" t="str">
            <v>A387</v>
          </cell>
        </row>
        <row r="116">
          <cell r="X116" t="str">
            <v>A516Gr60</v>
          </cell>
        </row>
        <row r="117">
          <cell r="X117" t="str">
            <v>A516Gr70</v>
          </cell>
        </row>
        <row r="118">
          <cell r="X118" t="str">
            <v>Cт3 &lt;=20mm</v>
          </cell>
        </row>
        <row r="119">
          <cell r="X119" t="str">
            <v>Cт3 &gt;20mm</v>
          </cell>
        </row>
        <row r="120">
          <cell r="X120" t="str">
            <v>DIN17155</v>
          </cell>
        </row>
        <row r="121">
          <cell r="X121" t="str">
            <v>F321</v>
          </cell>
        </row>
        <row r="122">
          <cell r="X122" t="str">
            <v>Gr60</v>
          </cell>
        </row>
        <row r="123">
          <cell r="X123" t="str">
            <v>LB-52A</v>
          </cell>
        </row>
        <row r="124">
          <cell r="X124" t="str">
            <v>Mb16</v>
          </cell>
        </row>
        <row r="125">
          <cell r="X125" t="str">
            <v>Mb16 N/3B</v>
          </cell>
        </row>
        <row r="126">
          <cell r="X126" t="str">
            <v>P265GH</v>
          </cell>
        </row>
        <row r="127">
          <cell r="X127" t="str">
            <v>P265GH (16K)</v>
          </cell>
        </row>
        <row r="128">
          <cell r="X128" t="str">
            <v>P355NL1 (16ГС)</v>
          </cell>
        </row>
        <row r="129">
          <cell r="X129" t="str">
            <v>R52-7b (16ГС)</v>
          </cell>
        </row>
        <row r="130">
          <cell r="X130" t="str">
            <v>RSt 37-2 DIN EN 10025/91</v>
          </cell>
        </row>
        <row r="131">
          <cell r="X131" t="str">
            <v>SA106(10ГС)</v>
          </cell>
        </row>
        <row r="132">
          <cell r="X132" t="str">
            <v>SA333 Gr6</v>
          </cell>
        </row>
        <row r="133">
          <cell r="X133" t="str">
            <v>SA387 (15Х1М1Ф)</v>
          </cell>
        </row>
        <row r="134">
          <cell r="X134" t="str">
            <v>SA387 GR22 CI1</v>
          </cell>
        </row>
        <row r="135">
          <cell r="X135" t="str">
            <v>SA387Gr11CL2</v>
          </cell>
        </row>
        <row r="136">
          <cell r="X136" t="str">
            <v>SA387M Gr,22 CI,2</v>
          </cell>
        </row>
        <row r="137">
          <cell r="X137" t="str">
            <v>SA387M GR22</v>
          </cell>
        </row>
        <row r="138">
          <cell r="X138" t="str">
            <v>SA516</v>
          </cell>
        </row>
        <row r="139">
          <cell r="X139" t="str">
            <v>SA516 GR60</v>
          </cell>
        </row>
        <row r="140">
          <cell r="X140" t="str">
            <v>SA-516-60</v>
          </cell>
        </row>
        <row r="141">
          <cell r="X141" t="str">
            <v>SA-516-61</v>
          </cell>
        </row>
        <row r="142">
          <cell r="X142" t="str">
            <v>SA516-70</v>
          </cell>
        </row>
        <row r="143">
          <cell r="X143" t="str">
            <v>SA516-70 (16ГС)</v>
          </cell>
        </row>
        <row r="144">
          <cell r="X144" t="str">
            <v>SA516-70N (09Г2С)</v>
          </cell>
        </row>
        <row r="145">
          <cell r="X145" t="str">
            <v>SA516Cr60</v>
          </cell>
        </row>
        <row r="146">
          <cell r="X146" t="str">
            <v>SA516Gr70</v>
          </cell>
        </row>
        <row r="147">
          <cell r="X147" t="str">
            <v>SA516M GR415 ASME VIII DIV1</v>
          </cell>
        </row>
        <row r="148">
          <cell r="X148" t="str">
            <v>SB127M UNS N04400</v>
          </cell>
        </row>
        <row r="149">
          <cell r="X149" t="str">
            <v>SS304</v>
          </cell>
        </row>
        <row r="150">
          <cell r="X150" t="str">
            <v>St 32-7</v>
          </cell>
        </row>
        <row r="151">
          <cell r="X151" t="str">
            <v>St 358  / DIN 17175</v>
          </cell>
        </row>
        <row r="152">
          <cell r="X152" t="str">
            <v>St 358 / DIN 17176</v>
          </cell>
        </row>
        <row r="153">
          <cell r="X153" t="str">
            <v>St 37,2</v>
          </cell>
        </row>
        <row r="154">
          <cell r="X154" t="str">
            <v>St 38 b-2</v>
          </cell>
        </row>
        <row r="155">
          <cell r="X155" t="str">
            <v>St3581</v>
          </cell>
        </row>
        <row r="156">
          <cell r="X156" t="str">
            <v>St362</v>
          </cell>
        </row>
        <row r="157">
          <cell r="X157" t="str">
            <v>St52-3</v>
          </cell>
        </row>
        <row r="158">
          <cell r="X158" t="str">
            <v>St52-3N/3A</v>
          </cell>
        </row>
        <row r="159">
          <cell r="X159" t="str">
            <v>X10CrNiTi189</v>
          </cell>
        </row>
        <row r="160">
          <cell r="X160" t="str">
            <v>X8CrNiTi18,10</v>
          </cell>
        </row>
        <row r="161">
          <cell r="X161" t="str">
            <v>А106 GrB</v>
          </cell>
        </row>
        <row r="162">
          <cell r="X162" t="str">
            <v>А160Gr,B</v>
          </cell>
        </row>
        <row r="163">
          <cell r="X163" t="str">
            <v>А182</v>
          </cell>
        </row>
        <row r="164">
          <cell r="X164" t="str">
            <v>А240</v>
          </cell>
        </row>
        <row r="165">
          <cell r="X165" t="str">
            <v>А312</v>
          </cell>
        </row>
        <row r="166">
          <cell r="X166" t="str">
            <v>А333Gr6</v>
          </cell>
        </row>
        <row r="167">
          <cell r="X167" t="str">
            <v>А355</v>
          </cell>
        </row>
        <row r="168">
          <cell r="X168" t="str">
            <v>А516 Gr60</v>
          </cell>
        </row>
        <row r="169">
          <cell r="X169" t="str">
            <v>А516 Gr70</v>
          </cell>
        </row>
        <row r="170">
          <cell r="X170" t="str">
            <v>ВМСт3</v>
          </cell>
        </row>
        <row r="171">
          <cell r="X171" t="str">
            <v>ЛАМш77-02-0,05</v>
          </cell>
        </row>
        <row r="172">
          <cell r="X172" t="str">
            <v>НМЖМц28-2,5-1,5</v>
          </cell>
        </row>
        <row r="173">
          <cell r="X173" t="str">
            <v>С245</v>
          </cell>
        </row>
        <row r="174">
          <cell r="X174" t="str">
            <v>СS</v>
          </cell>
        </row>
        <row r="175">
          <cell r="X175" t="str">
            <v>Ст2кп</v>
          </cell>
        </row>
        <row r="176">
          <cell r="X176" t="str">
            <v>Ст2пс</v>
          </cell>
        </row>
        <row r="177">
          <cell r="X177" t="str">
            <v>Ст2сп</v>
          </cell>
        </row>
        <row r="178">
          <cell r="X178" t="str">
            <v>Ст37-2</v>
          </cell>
        </row>
        <row r="179">
          <cell r="X179" t="str">
            <v>Ст3Гпс</v>
          </cell>
        </row>
        <row r="180">
          <cell r="X180" t="str">
            <v>Ст3кп</v>
          </cell>
        </row>
        <row r="181">
          <cell r="X181" t="str">
            <v>Ст3Н &gt;32mm</v>
          </cell>
        </row>
        <row r="182">
          <cell r="X182" t="str">
            <v>Ст3пс</v>
          </cell>
        </row>
        <row r="183">
          <cell r="X183" t="str">
            <v>Ст3сп</v>
          </cell>
        </row>
        <row r="184">
          <cell r="X184" t="str">
            <v>Ст4</v>
          </cell>
        </row>
        <row r="185">
          <cell r="X185" t="str">
            <v>Ст4пс</v>
          </cell>
        </row>
        <row r="186">
          <cell r="X186" t="str">
            <v>Ст4сп</v>
          </cell>
        </row>
        <row r="187">
          <cell r="X187" t="str">
            <v>Ст5</v>
          </cell>
        </row>
        <row r="188">
          <cell r="X188" t="str">
            <v>СЧ 18-36</v>
          </cell>
        </row>
        <row r="189">
          <cell r="X189" t="str">
            <v>торкретбетон</v>
          </cell>
        </row>
        <row r="190">
          <cell r="X190" t="str">
            <v>Х11</v>
          </cell>
        </row>
        <row r="191">
          <cell r="X191" t="str">
            <v>Х13</v>
          </cell>
        </row>
        <row r="192">
          <cell r="X192" t="str">
            <v>Х17Н13М2Т</v>
          </cell>
        </row>
        <row r="193">
          <cell r="X193" t="str">
            <v>Х18Н10Т</v>
          </cell>
        </row>
        <row r="194">
          <cell r="X194" t="str">
            <v>Х18Н9Т</v>
          </cell>
        </row>
        <row r="195">
          <cell r="X195" t="str">
            <v>Х20 Cr13</v>
          </cell>
        </row>
        <row r="196">
          <cell r="X196" t="str">
            <v>Х23Н13</v>
          </cell>
        </row>
        <row r="197">
          <cell r="X197" t="str">
            <v>Х2М1</v>
          </cell>
        </row>
        <row r="198">
          <cell r="X198" t="str">
            <v>Х5</v>
          </cell>
        </row>
        <row r="199">
          <cell r="X199" t="str">
            <v>Х5МЛ</v>
          </cell>
        </row>
        <row r="200">
          <cell r="X200" t="str">
            <v>Х8</v>
          </cell>
        </row>
        <row r="201">
          <cell r="X201" t="str">
            <v>Х9М</v>
          </cell>
        </row>
        <row r="202">
          <cell r="X202" t="str">
            <v>Х9М1</v>
          </cell>
        </row>
        <row r="203">
          <cell r="X203" t="str">
            <v>ХН32Т</v>
          </cell>
        </row>
        <row r="204">
          <cell r="X204" t="str">
            <v>ЧС-46</v>
          </cell>
        </row>
        <row r="205">
          <cell r="X205" t="str">
            <v>ЭА2</v>
          </cell>
        </row>
        <row r="206">
          <cell r="X206" t="str">
            <v>ЭИ496 (08Х13)</v>
          </cell>
        </row>
        <row r="207">
          <cell r="X207" t="str">
            <v>ЭИ-654</v>
          </cell>
        </row>
        <row r="208">
          <cell r="X208" t="str">
            <v>ЭП-794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ТЧЁТ ТОЛЩИНОМЕТРИИ"/>
      <sheetName val="Физ. параметры компонентов"/>
      <sheetName val="Т3"/>
      <sheetName val="Перечень"/>
      <sheetName val="Данные для автозаплонения"/>
      <sheetName val="Т2"/>
      <sheetName val="Лист2"/>
      <sheetName val="Лист4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-ЭЛЕМЕНТ"/>
      <sheetName val="Лист4-Толщинометрия"/>
      <sheetName val="Расчеты"/>
      <sheetName val="Справочники"/>
    </sheetNames>
    <sheetDataSet>
      <sheetData sheetId="0"/>
      <sheetData sheetId="1"/>
      <sheetData sheetId="2"/>
      <sheetData sheetId="3">
        <row r="2">
          <cell r="D2" t="str">
            <v>Труба</v>
          </cell>
        </row>
        <row r="3">
          <cell r="D3" t="str">
            <v>Отвод</v>
          </cell>
        </row>
        <row r="4">
          <cell r="D4" t="str">
            <v>Концентрический переход</v>
          </cell>
        </row>
        <row r="5">
          <cell r="D5" t="str">
            <v>Эксцентрический переход</v>
          </cell>
        </row>
        <row r="6">
          <cell r="D6" t="str">
            <v>Сварной тройник</v>
          </cell>
        </row>
        <row r="7">
          <cell r="D7" t="str">
            <v>Штампованный тройник</v>
          </cell>
        </row>
        <row r="8">
          <cell r="D8" t="str">
            <v>Внутритрубная заглушка</v>
          </cell>
        </row>
        <row r="9">
          <cell r="D9" t="str">
            <v>Торцевая заглушка</v>
          </cell>
        </row>
        <row r="10">
          <cell r="D10" t="str">
            <v>Межфланцевая заглушка</v>
          </cell>
        </row>
        <row r="11">
          <cell r="D11" t="str">
            <v>Днище</v>
          </cell>
        </row>
        <row r="12">
          <cell r="D12" t="str">
            <v>Обечайка</v>
          </cell>
        </row>
        <row r="13">
          <cell r="D13" t="str">
            <v>Штуцер</v>
          </cell>
        </row>
        <row r="14">
          <cell r="D14" t="str">
            <v>Трубный пучок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6:M50" totalsRowShown="0" dataDxfId="14" headerRowBorderDxfId="15" tableBorderDxfId="13">
  <autoFilter ref="A6:M50"/>
  <tableColumns count="13">
    <tableColumn id="1" name="1" dataDxfId="12" dataCellStyle="Обычный 2"/>
    <tableColumn id="2" name="2" dataDxfId="11" dataCellStyle="Обычный 2"/>
    <tableColumn id="3" name="3" dataDxfId="10" dataCellStyle="Обычный 2"/>
    <tableColumn id="4" name="4" dataDxfId="9" dataCellStyle="Обычный 2"/>
    <tableColumn id="5" name="5" dataDxfId="8" dataCellStyle="Обычный 2"/>
    <tableColumn id="6" name="6" dataDxfId="7" dataCellStyle="Обычный 2"/>
    <tableColumn id="7" name="7" dataDxfId="6" dataCellStyle="Обычный 2"/>
    <tableColumn id="8" name="8" dataDxfId="5" dataCellStyle="Обычный 2"/>
    <tableColumn id="9" name="9" dataDxfId="4" dataCellStyle="Обычный 2"/>
    <tableColumn id="10" name="10" dataDxfId="3" dataCellStyle="Обычный 2"/>
    <tableColumn id="11" name="11" dataDxfId="2" dataCellStyle="Обычный 2"/>
    <tableColumn id="12" name="12" dataDxfId="1" dataCellStyle="Обычный 2"/>
    <tableColumn id="13" name="13" dataDxfId="0" dataCellStyle="Обычный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F40"/>
  <sheetViews>
    <sheetView tabSelected="1" zoomScale="55" zoomScaleNormal="55" workbookViewId="0">
      <selection activeCell="C6" sqref="C6"/>
    </sheetView>
  </sheetViews>
  <sheetFormatPr defaultRowHeight="18.75" x14ac:dyDescent="0.25"/>
  <cols>
    <col min="1" max="1" width="16.28515625" style="67" bestFit="1" customWidth="1"/>
    <col min="2" max="2" width="21" style="68" bestFit="1" customWidth="1"/>
    <col min="3" max="3" width="46.5703125" style="67" bestFit="1" customWidth="1"/>
    <col min="4" max="4" width="53.7109375" style="68" bestFit="1" customWidth="1"/>
    <col min="5" max="5" width="35.140625" style="67" bestFit="1" customWidth="1"/>
    <col min="6" max="6" width="56.5703125" style="67" bestFit="1" customWidth="1"/>
    <col min="7" max="7" width="46.85546875" style="67" bestFit="1" customWidth="1"/>
    <col min="8" max="8" width="21.7109375" style="66" bestFit="1" customWidth="1"/>
    <col min="9" max="9" width="24.5703125" style="67" bestFit="1" customWidth="1"/>
    <col min="10" max="10" width="34.42578125" style="67" bestFit="1" customWidth="1"/>
    <col min="11" max="11" width="11.140625" style="67" bestFit="1" customWidth="1"/>
    <col min="12" max="12" width="26.5703125" style="67" bestFit="1" customWidth="1"/>
    <col min="13" max="13" width="9.140625" style="67"/>
    <col min="14" max="14" width="17.42578125" style="67" customWidth="1"/>
    <col min="15" max="24" width="9.140625" style="67"/>
    <col min="25" max="25" width="42" style="67" customWidth="1"/>
    <col min="26" max="26" width="39.42578125" style="67" customWidth="1"/>
    <col min="27" max="27" width="11.28515625" style="67" customWidth="1"/>
    <col min="28" max="28" width="9.140625" style="67"/>
    <col min="29" max="29" width="14.5703125" style="67" customWidth="1"/>
    <col min="30" max="30" width="11.7109375" style="67" customWidth="1"/>
    <col min="31" max="31" width="28.42578125" style="67" bestFit="1" customWidth="1"/>
    <col min="32" max="32" width="34.7109375" style="67" bestFit="1" customWidth="1"/>
    <col min="33" max="33" width="11.28515625" style="67" customWidth="1"/>
    <col min="34" max="37" width="9.140625" style="67"/>
    <col min="38" max="38" width="12.42578125" style="67" customWidth="1"/>
    <col min="39" max="43" width="9.140625" style="67"/>
    <col min="44" max="44" width="13.85546875" style="67" customWidth="1"/>
    <col min="45" max="52" width="9.140625" style="67"/>
    <col min="53" max="53" width="13.140625" style="65" bestFit="1" customWidth="1"/>
    <col min="54" max="54" width="17.42578125" style="66" bestFit="1" customWidth="1"/>
    <col min="55" max="55" width="13" style="65" customWidth="1"/>
    <col min="56" max="56" width="42.28515625" style="65" bestFit="1" customWidth="1"/>
    <col min="57" max="57" width="18.7109375" style="146" bestFit="1" customWidth="1"/>
    <col min="58" max="58" width="13.28515625" style="146" customWidth="1"/>
    <col min="59" max="16384" width="9.140625" style="31"/>
  </cols>
  <sheetData>
    <row r="1" spans="1:58" s="16" customFormat="1" ht="75.75" customHeight="1" x14ac:dyDescent="0.25">
      <c r="A1" s="6" t="s">
        <v>115</v>
      </c>
      <c r="B1" s="15" t="s">
        <v>116</v>
      </c>
      <c r="C1" s="6" t="s">
        <v>117</v>
      </c>
      <c r="D1" s="15"/>
      <c r="E1" s="8" t="s">
        <v>359</v>
      </c>
      <c r="F1" s="8" t="s">
        <v>103</v>
      </c>
      <c r="G1" s="8" t="s">
        <v>129</v>
      </c>
      <c r="H1" s="46" t="s">
        <v>130</v>
      </c>
      <c r="I1" s="9" t="s">
        <v>131</v>
      </c>
      <c r="J1" s="8" t="s">
        <v>132</v>
      </c>
      <c r="K1" s="8" t="s">
        <v>360</v>
      </c>
      <c r="L1" s="8" t="s">
        <v>11</v>
      </c>
      <c r="M1" s="8" t="s">
        <v>133</v>
      </c>
      <c r="N1" s="8" t="s">
        <v>134</v>
      </c>
      <c r="O1" s="8" t="s">
        <v>361</v>
      </c>
      <c r="P1" s="8" t="s">
        <v>135</v>
      </c>
      <c r="Q1" s="8" t="s">
        <v>136</v>
      </c>
      <c r="R1" s="8" t="s">
        <v>137</v>
      </c>
      <c r="S1" s="8" t="s">
        <v>138</v>
      </c>
      <c r="T1" s="8" t="s">
        <v>138</v>
      </c>
      <c r="U1" s="8" t="s">
        <v>138</v>
      </c>
      <c r="V1" s="8" t="s">
        <v>139</v>
      </c>
      <c r="W1" s="8" t="s">
        <v>140</v>
      </c>
      <c r="X1" s="8" t="s">
        <v>141</v>
      </c>
      <c r="Y1" s="8" t="s">
        <v>5</v>
      </c>
      <c r="Z1" s="6" t="s">
        <v>6</v>
      </c>
      <c r="AA1" s="6" t="s">
        <v>7</v>
      </c>
      <c r="AB1" s="6" t="s">
        <v>8</v>
      </c>
      <c r="AC1" s="6" t="s">
        <v>9</v>
      </c>
      <c r="AD1" s="7" t="s">
        <v>10</v>
      </c>
      <c r="AE1" s="6" t="s">
        <v>360</v>
      </c>
      <c r="AF1" s="6" t="s">
        <v>11</v>
      </c>
      <c r="AG1" s="6" t="s">
        <v>12</v>
      </c>
      <c r="AH1" s="6" t="s">
        <v>13</v>
      </c>
      <c r="AI1" s="6" t="s">
        <v>362</v>
      </c>
      <c r="AJ1" s="6" t="s">
        <v>14</v>
      </c>
      <c r="AK1" s="6" t="s">
        <v>15</v>
      </c>
      <c r="AL1" s="6" t="s">
        <v>16</v>
      </c>
      <c r="AM1" s="6" t="s">
        <v>17</v>
      </c>
      <c r="AN1" s="6" t="s">
        <v>18</v>
      </c>
      <c r="AO1" s="6" t="s">
        <v>19</v>
      </c>
      <c r="AP1" s="6" t="s">
        <v>187</v>
      </c>
      <c r="AQ1" s="6" t="s">
        <v>20</v>
      </c>
      <c r="AR1" s="6" t="s">
        <v>21</v>
      </c>
      <c r="AS1" s="6" t="s">
        <v>21</v>
      </c>
      <c r="AT1" s="6" t="s">
        <v>21</v>
      </c>
      <c r="AU1" s="6" t="s">
        <v>22</v>
      </c>
      <c r="AV1" s="6" t="s">
        <v>23</v>
      </c>
      <c r="AW1" s="6" t="s">
        <v>24</v>
      </c>
      <c r="AX1" s="6" t="s">
        <v>25</v>
      </c>
      <c r="AY1" s="6" t="s">
        <v>26</v>
      </c>
      <c r="AZ1" s="6" t="s">
        <v>27</v>
      </c>
      <c r="BA1" s="32"/>
      <c r="BB1" s="34"/>
      <c r="BC1" s="32"/>
      <c r="BD1" s="32"/>
      <c r="BE1" s="28"/>
      <c r="BF1" s="28"/>
    </row>
    <row r="2" spans="1:58" s="16" customFormat="1" ht="42" customHeight="1" x14ac:dyDescent="0.25">
      <c r="A2" s="6"/>
      <c r="B2" s="15"/>
      <c r="C2" s="6"/>
      <c r="D2" s="15"/>
      <c r="E2" s="8" t="s">
        <v>142</v>
      </c>
      <c r="F2" s="8" t="s">
        <v>107</v>
      </c>
      <c r="G2" s="8" t="s">
        <v>143</v>
      </c>
      <c r="H2" s="46"/>
      <c r="I2" s="8" t="s">
        <v>144</v>
      </c>
      <c r="J2" s="8" t="s">
        <v>144</v>
      </c>
      <c r="K2" s="8" t="s">
        <v>145</v>
      </c>
      <c r="L2" s="8" t="s">
        <v>145</v>
      </c>
      <c r="M2" s="8" t="s">
        <v>146</v>
      </c>
      <c r="N2" s="8"/>
      <c r="O2" s="8"/>
      <c r="P2" s="8"/>
      <c r="Q2" s="8"/>
      <c r="R2" s="8"/>
      <c r="S2" s="8"/>
      <c r="T2" s="8"/>
      <c r="U2" s="8" t="s">
        <v>147</v>
      </c>
      <c r="V2" s="8" t="s">
        <v>148</v>
      </c>
      <c r="W2" s="8"/>
      <c r="X2" s="8"/>
      <c r="Y2" s="8" t="s">
        <v>28</v>
      </c>
      <c r="Z2" s="12" t="s">
        <v>29</v>
      </c>
      <c r="AA2" s="12" t="s">
        <v>30</v>
      </c>
      <c r="AB2" s="12" t="s">
        <v>31</v>
      </c>
      <c r="AC2" s="12" t="s">
        <v>32</v>
      </c>
      <c r="AD2" s="10" t="s">
        <v>33</v>
      </c>
      <c r="AE2" s="10" t="s">
        <v>363</v>
      </c>
      <c r="AF2" s="10" t="s">
        <v>34</v>
      </c>
      <c r="AG2" s="10" t="s">
        <v>35</v>
      </c>
      <c r="AH2" s="10" t="s">
        <v>36</v>
      </c>
      <c r="AI2" s="10" t="s">
        <v>37</v>
      </c>
      <c r="AJ2" s="10" t="s">
        <v>14</v>
      </c>
      <c r="AK2" s="10" t="s">
        <v>38</v>
      </c>
      <c r="AL2" s="11" t="s">
        <v>39</v>
      </c>
      <c r="AM2" s="11" t="s">
        <v>40</v>
      </c>
      <c r="AN2" s="11" t="s">
        <v>41</v>
      </c>
      <c r="AO2" s="11" t="s">
        <v>42</v>
      </c>
      <c r="AP2" s="13" t="s">
        <v>188</v>
      </c>
      <c r="AQ2" s="13" t="s">
        <v>43</v>
      </c>
      <c r="AR2" s="13" t="s">
        <v>44</v>
      </c>
      <c r="AS2" s="13" t="s">
        <v>45</v>
      </c>
      <c r="AT2" s="13" t="s">
        <v>46</v>
      </c>
      <c r="AU2" s="13" t="s">
        <v>47</v>
      </c>
      <c r="AV2" s="13" t="s">
        <v>48</v>
      </c>
      <c r="AW2" s="13" t="s">
        <v>49</v>
      </c>
      <c r="AX2" s="13" t="s">
        <v>50</v>
      </c>
      <c r="AY2" s="13" t="s">
        <v>51</v>
      </c>
      <c r="AZ2" s="13" t="s">
        <v>52</v>
      </c>
      <c r="BA2" s="32"/>
      <c r="BB2" s="34"/>
      <c r="BC2" s="32"/>
      <c r="BD2" s="32"/>
      <c r="BE2" s="28"/>
      <c r="BF2" s="28"/>
    </row>
    <row r="3" spans="1:58" s="16" customFormat="1" ht="36.75" customHeight="1" x14ac:dyDescent="0.25">
      <c r="A3" s="6"/>
      <c r="B3" s="15"/>
      <c r="C3" s="6"/>
      <c r="D3" s="15"/>
      <c r="E3" s="8" t="s">
        <v>149</v>
      </c>
      <c r="F3" s="8" t="s">
        <v>109</v>
      </c>
      <c r="G3" s="8" t="s">
        <v>150</v>
      </c>
      <c r="H3" s="47" t="s">
        <v>151</v>
      </c>
      <c r="I3" s="14" t="s">
        <v>152</v>
      </c>
      <c r="J3" s="14" t="s">
        <v>153</v>
      </c>
      <c r="K3" s="14" t="s">
        <v>154</v>
      </c>
      <c r="L3" s="14" t="s">
        <v>155</v>
      </c>
      <c r="M3" s="14" t="s">
        <v>156</v>
      </c>
      <c r="N3" s="14" t="s">
        <v>157</v>
      </c>
      <c r="O3" s="14" t="s">
        <v>158</v>
      </c>
      <c r="P3" s="14" t="s">
        <v>159</v>
      </c>
      <c r="Q3" s="14" t="s">
        <v>160</v>
      </c>
      <c r="R3" s="14" t="s">
        <v>161</v>
      </c>
      <c r="S3" s="14" t="s">
        <v>162</v>
      </c>
      <c r="T3" s="14" t="s">
        <v>163</v>
      </c>
      <c r="U3" s="14" t="s">
        <v>164</v>
      </c>
      <c r="V3" s="14" t="s">
        <v>165</v>
      </c>
      <c r="W3" s="14" t="s">
        <v>166</v>
      </c>
      <c r="X3" s="14" t="s">
        <v>167</v>
      </c>
      <c r="Y3" s="8" t="s">
        <v>53</v>
      </c>
      <c r="Z3" s="12" t="s">
        <v>54</v>
      </c>
      <c r="AA3" s="12" t="s">
        <v>55</v>
      </c>
      <c r="AB3" s="12" t="s">
        <v>56</v>
      </c>
      <c r="AC3" s="12" t="s">
        <v>57</v>
      </c>
      <c r="AD3" s="10" t="s">
        <v>58</v>
      </c>
      <c r="AE3" s="10" t="s">
        <v>59</v>
      </c>
      <c r="AF3" s="10" t="s">
        <v>60</v>
      </c>
      <c r="AG3" s="10" t="s">
        <v>61</v>
      </c>
      <c r="AH3" s="10" t="s">
        <v>62</v>
      </c>
      <c r="AI3" s="10" t="s">
        <v>63</v>
      </c>
      <c r="AJ3" s="10" t="s">
        <v>64</v>
      </c>
      <c r="AK3" s="10" t="s">
        <v>65</v>
      </c>
      <c r="AL3" s="11" t="s">
        <v>66</v>
      </c>
      <c r="AM3" s="11" t="s">
        <v>67</v>
      </c>
      <c r="AN3" s="11" t="s">
        <v>68</v>
      </c>
      <c r="AO3" s="11" t="s">
        <v>69</v>
      </c>
      <c r="AP3" s="13" t="s">
        <v>189</v>
      </c>
      <c r="AQ3" s="13" t="s">
        <v>70</v>
      </c>
      <c r="AR3" s="13" t="s">
        <v>71</v>
      </c>
      <c r="AS3" s="13" t="s">
        <v>72</v>
      </c>
      <c r="AT3" s="13" t="s">
        <v>73</v>
      </c>
      <c r="AU3" s="13" t="s">
        <v>74</v>
      </c>
      <c r="AV3" s="13" t="s">
        <v>75</v>
      </c>
      <c r="AW3" s="13" t="s">
        <v>76</v>
      </c>
      <c r="AX3" s="13" t="s">
        <v>77</v>
      </c>
      <c r="AY3" s="13" t="s">
        <v>78</v>
      </c>
      <c r="AZ3" s="13" t="s">
        <v>79</v>
      </c>
      <c r="BA3" s="32">
        <f>COLUMN()</f>
        <v>53</v>
      </c>
      <c r="BB3" s="34"/>
      <c r="BC3" s="32"/>
      <c r="BD3" s="32"/>
      <c r="BE3" s="28"/>
      <c r="BF3" s="28"/>
    </row>
    <row r="4" spans="1:58" s="16" customFormat="1" ht="93.75" customHeight="1" x14ac:dyDescent="0.25">
      <c r="A4" s="5" t="s">
        <v>0</v>
      </c>
      <c r="B4" s="5" t="s">
        <v>1</v>
      </c>
      <c r="C4" s="5" t="s">
        <v>2</v>
      </c>
      <c r="D4" s="5" t="s">
        <v>3</v>
      </c>
      <c r="E4" s="9" t="s">
        <v>128</v>
      </c>
      <c r="F4" s="9" t="s">
        <v>110</v>
      </c>
      <c r="G4" s="9" t="s">
        <v>168</v>
      </c>
      <c r="H4" s="48" t="s">
        <v>169</v>
      </c>
      <c r="I4" s="9" t="s">
        <v>170</v>
      </c>
      <c r="J4" s="9" t="s">
        <v>171</v>
      </c>
      <c r="K4" s="9" t="s">
        <v>172</v>
      </c>
      <c r="L4" s="9" t="s">
        <v>173</v>
      </c>
      <c r="M4" s="9" t="s">
        <v>174</v>
      </c>
      <c r="N4" s="9" t="s">
        <v>175</v>
      </c>
      <c r="O4" s="9" t="s">
        <v>176</v>
      </c>
      <c r="P4" s="9" t="s">
        <v>177</v>
      </c>
      <c r="Q4" s="9" t="s">
        <v>178</v>
      </c>
      <c r="R4" s="49" t="s">
        <v>179</v>
      </c>
      <c r="S4" s="9" t="s">
        <v>180</v>
      </c>
      <c r="T4" s="9" t="s">
        <v>181</v>
      </c>
      <c r="U4" s="9" t="s">
        <v>182</v>
      </c>
      <c r="V4" s="50" t="s">
        <v>183</v>
      </c>
      <c r="W4" s="50" t="s">
        <v>184</v>
      </c>
      <c r="X4" s="50" t="s">
        <v>185</v>
      </c>
      <c r="Y4" s="51"/>
      <c r="Z4" s="52"/>
      <c r="AA4" s="4" t="s">
        <v>80</v>
      </c>
      <c r="AB4" s="4" t="s">
        <v>81</v>
      </c>
      <c r="AC4" s="4" t="s">
        <v>82</v>
      </c>
      <c r="AD4" s="4" t="s">
        <v>10</v>
      </c>
      <c r="AE4" s="4" t="s">
        <v>83</v>
      </c>
      <c r="AF4" s="53" t="s">
        <v>4</v>
      </c>
      <c r="AG4" s="4" t="s">
        <v>84</v>
      </c>
      <c r="AH4" s="4" t="s">
        <v>85</v>
      </c>
      <c r="AI4" s="4" t="s">
        <v>86</v>
      </c>
      <c r="AJ4" s="4" t="s">
        <v>87</v>
      </c>
      <c r="AK4" s="4" t="s">
        <v>88</v>
      </c>
      <c r="AL4" s="54" t="s">
        <v>89</v>
      </c>
      <c r="AM4" s="54" t="s">
        <v>90</v>
      </c>
      <c r="AN4" s="54" t="s">
        <v>91</v>
      </c>
      <c r="AO4" s="54" t="s">
        <v>92</v>
      </c>
      <c r="AP4" s="4" t="s">
        <v>186</v>
      </c>
      <c r="AQ4" s="4" t="s">
        <v>93</v>
      </c>
      <c r="AR4" s="4" t="s">
        <v>94</v>
      </c>
      <c r="AS4" s="4" t="s">
        <v>95</v>
      </c>
      <c r="AT4" s="4" t="s">
        <v>96</v>
      </c>
      <c r="AU4" s="4" t="s">
        <v>97</v>
      </c>
      <c r="AV4" s="4" t="s">
        <v>98</v>
      </c>
      <c r="AW4" s="4" t="s">
        <v>99</v>
      </c>
      <c r="AX4" s="4" t="s">
        <v>100</v>
      </c>
      <c r="AY4" s="4" t="s">
        <v>101</v>
      </c>
      <c r="AZ4" s="27" t="s">
        <v>102</v>
      </c>
      <c r="BA4" s="33" t="s">
        <v>191</v>
      </c>
      <c r="BB4" s="35" t="s">
        <v>192</v>
      </c>
      <c r="BC4" s="36" t="s">
        <v>193</v>
      </c>
      <c r="BD4" s="36" t="s">
        <v>194</v>
      </c>
      <c r="BE4" s="141" t="s">
        <v>357</v>
      </c>
      <c r="BF4" s="141" t="s">
        <v>358</v>
      </c>
    </row>
    <row r="5" spans="1:58" s="25" customFormat="1" x14ac:dyDescent="0.25">
      <c r="A5" s="63"/>
      <c r="B5" s="55"/>
      <c r="C5" s="55"/>
      <c r="D5" s="56"/>
      <c r="E5" s="55"/>
      <c r="F5" s="55"/>
      <c r="G5" s="55"/>
      <c r="H5" s="57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60"/>
      <c r="W5" s="60"/>
      <c r="X5" s="60"/>
      <c r="Y5" s="55" t="str">
        <f>CONCATENATE(B5,"-",'Вспомогательный лист'!Q5)</f>
        <v>-0</v>
      </c>
      <c r="Z5" s="55" t="str">
        <f t="shared" ref="Z5:Z40" si="0">CONCATENATE(AA5,"_",B5)</f>
        <v>_</v>
      </c>
      <c r="AA5" s="61"/>
      <c r="AB5" s="61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5"/>
      <c r="BB5" s="58"/>
      <c r="BC5" s="59"/>
      <c r="BD5" s="59"/>
      <c r="BE5" s="144"/>
      <c r="BF5" s="144"/>
    </row>
    <row r="6" spans="1:58" s="25" customFormat="1" x14ac:dyDescent="0.25">
      <c r="A6" s="63"/>
      <c r="B6" s="55"/>
      <c r="C6" s="55"/>
      <c r="D6" s="56"/>
      <c r="E6" s="55"/>
      <c r="F6" s="55"/>
      <c r="G6" s="55"/>
      <c r="H6" s="57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60"/>
      <c r="W6" s="60"/>
      <c r="X6" s="60"/>
      <c r="Y6" s="55" t="str">
        <f>CONCATENATE(B6,"-",'Вспомогательный лист'!Q6)</f>
        <v>-0</v>
      </c>
      <c r="Z6" s="55" t="str">
        <f t="shared" si="0"/>
        <v>_</v>
      </c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5"/>
      <c r="BB6" s="62"/>
      <c r="BC6" s="59"/>
      <c r="BD6" s="59"/>
      <c r="BE6" s="144"/>
      <c r="BF6" s="144"/>
    </row>
    <row r="7" spans="1:58" s="25" customFormat="1" x14ac:dyDescent="0.25">
      <c r="A7" s="63"/>
      <c r="B7" s="55"/>
      <c r="C7" s="55"/>
      <c r="D7" s="56"/>
      <c r="E7" s="55"/>
      <c r="F7" s="55"/>
      <c r="G7" s="55"/>
      <c r="H7" s="57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60"/>
      <c r="W7" s="60"/>
      <c r="X7" s="60"/>
      <c r="Y7" s="55" t="str">
        <f>CONCATENATE(B7,"-",'Вспомогательный лист'!Q7)</f>
        <v>-0</v>
      </c>
      <c r="Z7" s="55" t="str">
        <f t="shared" si="0"/>
        <v>_</v>
      </c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5"/>
      <c r="BB7" s="62"/>
      <c r="BC7" s="59"/>
      <c r="BD7" s="59"/>
      <c r="BE7" s="144"/>
      <c r="BF7" s="144"/>
    </row>
    <row r="8" spans="1:58" s="25" customFormat="1" x14ac:dyDescent="0.25">
      <c r="A8" s="63"/>
      <c r="B8" s="55"/>
      <c r="C8" s="55"/>
      <c r="D8" s="56"/>
      <c r="E8" s="55"/>
      <c r="F8" s="55"/>
      <c r="G8" s="55"/>
      <c r="H8" s="57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60"/>
      <c r="W8" s="60"/>
      <c r="X8" s="60"/>
      <c r="Y8" s="55" t="str">
        <f>CONCATENATE(B8,"-",'Вспомогательный лист'!Q8)</f>
        <v>-0</v>
      </c>
      <c r="Z8" s="55" t="str">
        <f t="shared" si="0"/>
        <v>_</v>
      </c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5"/>
      <c r="BB8" s="62"/>
      <c r="BC8" s="59"/>
      <c r="BD8" s="59"/>
      <c r="BE8" s="144"/>
      <c r="BF8" s="144"/>
    </row>
    <row r="9" spans="1:58" s="25" customFormat="1" x14ac:dyDescent="0.25">
      <c r="A9" s="63"/>
      <c r="B9" s="55"/>
      <c r="C9" s="55"/>
      <c r="D9" s="56"/>
      <c r="E9" s="55"/>
      <c r="F9" s="55"/>
      <c r="G9" s="55"/>
      <c r="H9" s="57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60"/>
      <c r="W9" s="60"/>
      <c r="X9" s="60"/>
      <c r="Y9" s="55" t="str">
        <f>CONCATENATE(B9,"-",'Вспомогательный лист'!Q9)</f>
        <v>-0</v>
      </c>
      <c r="Z9" s="55" t="str">
        <f t="shared" si="0"/>
        <v>_</v>
      </c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5"/>
      <c r="BB9" s="62"/>
      <c r="BC9" s="59"/>
      <c r="BD9" s="59"/>
      <c r="BE9" s="144"/>
      <c r="BF9" s="144"/>
    </row>
    <row r="10" spans="1:58" s="25" customFormat="1" x14ac:dyDescent="0.25">
      <c r="A10" s="63"/>
      <c r="B10" s="55"/>
      <c r="C10" s="55"/>
      <c r="D10" s="56"/>
      <c r="E10" s="55"/>
      <c r="F10" s="55"/>
      <c r="G10" s="55"/>
      <c r="H10" s="57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60"/>
      <c r="W10" s="60"/>
      <c r="X10" s="60"/>
      <c r="Y10" s="55" t="str">
        <f>CONCATENATE(B10,"-",'Вспомогательный лист'!Q10)</f>
        <v>-0</v>
      </c>
      <c r="Z10" s="55" t="str">
        <f t="shared" si="0"/>
        <v>_</v>
      </c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5"/>
      <c r="BB10" s="62"/>
      <c r="BC10" s="59"/>
      <c r="BD10" s="59"/>
      <c r="BE10" s="144"/>
      <c r="BF10" s="144"/>
    </row>
    <row r="11" spans="1:58" s="25" customFormat="1" x14ac:dyDescent="0.25">
      <c r="A11" s="63"/>
      <c r="B11" s="55"/>
      <c r="C11" s="55"/>
      <c r="D11" s="56"/>
      <c r="E11" s="55"/>
      <c r="F11" s="55"/>
      <c r="G11" s="55"/>
      <c r="H11" s="57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60"/>
      <c r="W11" s="60"/>
      <c r="X11" s="60"/>
      <c r="Y11" s="55" t="str">
        <f>CONCATENATE(B11,"-",'Вспомогательный лист'!Q11)</f>
        <v>-0</v>
      </c>
      <c r="Z11" s="55" t="str">
        <f t="shared" si="0"/>
        <v>_</v>
      </c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5"/>
      <c r="BB11" s="62"/>
      <c r="BC11" s="59"/>
      <c r="BD11" s="59"/>
      <c r="BE11" s="144"/>
      <c r="BF11" s="144"/>
    </row>
    <row r="12" spans="1:58" s="25" customFormat="1" x14ac:dyDescent="0.25">
      <c r="A12" s="63"/>
      <c r="B12" s="55"/>
      <c r="C12" s="55"/>
      <c r="D12" s="56"/>
      <c r="E12" s="55"/>
      <c r="F12" s="55"/>
      <c r="G12" s="55"/>
      <c r="H12" s="57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60"/>
      <c r="W12" s="60"/>
      <c r="X12" s="60"/>
      <c r="Y12" s="55" t="str">
        <f>CONCATENATE(B12,"-",'Вспомогательный лист'!Q12)</f>
        <v>-0</v>
      </c>
      <c r="Z12" s="55" t="str">
        <f t="shared" si="0"/>
        <v>_</v>
      </c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5"/>
      <c r="BB12" s="62"/>
      <c r="BC12" s="59"/>
      <c r="BD12" s="59"/>
      <c r="BE12" s="144"/>
      <c r="BF12" s="144"/>
    </row>
    <row r="13" spans="1:58" s="25" customFormat="1" x14ac:dyDescent="0.25">
      <c r="A13" s="63"/>
      <c r="B13" s="55"/>
      <c r="C13" s="55"/>
      <c r="D13" s="56"/>
      <c r="E13" s="55"/>
      <c r="F13" s="55"/>
      <c r="G13" s="55"/>
      <c r="H13" s="57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60"/>
      <c r="W13" s="60"/>
      <c r="X13" s="60"/>
      <c r="Y13" s="55" t="str">
        <f>CONCATENATE(B13,"-",'Вспомогательный лист'!Q13)</f>
        <v>-0</v>
      </c>
      <c r="Z13" s="55" t="str">
        <f t="shared" si="0"/>
        <v>_</v>
      </c>
      <c r="AA13" s="61"/>
      <c r="AB13" s="61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5"/>
      <c r="BB13" s="58"/>
      <c r="BC13" s="59"/>
      <c r="BD13" s="59"/>
      <c r="BE13" s="144"/>
      <c r="BF13" s="144"/>
    </row>
    <row r="14" spans="1:58" s="25" customFormat="1" x14ac:dyDescent="0.25">
      <c r="A14" s="63"/>
      <c r="B14" s="55"/>
      <c r="C14" s="55"/>
      <c r="D14" s="56"/>
      <c r="E14" s="55"/>
      <c r="F14" s="55"/>
      <c r="G14" s="55"/>
      <c r="H14" s="57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60"/>
      <c r="W14" s="60"/>
      <c r="X14" s="60"/>
      <c r="Y14" s="55" t="str">
        <f>CONCATENATE(B14,"-",'Вспомогательный лист'!Q14)</f>
        <v>-0</v>
      </c>
      <c r="Z14" s="55" t="str">
        <f t="shared" si="0"/>
        <v>_</v>
      </c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5"/>
      <c r="BB14" s="62"/>
      <c r="BC14" s="59"/>
      <c r="BD14" s="59"/>
      <c r="BE14" s="144"/>
      <c r="BF14" s="144"/>
    </row>
    <row r="15" spans="1:58" s="25" customFormat="1" x14ac:dyDescent="0.25">
      <c r="A15" s="63"/>
      <c r="B15" s="55"/>
      <c r="C15" s="55"/>
      <c r="D15" s="56"/>
      <c r="E15" s="55"/>
      <c r="F15" s="55"/>
      <c r="G15" s="55"/>
      <c r="H15" s="57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60"/>
      <c r="W15" s="60"/>
      <c r="X15" s="60"/>
      <c r="Y15" s="55" t="str">
        <f>CONCATENATE(B15,"-",'Вспомогательный лист'!Q15)</f>
        <v>-0</v>
      </c>
      <c r="Z15" s="55" t="str">
        <f t="shared" si="0"/>
        <v>_</v>
      </c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5"/>
      <c r="BB15" s="62"/>
      <c r="BC15" s="59"/>
      <c r="BD15" s="59"/>
      <c r="BE15" s="144"/>
      <c r="BF15" s="144"/>
    </row>
    <row r="16" spans="1:58" s="30" customFormat="1" x14ac:dyDescent="0.25">
      <c r="A16" s="63"/>
      <c r="B16" s="55"/>
      <c r="C16" s="60"/>
      <c r="D16" s="63"/>
      <c r="E16" s="60"/>
      <c r="F16" s="60"/>
      <c r="G16" s="55"/>
      <c r="H16" s="57"/>
      <c r="I16" s="55"/>
      <c r="J16" s="55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55" t="str">
        <f>CONCATENATE(B16,"-",'Вспомогательный лист'!Q16)</f>
        <v>-0</v>
      </c>
      <c r="Z16" s="55" t="str">
        <f t="shared" si="0"/>
        <v>_</v>
      </c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5"/>
      <c r="BB16" s="62"/>
      <c r="BC16" s="59"/>
      <c r="BD16" s="59"/>
      <c r="BE16" s="145"/>
      <c r="BF16" s="145"/>
    </row>
    <row r="17" spans="1:58" s="30" customFormat="1" x14ac:dyDescent="0.25">
      <c r="A17" s="63"/>
      <c r="B17" s="55"/>
      <c r="C17" s="60"/>
      <c r="D17" s="63"/>
      <c r="E17" s="60"/>
      <c r="F17" s="60"/>
      <c r="G17" s="55"/>
      <c r="H17" s="57"/>
      <c r="I17" s="55"/>
      <c r="J17" s="55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55" t="str">
        <f>CONCATENATE(B17,"-",'Вспомогательный лист'!Q17)</f>
        <v>-0</v>
      </c>
      <c r="Z17" s="55" t="str">
        <f t="shared" si="0"/>
        <v>_</v>
      </c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5"/>
      <c r="BB17" s="62"/>
      <c r="BC17" s="59"/>
      <c r="BD17" s="59"/>
      <c r="BE17" s="145"/>
      <c r="BF17" s="145"/>
    </row>
    <row r="18" spans="1:58" s="30" customFormat="1" x14ac:dyDescent="0.25">
      <c r="A18" s="63"/>
      <c r="B18" s="55"/>
      <c r="C18" s="60"/>
      <c r="D18" s="63"/>
      <c r="E18" s="60"/>
      <c r="F18" s="60"/>
      <c r="G18" s="55"/>
      <c r="H18" s="57"/>
      <c r="I18" s="55"/>
      <c r="J18" s="55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55" t="str">
        <f>CONCATENATE(B18,"-",'Вспомогательный лист'!Q18)</f>
        <v>-0</v>
      </c>
      <c r="Z18" s="55" t="str">
        <f t="shared" si="0"/>
        <v>_</v>
      </c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5"/>
      <c r="BB18" s="62"/>
      <c r="BC18" s="59"/>
      <c r="BD18" s="59"/>
      <c r="BE18" s="145"/>
      <c r="BF18" s="145"/>
    </row>
    <row r="19" spans="1:58" s="30" customFormat="1" x14ac:dyDescent="0.25">
      <c r="A19" s="63"/>
      <c r="B19" s="55"/>
      <c r="C19" s="60"/>
      <c r="D19" s="63"/>
      <c r="E19" s="60"/>
      <c r="F19" s="60"/>
      <c r="G19" s="55"/>
      <c r="H19" s="57"/>
      <c r="I19" s="55"/>
      <c r="J19" s="55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55" t="str">
        <f>CONCATENATE(B19,"-",'Вспомогательный лист'!Q19)</f>
        <v>-0</v>
      </c>
      <c r="Z19" s="55" t="str">
        <f t="shared" si="0"/>
        <v>_</v>
      </c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5"/>
      <c r="BB19" s="62"/>
      <c r="BC19" s="59"/>
      <c r="BD19" s="59"/>
      <c r="BE19" s="145"/>
      <c r="BF19" s="145"/>
    </row>
    <row r="20" spans="1:58" s="30" customFormat="1" x14ac:dyDescent="0.25">
      <c r="A20" s="63"/>
      <c r="B20" s="55"/>
      <c r="C20" s="60"/>
      <c r="D20" s="63"/>
      <c r="E20" s="60"/>
      <c r="F20" s="60"/>
      <c r="G20" s="55"/>
      <c r="H20" s="57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55" t="str">
        <f>CONCATENATE(B20,"-",'Вспомогательный лист'!Q20)</f>
        <v>-0</v>
      </c>
      <c r="Z20" s="55" t="str">
        <f t="shared" si="0"/>
        <v>_</v>
      </c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5"/>
      <c r="BB20" s="62"/>
      <c r="BC20" s="59"/>
      <c r="BD20" s="59"/>
      <c r="BE20" s="145"/>
      <c r="BF20" s="145"/>
    </row>
    <row r="21" spans="1:58" s="30" customFormat="1" x14ac:dyDescent="0.25">
      <c r="A21" s="63"/>
      <c r="B21" s="55"/>
      <c r="C21" s="60"/>
      <c r="D21" s="63"/>
      <c r="E21" s="60"/>
      <c r="F21" s="60"/>
      <c r="G21" s="55"/>
      <c r="H21" s="57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55" t="str">
        <f>CONCATENATE(B21,"-",'Вспомогательный лист'!Q21)</f>
        <v>-0</v>
      </c>
      <c r="Z21" s="55" t="str">
        <f t="shared" si="0"/>
        <v>_</v>
      </c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5"/>
      <c r="BB21" s="62"/>
      <c r="BC21" s="59"/>
      <c r="BD21" s="59"/>
      <c r="BE21" s="145"/>
      <c r="BF21" s="145"/>
    </row>
    <row r="22" spans="1:58" s="30" customFormat="1" x14ac:dyDescent="0.25">
      <c r="A22" s="63"/>
      <c r="B22" s="55"/>
      <c r="C22" s="60"/>
      <c r="D22" s="63"/>
      <c r="E22" s="60"/>
      <c r="F22" s="60"/>
      <c r="G22" s="55"/>
      <c r="H22" s="57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55" t="str">
        <f>CONCATENATE(B22,"-",'Вспомогательный лист'!Q22)</f>
        <v>-0</v>
      </c>
      <c r="Z22" s="55" t="str">
        <f t="shared" si="0"/>
        <v>_</v>
      </c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5"/>
      <c r="BB22" s="62"/>
      <c r="BC22" s="59"/>
      <c r="BD22" s="59"/>
      <c r="BE22" s="145"/>
      <c r="BF22" s="145"/>
    </row>
    <row r="23" spans="1:58" s="30" customFormat="1" x14ac:dyDescent="0.25">
      <c r="A23" s="63"/>
      <c r="B23" s="55"/>
      <c r="C23" s="60"/>
      <c r="D23" s="63"/>
      <c r="E23" s="60"/>
      <c r="F23" s="60"/>
      <c r="G23" s="55"/>
      <c r="H23" s="57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55" t="str">
        <f>CONCATENATE(B23,"-",'Вспомогательный лист'!Q23)</f>
        <v>-0</v>
      </c>
      <c r="Z23" s="55" t="str">
        <f t="shared" si="0"/>
        <v>_</v>
      </c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5"/>
      <c r="BB23" s="62"/>
      <c r="BC23" s="59"/>
      <c r="BD23" s="59"/>
      <c r="BE23" s="145"/>
      <c r="BF23" s="145"/>
    </row>
    <row r="24" spans="1:58" s="30" customFormat="1" x14ac:dyDescent="0.25">
      <c r="A24" s="63"/>
      <c r="B24" s="55"/>
      <c r="C24" s="60"/>
      <c r="D24" s="63"/>
      <c r="E24" s="60"/>
      <c r="F24" s="60"/>
      <c r="G24" s="55"/>
      <c r="H24" s="57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55" t="str">
        <f>CONCATENATE(B24,"-",'Вспомогательный лист'!Q24)</f>
        <v>-0</v>
      </c>
      <c r="Z24" s="55" t="str">
        <f t="shared" si="0"/>
        <v>_</v>
      </c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5"/>
      <c r="BB24" s="62"/>
      <c r="BC24" s="59"/>
      <c r="BD24" s="59"/>
      <c r="BE24" s="145"/>
      <c r="BF24" s="145"/>
    </row>
    <row r="25" spans="1:58" s="30" customFormat="1" x14ac:dyDescent="0.25">
      <c r="A25" s="63"/>
      <c r="B25" s="55"/>
      <c r="C25" s="60"/>
      <c r="D25" s="63"/>
      <c r="E25" s="60"/>
      <c r="F25" s="60"/>
      <c r="G25" s="55"/>
      <c r="H25" s="57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55" t="str">
        <f>CONCATENATE(B25,"-",'Вспомогательный лист'!Q25)</f>
        <v>-0</v>
      </c>
      <c r="Z25" s="55" t="str">
        <f t="shared" si="0"/>
        <v>_</v>
      </c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5"/>
      <c r="BB25" s="62"/>
      <c r="BC25" s="59"/>
      <c r="BD25" s="59"/>
      <c r="BE25" s="145"/>
      <c r="BF25" s="145"/>
    </row>
    <row r="26" spans="1:58" s="30" customFormat="1" x14ac:dyDescent="0.25">
      <c r="A26" s="63"/>
      <c r="B26" s="55"/>
      <c r="C26" s="60"/>
      <c r="D26" s="63"/>
      <c r="E26" s="60"/>
      <c r="F26" s="60"/>
      <c r="G26" s="55"/>
      <c r="H26" s="57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55" t="str">
        <f>CONCATENATE(B26,"-",'Вспомогательный лист'!Q26)</f>
        <v>-0</v>
      </c>
      <c r="Z26" s="55" t="str">
        <f t="shared" si="0"/>
        <v>_</v>
      </c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5"/>
      <c r="BB26" s="62"/>
      <c r="BC26" s="59"/>
      <c r="BD26" s="59"/>
      <c r="BE26" s="145"/>
      <c r="BF26" s="145"/>
    </row>
    <row r="27" spans="1:58" s="30" customFormat="1" x14ac:dyDescent="0.25">
      <c r="A27" s="63"/>
      <c r="B27" s="55"/>
      <c r="C27" s="60"/>
      <c r="D27" s="63"/>
      <c r="E27" s="60"/>
      <c r="F27" s="60"/>
      <c r="G27" s="55"/>
      <c r="H27" s="57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55" t="str">
        <f>CONCATENATE(B27,"-",'Вспомогательный лист'!Q27)</f>
        <v>-0</v>
      </c>
      <c r="Z27" s="55" t="str">
        <f t="shared" si="0"/>
        <v>_</v>
      </c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5"/>
      <c r="BB27" s="62"/>
      <c r="BC27" s="59"/>
      <c r="BD27" s="59"/>
      <c r="BE27" s="145"/>
      <c r="BF27" s="145"/>
    </row>
    <row r="28" spans="1:58" s="30" customFormat="1" x14ac:dyDescent="0.25">
      <c r="A28" s="63"/>
      <c r="B28" s="55"/>
      <c r="C28" s="60"/>
      <c r="D28" s="63"/>
      <c r="E28" s="60"/>
      <c r="F28" s="60"/>
      <c r="G28" s="55"/>
      <c r="H28" s="57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55" t="str">
        <f>CONCATENATE(B28,"-",'Вспомогательный лист'!Q28)</f>
        <v>-0</v>
      </c>
      <c r="Z28" s="55" t="str">
        <f t="shared" si="0"/>
        <v>_</v>
      </c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5"/>
      <c r="BB28" s="62"/>
      <c r="BC28" s="59"/>
      <c r="BD28" s="59"/>
      <c r="BE28" s="145"/>
      <c r="BF28" s="145"/>
    </row>
    <row r="29" spans="1:58" s="30" customFormat="1" x14ac:dyDescent="0.25">
      <c r="A29" s="63"/>
      <c r="B29" s="55"/>
      <c r="C29" s="60"/>
      <c r="D29" s="63"/>
      <c r="E29" s="60"/>
      <c r="F29" s="60"/>
      <c r="G29" s="55"/>
      <c r="H29" s="57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55" t="str">
        <f>CONCATENATE(B29,"-",'Вспомогательный лист'!Q29)</f>
        <v>-0</v>
      </c>
      <c r="Z29" s="55" t="str">
        <f t="shared" si="0"/>
        <v>_</v>
      </c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5"/>
      <c r="BB29" s="62"/>
      <c r="BC29" s="59"/>
      <c r="BD29" s="59"/>
      <c r="BE29" s="145"/>
      <c r="BF29" s="145"/>
    </row>
    <row r="30" spans="1:58" s="30" customFormat="1" x14ac:dyDescent="0.25">
      <c r="A30" s="63"/>
      <c r="B30" s="55"/>
      <c r="C30" s="60"/>
      <c r="D30" s="63"/>
      <c r="E30" s="60"/>
      <c r="F30" s="60"/>
      <c r="G30" s="55"/>
      <c r="H30" s="57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55" t="str">
        <f>CONCATENATE(B30,"-",'Вспомогательный лист'!Q30)</f>
        <v>-0</v>
      </c>
      <c r="Z30" s="55" t="str">
        <f t="shared" si="0"/>
        <v>_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5"/>
      <c r="BB30" s="62"/>
      <c r="BC30" s="59"/>
      <c r="BD30" s="59"/>
      <c r="BE30" s="145"/>
      <c r="BF30" s="145"/>
    </row>
    <row r="31" spans="1:58" s="30" customFormat="1" x14ac:dyDescent="0.25">
      <c r="A31" s="63"/>
      <c r="B31" s="55"/>
      <c r="C31" s="60"/>
      <c r="D31" s="64"/>
      <c r="E31" s="60"/>
      <c r="F31" s="61"/>
      <c r="G31" s="55"/>
      <c r="H31" s="57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55" t="str">
        <f>CONCATENATE(B31,"-",'Вспомогательный лист'!Q31)</f>
        <v>-0</v>
      </c>
      <c r="Z31" s="55" t="str">
        <f t="shared" si="0"/>
        <v>_</v>
      </c>
      <c r="AA31" s="61"/>
      <c r="AB31" s="61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5"/>
      <c r="BB31" s="58"/>
      <c r="BC31" s="59"/>
      <c r="BD31" s="59"/>
      <c r="BE31" s="145"/>
      <c r="BF31" s="145"/>
    </row>
    <row r="32" spans="1:58" s="30" customFormat="1" x14ac:dyDescent="0.25">
      <c r="A32" s="63"/>
      <c r="B32" s="55"/>
      <c r="C32" s="60"/>
      <c r="D32" s="63"/>
      <c r="E32" s="60"/>
      <c r="F32" s="60"/>
      <c r="G32" s="55"/>
      <c r="H32" s="57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55" t="str">
        <f>CONCATENATE(B32,"-",'Вспомогательный лист'!Q32)</f>
        <v>-0</v>
      </c>
      <c r="Z32" s="55" t="str">
        <f t="shared" si="0"/>
        <v>_</v>
      </c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5"/>
      <c r="BB32" s="62"/>
      <c r="BC32" s="59"/>
      <c r="BD32" s="59"/>
      <c r="BE32" s="145"/>
      <c r="BF32" s="145"/>
    </row>
    <row r="33" spans="1:58" s="30" customFormat="1" x14ac:dyDescent="0.25">
      <c r="A33" s="63"/>
      <c r="B33" s="55"/>
      <c r="C33" s="60"/>
      <c r="D33" s="63"/>
      <c r="E33" s="60"/>
      <c r="F33" s="60"/>
      <c r="G33" s="55"/>
      <c r="H33" s="57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55" t="str">
        <f>CONCATENATE(B33,"-",'Вспомогательный лист'!Q33)</f>
        <v>-0</v>
      </c>
      <c r="Z33" s="55" t="str">
        <f t="shared" si="0"/>
        <v>_</v>
      </c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5"/>
      <c r="BB33" s="62"/>
      <c r="BC33" s="59"/>
      <c r="BD33" s="59"/>
      <c r="BE33" s="145"/>
      <c r="BF33" s="145"/>
    </row>
    <row r="34" spans="1:58" s="30" customFormat="1" x14ac:dyDescent="0.25">
      <c r="A34" s="63"/>
      <c r="B34" s="55"/>
      <c r="C34" s="60"/>
      <c r="D34" s="63"/>
      <c r="E34" s="60"/>
      <c r="F34" s="60"/>
      <c r="G34" s="55"/>
      <c r="H34" s="57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55" t="str">
        <f>CONCATENATE(B34,"-",'Вспомогательный лист'!Q34)</f>
        <v>-0</v>
      </c>
      <c r="Z34" s="55" t="str">
        <f t="shared" si="0"/>
        <v>_</v>
      </c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5"/>
      <c r="BB34" s="62"/>
      <c r="BC34" s="59"/>
      <c r="BD34" s="59"/>
      <c r="BE34" s="145"/>
      <c r="BF34" s="145"/>
    </row>
    <row r="35" spans="1:58" s="30" customFormat="1" x14ac:dyDescent="0.25">
      <c r="A35" s="63"/>
      <c r="B35" s="55"/>
      <c r="C35" s="60"/>
      <c r="D35" s="63"/>
      <c r="E35" s="60"/>
      <c r="F35" s="60"/>
      <c r="G35" s="55"/>
      <c r="H35" s="57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55" t="str">
        <f>CONCATENATE(B35,"-",'Вспомогательный лист'!Q35)</f>
        <v>-0</v>
      </c>
      <c r="Z35" s="55" t="str">
        <f t="shared" si="0"/>
        <v>_</v>
      </c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5"/>
      <c r="BB35" s="62"/>
      <c r="BC35" s="59"/>
      <c r="BD35" s="59"/>
      <c r="BE35" s="145"/>
      <c r="BF35" s="145"/>
    </row>
    <row r="36" spans="1:58" s="30" customFormat="1" x14ac:dyDescent="0.25">
      <c r="A36" s="63"/>
      <c r="B36" s="55"/>
      <c r="C36" s="60"/>
      <c r="D36" s="63"/>
      <c r="E36" s="60"/>
      <c r="F36" s="60"/>
      <c r="G36" s="55"/>
      <c r="H36" s="57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55" t="str">
        <f>CONCATENATE(B36,"-",'Вспомогательный лист'!Q36)</f>
        <v>-0</v>
      </c>
      <c r="Z36" s="55" t="str">
        <f t="shared" si="0"/>
        <v>_</v>
      </c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5"/>
      <c r="BB36" s="62"/>
      <c r="BC36" s="59"/>
      <c r="BD36" s="59"/>
      <c r="BE36" s="145"/>
      <c r="BF36" s="145"/>
    </row>
    <row r="37" spans="1:58" s="30" customFormat="1" x14ac:dyDescent="0.25">
      <c r="A37" s="63"/>
      <c r="B37" s="55"/>
      <c r="C37" s="60"/>
      <c r="D37" s="63"/>
      <c r="E37" s="60"/>
      <c r="F37" s="60"/>
      <c r="G37" s="55"/>
      <c r="H37" s="57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55" t="str">
        <f>CONCATENATE(B37,"-",'Вспомогательный лист'!Q37)</f>
        <v>-0</v>
      </c>
      <c r="Z37" s="55" t="str">
        <f t="shared" si="0"/>
        <v>_</v>
      </c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5"/>
      <c r="BB37" s="62"/>
      <c r="BC37" s="59"/>
      <c r="BD37" s="59"/>
      <c r="BE37" s="145"/>
      <c r="BF37" s="145"/>
    </row>
    <row r="38" spans="1:58" s="30" customFormat="1" x14ac:dyDescent="0.25">
      <c r="A38" s="63"/>
      <c r="B38" s="55"/>
      <c r="C38" s="60"/>
      <c r="D38" s="64"/>
      <c r="E38" s="60"/>
      <c r="F38" s="61"/>
      <c r="G38" s="55"/>
      <c r="H38" s="57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55" t="str">
        <f>CONCATENATE(B38,"-",'Вспомогательный лист'!Q38)</f>
        <v>-0</v>
      </c>
      <c r="Z38" s="55" t="str">
        <f t="shared" si="0"/>
        <v>_</v>
      </c>
      <c r="AA38" s="61"/>
      <c r="AB38" s="61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5"/>
      <c r="BB38" s="58"/>
      <c r="BC38" s="59"/>
      <c r="BD38" s="59"/>
      <c r="BE38" s="145"/>
      <c r="BF38" s="145"/>
    </row>
    <row r="39" spans="1:58" s="30" customFormat="1" x14ac:dyDescent="0.25">
      <c r="A39" s="63"/>
      <c r="B39" s="55"/>
      <c r="C39" s="60"/>
      <c r="D39" s="63"/>
      <c r="E39" s="60"/>
      <c r="F39" s="60"/>
      <c r="G39" s="55"/>
      <c r="H39" s="57"/>
      <c r="I39" s="55"/>
      <c r="J39" s="55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55" t="str">
        <f>CONCATENATE(B39,"-",'Вспомогательный лист'!Q39)</f>
        <v>-0</v>
      </c>
      <c r="Z39" s="55" t="str">
        <f t="shared" si="0"/>
        <v>_</v>
      </c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5"/>
      <c r="BB39" s="62"/>
      <c r="BC39" s="59"/>
      <c r="BD39" s="59"/>
      <c r="BE39" s="145"/>
      <c r="BF39" s="145"/>
    </row>
    <row r="40" spans="1:58" s="30" customFormat="1" x14ac:dyDescent="0.25">
      <c r="A40" s="63"/>
      <c r="B40" s="55"/>
      <c r="C40" s="60"/>
      <c r="D40" s="63"/>
      <c r="E40" s="60"/>
      <c r="F40" s="60"/>
      <c r="G40" s="55"/>
      <c r="H40" s="57"/>
      <c r="I40" s="55"/>
      <c r="J40" s="55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55" t="str">
        <f>CONCATENATE(B40,"-",'Вспомогательный лист'!Q40)</f>
        <v>-0</v>
      </c>
      <c r="Z40" s="55" t="str">
        <f t="shared" si="0"/>
        <v>_</v>
      </c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5"/>
      <c r="BB40" s="62"/>
      <c r="BC40" s="59"/>
      <c r="BD40" s="59"/>
      <c r="BE40" s="145"/>
      <c r="BF40" s="145"/>
    </row>
  </sheetData>
  <autoFilter ref="A4:BF2745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40"/>
  <sheetViews>
    <sheetView zoomScale="70" zoomScaleNormal="70" workbookViewId="0">
      <selection activeCell="C16" sqref="C16"/>
    </sheetView>
  </sheetViews>
  <sheetFormatPr defaultRowHeight="15" x14ac:dyDescent="0.25"/>
  <cols>
    <col min="1" max="1" width="14.85546875" style="26" customWidth="1"/>
    <col min="2" max="2" width="21.5703125" style="22" bestFit="1" customWidth="1"/>
    <col min="3" max="3" width="23.28515625" style="26" bestFit="1" customWidth="1"/>
    <col min="4" max="4" width="41.5703125" style="26" bestFit="1" customWidth="1"/>
    <col min="5" max="5" width="31" style="22" customWidth="1"/>
    <col min="6" max="6" width="16.140625" style="26" customWidth="1"/>
    <col min="7" max="7" width="9.140625" style="39"/>
    <col min="8" max="8" width="14.140625" style="26" bestFit="1" customWidth="1"/>
    <col min="9" max="9" width="9.140625" style="26"/>
    <col min="10" max="10" width="9.140625" style="22"/>
    <col min="11" max="11" width="11.140625" style="26" customWidth="1"/>
    <col min="12" max="12" width="13.42578125" style="26" bestFit="1" customWidth="1"/>
  </cols>
  <sheetData>
    <row r="1" spans="1:13" ht="102.75" customHeight="1" x14ac:dyDescent="0.25">
      <c r="A1" s="1" t="s">
        <v>115</v>
      </c>
      <c r="B1" s="6" t="s">
        <v>116</v>
      </c>
      <c r="C1" s="1" t="s">
        <v>117</v>
      </c>
      <c r="D1" s="1"/>
      <c r="E1" s="6" t="s">
        <v>7</v>
      </c>
      <c r="F1" s="1" t="s">
        <v>104</v>
      </c>
      <c r="G1" s="37" t="s">
        <v>104</v>
      </c>
      <c r="H1" s="1" t="s">
        <v>105</v>
      </c>
      <c r="I1" s="3"/>
      <c r="J1" s="6" t="s">
        <v>106</v>
      </c>
      <c r="K1"/>
      <c r="L1"/>
    </row>
    <row r="2" spans="1:13" ht="49.5" customHeight="1" x14ac:dyDescent="0.25">
      <c r="A2" s="1"/>
      <c r="B2" s="6"/>
      <c r="C2" s="1"/>
      <c r="D2" s="1"/>
      <c r="E2" s="6" t="s">
        <v>118</v>
      </c>
      <c r="F2" s="1" t="s">
        <v>119</v>
      </c>
      <c r="G2" s="37" t="s">
        <v>120</v>
      </c>
      <c r="H2" s="1" t="s">
        <v>121</v>
      </c>
      <c r="I2" s="1" t="s">
        <v>122</v>
      </c>
      <c r="J2" s="6" t="s">
        <v>108</v>
      </c>
      <c r="K2"/>
      <c r="L2"/>
    </row>
    <row r="3" spans="1:13" ht="25.5" customHeight="1" x14ac:dyDescent="0.25">
      <c r="A3" s="1"/>
      <c r="B3" s="6"/>
      <c r="C3" s="1"/>
      <c r="D3" s="1"/>
      <c r="E3" s="12" t="s">
        <v>54</v>
      </c>
      <c r="F3" s="1" t="s">
        <v>123</v>
      </c>
      <c r="G3" s="37" t="s">
        <v>124</v>
      </c>
      <c r="H3" s="1" t="s">
        <v>125</v>
      </c>
      <c r="I3" s="3" t="s">
        <v>126</v>
      </c>
      <c r="J3" s="143" t="s">
        <v>127</v>
      </c>
      <c r="K3"/>
      <c r="L3"/>
    </row>
    <row r="4" spans="1:13" ht="60" x14ac:dyDescent="0.25">
      <c r="A4" s="5" t="s">
        <v>0</v>
      </c>
      <c r="B4" s="5" t="s">
        <v>1</v>
      </c>
      <c r="C4" s="5" t="s">
        <v>2</v>
      </c>
      <c r="D4" s="4" t="s">
        <v>3</v>
      </c>
      <c r="E4" s="4" t="s">
        <v>80</v>
      </c>
      <c r="F4" s="4" t="s">
        <v>111</v>
      </c>
      <c r="G4" s="4" t="s">
        <v>112</v>
      </c>
      <c r="H4" s="4" t="s">
        <v>113</v>
      </c>
      <c r="I4" s="2"/>
      <c r="J4" s="4" t="s">
        <v>114</v>
      </c>
      <c r="K4" s="142"/>
      <c r="L4" s="142"/>
      <c r="M4" s="28"/>
    </row>
    <row r="5" spans="1:13" s="18" customFormat="1" x14ac:dyDescent="0.25">
      <c r="A5" s="17" t="str">
        <f>IF(ISBLANK('Лист2-ЭЛЕМЕНТ'!A5),"",'Лист2-ЭЛЕМЕНТ'!A5)</f>
        <v/>
      </c>
      <c r="B5" s="17" t="str">
        <f>IF(ISBLANK('Лист2-ЭЛЕМЕНТ'!B5),"",'Лист2-ЭЛЕМЕНТ'!B5)</f>
        <v/>
      </c>
      <c r="C5" s="17" t="str">
        <f>IF(ISBLANK('Лист2-ЭЛЕМЕНТ'!C5),"",'Лист2-ЭЛЕМЕНТ'!C5)</f>
        <v/>
      </c>
      <c r="D5" s="23" t="str">
        <f>IF(ISBLANK('Лист2-ЭЛЕМЕНТ'!D5),"",'Лист2-ЭЛЕМЕНТ'!D5)</f>
        <v/>
      </c>
      <c r="E5" s="19" t="str">
        <f>IF(ISBLANK('Лист2-ЭЛЕМЕНТ'!Z5),"",'Лист2-ЭЛЕМЕНТ'!Z5)</f>
        <v>_</v>
      </c>
      <c r="F5" s="20" t="str">
        <f>IF(ISBLANK('Лист2-ЭЛЕМЕНТ'!H5),"",'Лист2-ЭЛЕМЕНТ'!H5)</f>
        <v/>
      </c>
      <c r="G5" s="38" t="str">
        <f>IF(ISBLANK('Лист2-ЭЛЕМЕНТ'!BA5), "",'Лист2-ЭЛЕМЕНТ'!BA5)</f>
        <v/>
      </c>
      <c r="H5" s="19"/>
      <c r="I5" s="19"/>
      <c r="J5" s="24" t="s">
        <v>195</v>
      </c>
    </row>
    <row r="6" spans="1:13" s="18" customFormat="1" x14ac:dyDescent="0.25">
      <c r="A6" s="17" t="str">
        <f>IF(ISBLANK('Лист2-ЭЛЕМЕНТ'!A6),"",'Лист2-ЭЛЕМЕНТ'!A6)</f>
        <v/>
      </c>
      <c r="B6" s="17" t="str">
        <f>IF(ISBLANK('Лист2-ЭЛЕМЕНТ'!B6),"",'Лист2-ЭЛЕМЕНТ'!B6)</f>
        <v/>
      </c>
      <c r="C6" s="17" t="str">
        <f>IF(ISBLANK('Лист2-ЭЛЕМЕНТ'!C6),"",'Лист2-ЭЛЕМЕНТ'!C6)</f>
        <v/>
      </c>
      <c r="D6" s="23" t="str">
        <f>IF(ISBLANK('Лист2-ЭЛЕМЕНТ'!D6),"",'Лист2-ЭЛЕМЕНТ'!D6)</f>
        <v/>
      </c>
      <c r="E6" s="19" t="str">
        <f>IF(ISBLANK('Лист2-ЭЛЕМЕНТ'!Z6),"",'Лист2-ЭЛЕМЕНТ'!Z6)</f>
        <v>_</v>
      </c>
      <c r="F6" s="20" t="str">
        <f>IF(ISBLANK('Лист2-ЭЛЕМЕНТ'!H6),"",'Лист2-ЭЛЕМЕНТ'!H6)</f>
        <v/>
      </c>
      <c r="G6" s="38" t="str">
        <f>IF(ISBLANK('Лист2-ЭЛЕМЕНТ'!BA6), "",'Лист2-ЭЛЕМЕНТ'!BA6)</f>
        <v/>
      </c>
      <c r="H6" s="19"/>
      <c r="I6" s="19"/>
      <c r="J6" s="24" t="s">
        <v>195</v>
      </c>
    </row>
    <row r="7" spans="1:13" s="18" customFormat="1" x14ac:dyDescent="0.25">
      <c r="A7" s="17" t="str">
        <f>IF(ISBLANK('Лист2-ЭЛЕМЕНТ'!A7),"",'Лист2-ЭЛЕМЕНТ'!A7)</f>
        <v/>
      </c>
      <c r="B7" s="17" t="str">
        <f>IF(ISBLANK('Лист2-ЭЛЕМЕНТ'!B7),"",'Лист2-ЭЛЕМЕНТ'!B7)</f>
        <v/>
      </c>
      <c r="C7" s="17" t="str">
        <f>IF(ISBLANK('Лист2-ЭЛЕМЕНТ'!C7),"",'Лист2-ЭЛЕМЕНТ'!C7)</f>
        <v/>
      </c>
      <c r="D7" s="23" t="str">
        <f>IF(ISBLANK('Лист2-ЭЛЕМЕНТ'!D7),"",'Лист2-ЭЛЕМЕНТ'!D7)</f>
        <v/>
      </c>
      <c r="E7" s="19" t="str">
        <f>IF(ISBLANK('Лист2-ЭЛЕМЕНТ'!Z7),"",'Лист2-ЭЛЕМЕНТ'!Z7)</f>
        <v>_</v>
      </c>
      <c r="F7" s="20" t="str">
        <f>IF(ISBLANK('Лист2-ЭЛЕМЕНТ'!H7),"",'Лист2-ЭЛЕМЕНТ'!H7)</f>
        <v/>
      </c>
      <c r="G7" s="38" t="str">
        <f>IF(ISBLANK('Лист2-ЭЛЕМЕНТ'!BA7), "",'Лист2-ЭЛЕМЕНТ'!BA7)</f>
        <v/>
      </c>
      <c r="H7" s="19"/>
      <c r="I7" s="19"/>
      <c r="J7" s="24" t="s">
        <v>195</v>
      </c>
    </row>
    <row r="8" spans="1:13" s="18" customFormat="1" x14ac:dyDescent="0.25">
      <c r="A8" s="17" t="str">
        <f>IF(ISBLANK('Лист2-ЭЛЕМЕНТ'!A8),"",'Лист2-ЭЛЕМЕНТ'!A8)</f>
        <v/>
      </c>
      <c r="B8" s="17" t="str">
        <f>IF(ISBLANK('Лист2-ЭЛЕМЕНТ'!B8),"",'Лист2-ЭЛЕМЕНТ'!B8)</f>
        <v/>
      </c>
      <c r="C8" s="17" t="str">
        <f>IF(ISBLANK('Лист2-ЭЛЕМЕНТ'!C8),"",'Лист2-ЭЛЕМЕНТ'!C8)</f>
        <v/>
      </c>
      <c r="D8" s="23" t="str">
        <f>IF(ISBLANK('Лист2-ЭЛЕМЕНТ'!D8),"",'Лист2-ЭЛЕМЕНТ'!D8)</f>
        <v/>
      </c>
      <c r="E8" s="19" t="str">
        <f>IF(ISBLANK('Лист2-ЭЛЕМЕНТ'!Z8),"",'Лист2-ЭЛЕМЕНТ'!Z8)</f>
        <v>_</v>
      </c>
      <c r="F8" s="20" t="str">
        <f>IF(ISBLANK('Лист2-ЭЛЕМЕНТ'!H8),"",'Лист2-ЭЛЕМЕНТ'!H8)</f>
        <v/>
      </c>
      <c r="G8" s="38" t="str">
        <f>IF(ISBLANK('Лист2-ЭЛЕМЕНТ'!BA8), "",'Лист2-ЭЛЕМЕНТ'!BA8)</f>
        <v/>
      </c>
      <c r="H8" s="19"/>
      <c r="I8" s="19"/>
      <c r="J8" s="24" t="s">
        <v>195</v>
      </c>
    </row>
    <row r="9" spans="1:13" s="18" customFormat="1" x14ac:dyDescent="0.25">
      <c r="A9" s="17" t="str">
        <f>IF(ISBLANK('Лист2-ЭЛЕМЕНТ'!A9),"",'Лист2-ЭЛЕМЕНТ'!A9)</f>
        <v/>
      </c>
      <c r="B9" s="17" t="str">
        <f>IF(ISBLANK('Лист2-ЭЛЕМЕНТ'!B9),"",'Лист2-ЭЛЕМЕНТ'!B9)</f>
        <v/>
      </c>
      <c r="C9" s="17" t="str">
        <f>IF(ISBLANK('Лист2-ЭЛЕМЕНТ'!C9),"",'Лист2-ЭЛЕМЕНТ'!C9)</f>
        <v/>
      </c>
      <c r="D9" s="23" t="str">
        <f>IF(ISBLANK('Лист2-ЭЛЕМЕНТ'!D9),"",'Лист2-ЭЛЕМЕНТ'!D9)</f>
        <v/>
      </c>
      <c r="E9" s="19" t="str">
        <f>IF(ISBLANK('Лист2-ЭЛЕМЕНТ'!Z9),"",'Лист2-ЭЛЕМЕНТ'!Z9)</f>
        <v>_</v>
      </c>
      <c r="F9" s="20" t="str">
        <f>IF(ISBLANK('Лист2-ЭЛЕМЕНТ'!H9),"",'Лист2-ЭЛЕМЕНТ'!H9)</f>
        <v/>
      </c>
      <c r="G9" s="38" t="str">
        <f>IF(ISBLANK('Лист2-ЭЛЕМЕНТ'!BA9), "",'Лист2-ЭЛЕМЕНТ'!BA9)</f>
        <v/>
      </c>
      <c r="H9" s="19"/>
      <c r="I9" s="19"/>
      <c r="J9" s="24" t="s">
        <v>195</v>
      </c>
    </row>
    <row r="10" spans="1:13" s="18" customFormat="1" x14ac:dyDescent="0.25">
      <c r="A10" s="17" t="str">
        <f>IF(ISBLANK('Лист2-ЭЛЕМЕНТ'!A10),"",'Лист2-ЭЛЕМЕНТ'!A10)</f>
        <v/>
      </c>
      <c r="B10" s="17" t="str">
        <f>IF(ISBLANK('Лист2-ЭЛЕМЕНТ'!B10),"",'Лист2-ЭЛЕМЕНТ'!B10)</f>
        <v/>
      </c>
      <c r="C10" s="17" t="str">
        <f>IF(ISBLANK('Лист2-ЭЛЕМЕНТ'!C10),"",'Лист2-ЭЛЕМЕНТ'!C10)</f>
        <v/>
      </c>
      <c r="D10" s="23" t="str">
        <f>IF(ISBLANK('Лист2-ЭЛЕМЕНТ'!D10),"",'Лист2-ЭЛЕМЕНТ'!D10)</f>
        <v/>
      </c>
      <c r="E10" s="19" t="str">
        <f>IF(ISBLANK('Лист2-ЭЛЕМЕНТ'!Z10),"",'Лист2-ЭЛЕМЕНТ'!Z10)</f>
        <v>_</v>
      </c>
      <c r="F10" s="20" t="str">
        <f>IF(ISBLANK('Лист2-ЭЛЕМЕНТ'!H10),"",'Лист2-ЭЛЕМЕНТ'!H10)</f>
        <v/>
      </c>
      <c r="G10" s="38" t="str">
        <f>IF(ISBLANK('Лист2-ЭЛЕМЕНТ'!BA10), "",'Лист2-ЭЛЕМЕНТ'!BA10)</f>
        <v/>
      </c>
      <c r="H10" s="19"/>
      <c r="I10" s="19"/>
      <c r="J10" s="24" t="s">
        <v>195</v>
      </c>
    </row>
    <row r="11" spans="1:13" s="18" customFormat="1" x14ac:dyDescent="0.25">
      <c r="A11" s="17" t="str">
        <f>IF(ISBLANK('Лист2-ЭЛЕМЕНТ'!A11),"",'Лист2-ЭЛЕМЕНТ'!A11)</f>
        <v/>
      </c>
      <c r="B11" s="17" t="str">
        <f>IF(ISBLANK('Лист2-ЭЛЕМЕНТ'!B11),"",'Лист2-ЭЛЕМЕНТ'!B11)</f>
        <v/>
      </c>
      <c r="C11" s="17" t="str">
        <f>IF(ISBLANK('Лист2-ЭЛЕМЕНТ'!C11),"",'Лист2-ЭЛЕМЕНТ'!C11)</f>
        <v/>
      </c>
      <c r="D11" s="23" t="str">
        <f>IF(ISBLANK('Лист2-ЭЛЕМЕНТ'!D11),"",'Лист2-ЭЛЕМЕНТ'!D11)</f>
        <v/>
      </c>
      <c r="E11" s="19" t="str">
        <f>IF(ISBLANK('Лист2-ЭЛЕМЕНТ'!Z11),"",'Лист2-ЭЛЕМЕНТ'!Z11)</f>
        <v>_</v>
      </c>
      <c r="F11" s="20" t="str">
        <f>IF(ISBLANK('Лист2-ЭЛЕМЕНТ'!H11),"",'Лист2-ЭЛЕМЕНТ'!H11)</f>
        <v/>
      </c>
      <c r="G11" s="38" t="str">
        <f>IF(ISBLANK('Лист2-ЭЛЕМЕНТ'!BA11), "",'Лист2-ЭЛЕМЕНТ'!BA11)</f>
        <v/>
      </c>
      <c r="H11" s="19"/>
      <c r="I11" s="19"/>
      <c r="J11" s="24" t="s">
        <v>195</v>
      </c>
    </row>
    <row r="12" spans="1:13" s="18" customFormat="1" x14ac:dyDescent="0.25">
      <c r="A12" s="17" t="str">
        <f>IF(ISBLANK('Лист2-ЭЛЕМЕНТ'!A12),"",'Лист2-ЭЛЕМЕНТ'!A12)</f>
        <v/>
      </c>
      <c r="B12" s="17" t="str">
        <f>IF(ISBLANK('Лист2-ЭЛЕМЕНТ'!B12),"",'Лист2-ЭЛЕМЕНТ'!B12)</f>
        <v/>
      </c>
      <c r="C12" s="17" t="str">
        <f>IF(ISBLANK('Лист2-ЭЛЕМЕНТ'!C12),"",'Лист2-ЭЛЕМЕНТ'!C12)</f>
        <v/>
      </c>
      <c r="D12" s="23" t="str">
        <f>IF(ISBLANK('Лист2-ЭЛЕМЕНТ'!D12),"",'Лист2-ЭЛЕМЕНТ'!D12)</f>
        <v/>
      </c>
      <c r="E12" s="19" t="str">
        <f>IF(ISBLANK('Лист2-ЭЛЕМЕНТ'!Z12),"",'Лист2-ЭЛЕМЕНТ'!Z12)</f>
        <v>_</v>
      </c>
      <c r="F12" s="20" t="str">
        <f>IF(ISBLANK('Лист2-ЭЛЕМЕНТ'!H12),"",'Лист2-ЭЛЕМЕНТ'!H12)</f>
        <v/>
      </c>
      <c r="G12" s="38" t="str">
        <f>IF(ISBLANK('Лист2-ЭЛЕМЕНТ'!BA12), "",'Лист2-ЭЛЕМЕНТ'!BA12)</f>
        <v/>
      </c>
      <c r="H12" s="19"/>
      <c r="I12" s="19"/>
      <c r="J12" s="24" t="s">
        <v>195</v>
      </c>
    </row>
    <row r="13" spans="1:13" s="18" customFormat="1" x14ac:dyDescent="0.25">
      <c r="A13" s="17" t="str">
        <f>IF(ISBLANK('Лист2-ЭЛЕМЕНТ'!A13),"",'Лист2-ЭЛЕМЕНТ'!A13)</f>
        <v/>
      </c>
      <c r="B13" s="17" t="str">
        <f>IF(ISBLANK('Лист2-ЭЛЕМЕНТ'!B13),"",'Лист2-ЭЛЕМЕНТ'!B13)</f>
        <v/>
      </c>
      <c r="C13" s="17" t="str">
        <f>IF(ISBLANK('Лист2-ЭЛЕМЕНТ'!C13),"",'Лист2-ЭЛЕМЕНТ'!C13)</f>
        <v/>
      </c>
      <c r="D13" s="23" t="str">
        <f>IF(ISBLANK('Лист2-ЭЛЕМЕНТ'!D13),"",'Лист2-ЭЛЕМЕНТ'!D13)</f>
        <v/>
      </c>
      <c r="E13" s="19" t="str">
        <f>IF(ISBLANK('Лист2-ЭЛЕМЕНТ'!Z13),"",'Лист2-ЭЛЕМЕНТ'!Z13)</f>
        <v>_</v>
      </c>
      <c r="F13" s="20" t="str">
        <f>IF(ISBLANK('Лист2-ЭЛЕМЕНТ'!H13),"",'Лист2-ЭЛЕМЕНТ'!H13)</f>
        <v/>
      </c>
      <c r="G13" s="38" t="str">
        <f>IF(ISBLANK('Лист2-ЭЛЕМЕНТ'!BA13), "",'Лист2-ЭЛЕМЕНТ'!BA13)</f>
        <v/>
      </c>
      <c r="H13" s="19"/>
      <c r="I13" s="19"/>
      <c r="J13" s="24" t="s">
        <v>195</v>
      </c>
    </row>
    <row r="14" spans="1:13" s="25" customFormat="1" x14ac:dyDescent="0.25">
      <c r="A14" s="17" t="str">
        <f>IF(ISBLANK('Лист2-ЭЛЕМЕНТ'!A14),"",'Лист2-ЭЛЕМЕНТ'!A14)</f>
        <v/>
      </c>
      <c r="B14" s="17" t="str">
        <f>IF(ISBLANK('Лист2-ЭЛЕМЕНТ'!B14),"",'Лист2-ЭЛЕМЕНТ'!B14)</f>
        <v/>
      </c>
      <c r="C14" s="17" t="str">
        <f>IF(ISBLANK('Лист2-ЭЛЕМЕНТ'!C14),"",'Лист2-ЭЛЕМЕНТ'!C14)</f>
        <v/>
      </c>
      <c r="D14" s="23" t="str">
        <f>IF(ISBLANK('Лист2-ЭЛЕМЕНТ'!D14),"",'Лист2-ЭЛЕМЕНТ'!D14)</f>
        <v/>
      </c>
      <c r="E14" s="19" t="str">
        <f>IF(ISBLANK('Лист2-ЭЛЕМЕНТ'!Z14),"",'Лист2-ЭЛЕМЕНТ'!Z14)</f>
        <v>_</v>
      </c>
      <c r="F14" s="20" t="str">
        <f>IF(ISBLANK('Лист2-ЭЛЕМЕНТ'!H14),"",'Лист2-ЭЛЕМЕНТ'!H14)</f>
        <v/>
      </c>
      <c r="G14" s="38" t="str">
        <f>IF(ISBLANK('Лист2-ЭЛЕМЕНТ'!BA14), "",'Лист2-ЭЛЕМЕНТ'!BA14)</f>
        <v/>
      </c>
      <c r="H14" s="19"/>
      <c r="I14" s="19"/>
      <c r="J14" s="24" t="s">
        <v>195</v>
      </c>
      <c r="K14" s="18"/>
      <c r="L14" s="18"/>
      <c r="M14" s="18"/>
    </row>
    <row r="15" spans="1:13" x14ac:dyDescent="0.25">
      <c r="A15" s="17" t="str">
        <f>IF(ISBLANK('Лист2-ЭЛЕМЕНТ'!A15),"",'Лист2-ЭЛЕМЕНТ'!A15)</f>
        <v/>
      </c>
      <c r="B15" s="17" t="str">
        <f>IF(ISBLANK('Лист2-ЭЛЕМЕНТ'!B15),"",'Лист2-ЭЛЕМЕНТ'!B15)</f>
        <v/>
      </c>
      <c r="C15" s="17" t="str">
        <f>IF(ISBLANK('Лист2-ЭЛЕМЕНТ'!C15),"",'Лист2-ЭЛЕМЕНТ'!C15)</f>
        <v/>
      </c>
      <c r="D15" s="23" t="str">
        <f>IF(ISBLANK('Лист2-ЭЛЕМЕНТ'!D15),"",'Лист2-ЭЛЕМЕНТ'!D15)</f>
        <v/>
      </c>
      <c r="E15" s="19" t="str">
        <f>IF(ISBLANK('Лист2-ЭЛЕМЕНТ'!Z15),"",'Лист2-ЭЛЕМЕНТ'!Z15)</f>
        <v>_</v>
      </c>
      <c r="F15" s="20" t="str">
        <f>IF(ISBLANK('Лист2-ЭЛЕМЕНТ'!H15),"",'Лист2-ЭЛЕМЕНТ'!H15)</f>
        <v/>
      </c>
      <c r="G15" s="38" t="str">
        <f>IF(ISBLANK('Лист2-ЭЛЕМЕНТ'!BA15), "",'Лист2-ЭЛЕМЕНТ'!BA15)</f>
        <v/>
      </c>
      <c r="H15" s="19"/>
      <c r="I15" s="19"/>
      <c r="J15" s="24" t="s">
        <v>195</v>
      </c>
      <c r="K15" s="18"/>
      <c r="L15" s="18"/>
      <c r="M15" s="18"/>
    </row>
    <row r="16" spans="1:13" x14ac:dyDescent="0.25">
      <c r="A16" s="17" t="str">
        <f>IF(ISBLANK('Лист2-ЭЛЕМЕНТ'!A16),"",'Лист2-ЭЛЕМЕНТ'!A16)</f>
        <v/>
      </c>
      <c r="B16" s="17" t="str">
        <f>IF(ISBLANK('Лист2-ЭЛЕМЕНТ'!B16),"",'Лист2-ЭЛЕМЕНТ'!B16)</f>
        <v/>
      </c>
      <c r="C16" s="17" t="str">
        <f>IF(ISBLANK('Лист2-ЭЛЕМЕНТ'!C16),"",'Лист2-ЭЛЕМЕНТ'!C16)</f>
        <v/>
      </c>
      <c r="D16" s="23" t="str">
        <f>IF(ISBLANK('Лист2-ЭЛЕМЕНТ'!D16),"",'Лист2-ЭЛЕМЕНТ'!D16)</f>
        <v/>
      </c>
      <c r="E16" s="19" t="str">
        <f>IF(ISBLANK('Лист2-ЭЛЕМЕНТ'!Z16),"",'Лист2-ЭЛЕМЕНТ'!Z16)</f>
        <v>_</v>
      </c>
      <c r="F16" s="20" t="str">
        <f>IF(ISBLANK('Лист2-ЭЛЕМЕНТ'!H16),"",'Лист2-ЭЛЕМЕНТ'!H16)</f>
        <v/>
      </c>
      <c r="G16" s="38" t="str">
        <f>IF(ISBLANK('Лист2-ЭЛЕМЕНТ'!BA16), "",'Лист2-ЭЛЕМЕНТ'!BA16)</f>
        <v/>
      </c>
      <c r="H16" s="19"/>
      <c r="I16" s="19"/>
      <c r="J16" s="24" t="s">
        <v>195</v>
      </c>
      <c r="K16" s="18"/>
      <c r="L16" s="18"/>
      <c r="M16" s="18"/>
    </row>
    <row r="17" spans="1:13" x14ac:dyDescent="0.25">
      <c r="A17" s="17" t="str">
        <f>IF(ISBLANK('Лист2-ЭЛЕМЕНТ'!A17),"",'Лист2-ЭЛЕМЕНТ'!A17)</f>
        <v/>
      </c>
      <c r="B17" s="17" t="str">
        <f>IF(ISBLANK('Лист2-ЭЛЕМЕНТ'!B17),"",'Лист2-ЭЛЕМЕНТ'!B17)</f>
        <v/>
      </c>
      <c r="C17" s="17" t="str">
        <f>IF(ISBLANK('Лист2-ЭЛЕМЕНТ'!C17),"",'Лист2-ЭЛЕМЕНТ'!C17)</f>
        <v/>
      </c>
      <c r="D17" s="23" t="str">
        <f>IF(ISBLANK('Лист2-ЭЛЕМЕНТ'!D17),"",'Лист2-ЭЛЕМЕНТ'!D17)</f>
        <v/>
      </c>
      <c r="E17" s="19" t="str">
        <f>IF(ISBLANK('Лист2-ЭЛЕМЕНТ'!Z17),"",'Лист2-ЭЛЕМЕНТ'!Z17)</f>
        <v>_</v>
      </c>
      <c r="F17" s="20" t="str">
        <f>IF(ISBLANK('Лист2-ЭЛЕМЕНТ'!H17),"",'Лист2-ЭЛЕМЕНТ'!H17)</f>
        <v/>
      </c>
      <c r="G17" s="38" t="str">
        <f>IF(ISBLANK('Лист2-ЭЛЕМЕНТ'!BA17), "",'Лист2-ЭЛЕМЕНТ'!BA17)</f>
        <v/>
      </c>
      <c r="H17" s="19"/>
      <c r="I17" s="19"/>
      <c r="J17" s="24" t="s">
        <v>195</v>
      </c>
      <c r="K17" s="18"/>
      <c r="L17" s="18"/>
      <c r="M17" s="18"/>
    </row>
    <row r="18" spans="1:13" x14ac:dyDescent="0.25">
      <c r="A18" s="17" t="str">
        <f>IF(ISBLANK('Лист2-ЭЛЕМЕНТ'!A18),"",'Лист2-ЭЛЕМЕНТ'!A18)</f>
        <v/>
      </c>
      <c r="B18" s="17" t="str">
        <f>IF(ISBLANK('Лист2-ЭЛЕМЕНТ'!B18),"",'Лист2-ЭЛЕМЕНТ'!B18)</f>
        <v/>
      </c>
      <c r="C18" s="17" t="str">
        <f>IF(ISBLANK('Лист2-ЭЛЕМЕНТ'!C18),"",'Лист2-ЭЛЕМЕНТ'!C18)</f>
        <v/>
      </c>
      <c r="D18" s="23" t="str">
        <f>IF(ISBLANK('Лист2-ЭЛЕМЕНТ'!D18),"",'Лист2-ЭЛЕМЕНТ'!D18)</f>
        <v/>
      </c>
      <c r="E18" s="19" t="str">
        <f>IF(ISBLANK('Лист2-ЭЛЕМЕНТ'!Z18),"",'Лист2-ЭЛЕМЕНТ'!Z18)</f>
        <v>_</v>
      </c>
      <c r="F18" s="20" t="str">
        <f>IF(ISBLANK('Лист2-ЭЛЕМЕНТ'!H18),"",'Лист2-ЭЛЕМЕНТ'!H18)</f>
        <v/>
      </c>
      <c r="G18" s="38" t="str">
        <f>IF(ISBLANK('Лист2-ЭЛЕМЕНТ'!BA18), "",'Лист2-ЭЛЕМЕНТ'!BA18)</f>
        <v/>
      </c>
      <c r="H18" s="19"/>
      <c r="I18" s="19"/>
      <c r="J18" s="24" t="s">
        <v>195</v>
      </c>
      <c r="K18" s="18"/>
      <c r="L18" s="18"/>
      <c r="M18" s="18"/>
    </row>
    <row r="19" spans="1:13" x14ac:dyDescent="0.25">
      <c r="A19" s="17" t="str">
        <f>IF(ISBLANK('Лист2-ЭЛЕМЕНТ'!A19),"",'Лист2-ЭЛЕМЕНТ'!A19)</f>
        <v/>
      </c>
      <c r="B19" s="17" t="str">
        <f>IF(ISBLANK('Лист2-ЭЛЕМЕНТ'!B19),"",'Лист2-ЭЛЕМЕНТ'!B19)</f>
        <v/>
      </c>
      <c r="C19" s="17" t="str">
        <f>IF(ISBLANK('Лист2-ЭЛЕМЕНТ'!C19),"",'Лист2-ЭЛЕМЕНТ'!C19)</f>
        <v/>
      </c>
      <c r="D19" s="23" t="str">
        <f>IF(ISBLANK('Лист2-ЭЛЕМЕНТ'!D19),"",'Лист2-ЭЛЕМЕНТ'!D19)</f>
        <v/>
      </c>
      <c r="E19" s="19" t="str">
        <f>IF(ISBLANK('Лист2-ЭЛЕМЕНТ'!Z19),"",'Лист2-ЭЛЕМЕНТ'!Z19)</f>
        <v>_</v>
      </c>
      <c r="F19" s="20" t="str">
        <f>IF(ISBLANK('Лист2-ЭЛЕМЕНТ'!H19),"",'Лист2-ЭЛЕМЕНТ'!H19)</f>
        <v/>
      </c>
      <c r="G19" s="38" t="str">
        <f>IF(ISBLANK('Лист2-ЭЛЕМЕНТ'!BA19), "",'Лист2-ЭЛЕМЕНТ'!BA19)</f>
        <v/>
      </c>
      <c r="H19" s="19"/>
      <c r="I19" s="19"/>
      <c r="J19" s="24" t="s">
        <v>195</v>
      </c>
      <c r="K19" s="18"/>
      <c r="L19" s="18"/>
      <c r="M19" s="18"/>
    </row>
    <row r="20" spans="1:13" x14ac:dyDescent="0.25">
      <c r="A20" s="17" t="str">
        <f>IF(ISBLANK('Лист2-ЭЛЕМЕНТ'!A20),"",'Лист2-ЭЛЕМЕНТ'!A20)</f>
        <v/>
      </c>
      <c r="B20" s="17" t="str">
        <f>IF(ISBLANK('Лист2-ЭЛЕМЕНТ'!B20),"",'Лист2-ЭЛЕМЕНТ'!B20)</f>
        <v/>
      </c>
      <c r="C20" s="17" t="str">
        <f>IF(ISBLANK('Лист2-ЭЛЕМЕНТ'!C20),"",'Лист2-ЭЛЕМЕНТ'!C20)</f>
        <v/>
      </c>
      <c r="D20" s="23" t="str">
        <f>IF(ISBLANK('Лист2-ЭЛЕМЕНТ'!D20),"",'Лист2-ЭЛЕМЕНТ'!D20)</f>
        <v/>
      </c>
      <c r="E20" s="19" t="str">
        <f>IF(ISBLANK('Лист2-ЭЛЕМЕНТ'!Z20),"",'Лист2-ЭЛЕМЕНТ'!Z20)</f>
        <v>_</v>
      </c>
      <c r="F20" s="20" t="str">
        <f>IF(ISBLANK('Лист2-ЭЛЕМЕНТ'!H20),"",'Лист2-ЭЛЕМЕНТ'!H20)</f>
        <v/>
      </c>
      <c r="G20" s="38" t="str">
        <f>IF(ISBLANK('Лист2-ЭЛЕМЕНТ'!BA20), "",'Лист2-ЭЛЕМЕНТ'!BA20)</f>
        <v/>
      </c>
      <c r="H20" s="19"/>
      <c r="I20" s="19"/>
      <c r="J20" s="24" t="s">
        <v>195</v>
      </c>
      <c r="K20" s="18"/>
      <c r="L20" s="18"/>
      <c r="M20" s="18"/>
    </row>
    <row r="21" spans="1:13" x14ac:dyDescent="0.25">
      <c r="A21" s="17" t="str">
        <f>IF(ISBLANK('Лист2-ЭЛЕМЕНТ'!A21),"",'Лист2-ЭЛЕМЕНТ'!A21)</f>
        <v/>
      </c>
      <c r="B21" s="17" t="str">
        <f>IF(ISBLANK('Лист2-ЭЛЕМЕНТ'!B21),"",'Лист2-ЭЛЕМЕНТ'!B21)</f>
        <v/>
      </c>
      <c r="C21" s="17" t="str">
        <f>IF(ISBLANK('Лист2-ЭЛЕМЕНТ'!C21),"",'Лист2-ЭЛЕМЕНТ'!C21)</f>
        <v/>
      </c>
      <c r="D21" s="23" t="str">
        <f>IF(ISBLANK('Лист2-ЭЛЕМЕНТ'!D21),"",'Лист2-ЭЛЕМЕНТ'!D21)</f>
        <v/>
      </c>
      <c r="E21" s="19" t="str">
        <f>IF(ISBLANK('Лист2-ЭЛЕМЕНТ'!Z21),"",'Лист2-ЭЛЕМЕНТ'!Z21)</f>
        <v>_</v>
      </c>
      <c r="F21" s="20" t="str">
        <f>IF(ISBLANK('Лист2-ЭЛЕМЕНТ'!H21),"",'Лист2-ЭЛЕМЕНТ'!H21)</f>
        <v/>
      </c>
      <c r="G21" s="38" t="str">
        <f>IF(ISBLANK('Лист2-ЭЛЕМЕНТ'!BA21), "",'Лист2-ЭЛЕМЕНТ'!BA21)</f>
        <v/>
      </c>
      <c r="H21" s="19"/>
      <c r="I21" s="19"/>
      <c r="J21" s="24" t="s">
        <v>195</v>
      </c>
      <c r="K21" s="18"/>
      <c r="L21" s="18"/>
      <c r="M21" s="18"/>
    </row>
    <row r="22" spans="1:13" x14ac:dyDescent="0.25">
      <c r="A22" s="17" t="str">
        <f>IF(ISBLANK('Лист2-ЭЛЕМЕНТ'!A22),"",'Лист2-ЭЛЕМЕНТ'!A22)</f>
        <v/>
      </c>
      <c r="B22" s="17" t="str">
        <f>IF(ISBLANK('Лист2-ЭЛЕМЕНТ'!B22),"",'Лист2-ЭЛЕМЕНТ'!B22)</f>
        <v/>
      </c>
      <c r="C22" s="17" t="str">
        <f>IF(ISBLANK('Лист2-ЭЛЕМЕНТ'!C22),"",'Лист2-ЭЛЕМЕНТ'!C22)</f>
        <v/>
      </c>
      <c r="D22" s="23" t="str">
        <f>IF(ISBLANK('Лист2-ЭЛЕМЕНТ'!D22),"",'Лист2-ЭЛЕМЕНТ'!D22)</f>
        <v/>
      </c>
      <c r="E22" s="19" t="str">
        <f>IF(ISBLANK('Лист2-ЭЛЕМЕНТ'!Z22),"",'Лист2-ЭЛЕМЕНТ'!Z22)</f>
        <v>_</v>
      </c>
      <c r="F22" s="20" t="str">
        <f>IF(ISBLANK('Лист2-ЭЛЕМЕНТ'!H22),"",'Лист2-ЭЛЕМЕНТ'!H22)</f>
        <v/>
      </c>
      <c r="G22" s="38" t="str">
        <f>IF(ISBLANK('Лист2-ЭЛЕМЕНТ'!BA22), "",'Лист2-ЭЛЕМЕНТ'!BA22)</f>
        <v/>
      </c>
      <c r="H22" s="19"/>
      <c r="I22" s="19"/>
      <c r="J22" s="24" t="s">
        <v>195</v>
      </c>
      <c r="K22" s="18"/>
      <c r="L22" s="18"/>
      <c r="M22" s="18"/>
    </row>
    <row r="23" spans="1:13" x14ac:dyDescent="0.25">
      <c r="A23" s="17" t="str">
        <f>IF(ISBLANK('Лист2-ЭЛЕМЕНТ'!A23),"",'Лист2-ЭЛЕМЕНТ'!A23)</f>
        <v/>
      </c>
      <c r="B23" s="17" t="str">
        <f>IF(ISBLANK('Лист2-ЭЛЕМЕНТ'!B23),"",'Лист2-ЭЛЕМЕНТ'!B23)</f>
        <v/>
      </c>
      <c r="C23" s="17" t="str">
        <f>IF(ISBLANK('Лист2-ЭЛЕМЕНТ'!C23),"",'Лист2-ЭЛЕМЕНТ'!C23)</f>
        <v/>
      </c>
      <c r="D23" s="23" t="str">
        <f>IF(ISBLANK('Лист2-ЭЛЕМЕНТ'!D23),"",'Лист2-ЭЛЕМЕНТ'!D23)</f>
        <v/>
      </c>
      <c r="E23" s="19" t="str">
        <f>IF(ISBLANK('Лист2-ЭЛЕМЕНТ'!Z23),"",'Лист2-ЭЛЕМЕНТ'!Z23)</f>
        <v>_</v>
      </c>
      <c r="F23" s="20" t="str">
        <f>IF(ISBLANK('Лист2-ЭЛЕМЕНТ'!H23),"",'Лист2-ЭЛЕМЕНТ'!H23)</f>
        <v/>
      </c>
      <c r="G23" s="38" t="str">
        <f>IF(ISBLANK('Лист2-ЭЛЕМЕНТ'!BA23), "",'Лист2-ЭЛЕМЕНТ'!BA23)</f>
        <v/>
      </c>
      <c r="H23" s="19"/>
      <c r="I23" s="19"/>
      <c r="J23" s="24" t="s">
        <v>195</v>
      </c>
      <c r="K23" s="18"/>
      <c r="L23" s="18"/>
      <c r="M23" s="18"/>
    </row>
    <row r="24" spans="1:13" x14ac:dyDescent="0.25">
      <c r="A24" s="17" t="str">
        <f>IF(ISBLANK('Лист2-ЭЛЕМЕНТ'!A24),"",'Лист2-ЭЛЕМЕНТ'!A24)</f>
        <v/>
      </c>
      <c r="B24" s="17" t="str">
        <f>IF(ISBLANK('Лист2-ЭЛЕМЕНТ'!B24),"",'Лист2-ЭЛЕМЕНТ'!B24)</f>
        <v/>
      </c>
      <c r="C24" s="17" t="str">
        <f>IF(ISBLANK('Лист2-ЭЛЕМЕНТ'!C24),"",'Лист2-ЭЛЕМЕНТ'!C24)</f>
        <v/>
      </c>
      <c r="D24" s="23" t="str">
        <f>IF(ISBLANK('Лист2-ЭЛЕМЕНТ'!D24),"",'Лист2-ЭЛЕМЕНТ'!D24)</f>
        <v/>
      </c>
      <c r="E24" s="19" t="str">
        <f>IF(ISBLANK('Лист2-ЭЛЕМЕНТ'!Z24),"",'Лист2-ЭЛЕМЕНТ'!Z24)</f>
        <v>_</v>
      </c>
      <c r="F24" s="20" t="str">
        <f>IF(ISBLANK('Лист2-ЭЛЕМЕНТ'!H24),"",'Лист2-ЭЛЕМЕНТ'!H24)</f>
        <v/>
      </c>
      <c r="G24" s="38" t="str">
        <f>IF(ISBLANK('Лист2-ЭЛЕМЕНТ'!BA24), "",'Лист2-ЭЛЕМЕНТ'!BA24)</f>
        <v/>
      </c>
      <c r="H24" s="19"/>
      <c r="I24" s="19"/>
      <c r="J24" s="24" t="s">
        <v>195</v>
      </c>
      <c r="K24" s="18"/>
      <c r="L24" s="18"/>
      <c r="M24" s="18"/>
    </row>
    <row r="25" spans="1:13" x14ac:dyDescent="0.25">
      <c r="A25" s="17" t="str">
        <f>IF(ISBLANK('Лист2-ЭЛЕМЕНТ'!A25),"",'Лист2-ЭЛЕМЕНТ'!A25)</f>
        <v/>
      </c>
      <c r="B25" s="17" t="str">
        <f>IF(ISBLANK('Лист2-ЭЛЕМЕНТ'!B25),"",'Лист2-ЭЛЕМЕНТ'!B25)</f>
        <v/>
      </c>
      <c r="C25" s="17" t="str">
        <f>IF(ISBLANK('Лист2-ЭЛЕМЕНТ'!C25),"",'Лист2-ЭЛЕМЕНТ'!C25)</f>
        <v/>
      </c>
      <c r="D25" s="23" t="str">
        <f>IF(ISBLANK('Лист2-ЭЛЕМЕНТ'!D25),"",'Лист2-ЭЛЕМЕНТ'!D25)</f>
        <v/>
      </c>
      <c r="E25" s="19" t="str">
        <f>IF(ISBLANK('Лист2-ЭЛЕМЕНТ'!Z25),"",'Лист2-ЭЛЕМЕНТ'!Z25)</f>
        <v>_</v>
      </c>
      <c r="F25" s="20" t="str">
        <f>IF(ISBLANK('Лист2-ЭЛЕМЕНТ'!H25),"",'Лист2-ЭЛЕМЕНТ'!H25)</f>
        <v/>
      </c>
      <c r="G25" s="38" t="str">
        <f>IF(ISBLANK('Лист2-ЭЛЕМЕНТ'!BA25), "",'Лист2-ЭЛЕМЕНТ'!BA25)</f>
        <v/>
      </c>
      <c r="H25" s="19"/>
      <c r="I25" s="19"/>
      <c r="J25" s="24" t="s">
        <v>195</v>
      </c>
      <c r="K25" s="18"/>
      <c r="L25" s="18"/>
      <c r="M25" s="18"/>
    </row>
    <row r="26" spans="1:13" x14ac:dyDescent="0.25">
      <c r="A26" s="17" t="str">
        <f>IF(ISBLANK('Лист2-ЭЛЕМЕНТ'!A26),"",'Лист2-ЭЛЕМЕНТ'!A26)</f>
        <v/>
      </c>
      <c r="B26" s="17" t="str">
        <f>IF(ISBLANK('Лист2-ЭЛЕМЕНТ'!B26),"",'Лист2-ЭЛЕМЕНТ'!B26)</f>
        <v/>
      </c>
      <c r="C26" s="17" t="str">
        <f>IF(ISBLANK('Лист2-ЭЛЕМЕНТ'!C26),"",'Лист2-ЭЛЕМЕНТ'!C26)</f>
        <v/>
      </c>
      <c r="D26" s="23" t="str">
        <f>IF(ISBLANK('Лист2-ЭЛЕМЕНТ'!D26),"",'Лист2-ЭЛЕМЕНТ'!D26)</f>
        <v/>
      </c>
      <c r="E26" s="19" t="str">
        <f>IF(ISBLANK('Лист2-ЭЛЕМЕНТ'!Z26),"",'Лист2-ЭЛЕМЕНТ'!Z26)</f>
        <v>_</v>
      </c>
      <c r="F26" s="20" t="str">
        <f>IF(ISBLANK('Лист2-ЭЛЕМЕНТ'!H26),"",'Лист2-ЭЛЕМЕНТ'!H26)</f>
        <v/>
      </c>
      <c r="G26" s="38" t="str">
        <f>IF(ISBLANK('Лист2-ЭЛЕМЕНТ'!BA26), "",'Лист2-ЭЛЕМЕНТ'!BA26)</f>
        <v/>
      </c>
      <c r="H26" s="19"/>
      <c r="I26" s="19"/>
      <c r="J26" s="24" t="s">
        <v>195</v>
      </c>
      <c r="K26" s="18"/>
      <c r="L26" s="18"/>
      <c r="M26" s="18"/>
    </row>
    <row r="27" spans="1:13" x14ac:dyDescent="0.25">
      <c r="A27" s="17" t="str">
        <f>IF(ISBLANK('Лист2-ЭЛЕМЕНТ'!A27),"",'Лист2-ЭЛЕМЕНТ'!A27)</f>
        <v/>
      </c>
      <c r="B27" s="17" t="str">
        <f>IF(ISBLANK('Лист2-ЭЛЕМЕНТ'!B27),"",'Лист2-ЭЛЕМЕНТ'!B27)</f>
        <v/>
      </c>
      <c r="C27" s="17" t="str">
        <f>IF(ISBLANK('Лист2-ЭЛЕМЕНТ'!C27),"",'Лист2-ЭЛЕМЕНТ'!C27)</f>
        <v/>
      </c>
      <c r="D27" s="23" t="str">
        <f>IF(ISBLANK('Лист2-ЭЛЕМЕНТ'!D27),"",'Лист2-ЭЛЕМЕНТ'!D27)</f>
        <v/>
      </c>
      <c r="E27" s="19" t="str">
        <f>IF(ISBLANK('Лист2-ЭЛЕМЕНТ'!Z27),"",'Лист2-ЭЛЕМЕНТ'!Z27)</f>
        <v>_</v>
      </c>
      <c r="F27" s="20" t="str">
        <f>IF(ISBLANK('Лист2-ЭЛЕМЕНТ'!H27),"",'Лист2-ЭЛЕМЕНТ'!H27)</f>
        <v/>
      </c>
      <c r="G27" s="38" t="str">
        <f>IF(ISBLANK('Лист2-ЭЛЕМЕНТ'!BA27), "",'Лист2-ЭЛЕМЕНТ'!BA27)</f>
        <v/>
      </c>
      <c r="H27" s="19"/>
      <c r="I27" s="19"/>
      <c r="J27" s="24" t="s">
        <v>195</v>
      </c>
      <c r="K27" s="18"/>
      <c r="L27" s="18"/>
      <c r="M27" s="18"/>
    </row>
    <row r="28" spans="1:13" x14ac:dyDescent="0.25">
      <c r="A28" s="17" t="str">
        <f>IF(ISBLANK('Лист2-ЭЛЕМЕНТ'!A28),"",'Лист2-ЭЛЕМЕНТ'!A28)</f>
        <v/>
      </c>
      <c r="B28" s="17" t="str">
        <f>IF(ISBLANK('Лист2-ЭЛЕМЕНТ'!B28),"",'Лист2-ЭЛЕМЕНТ'!B28)</f>
        <v/>
      </c>
      <c r="C28" s="17" t="str">
        <f>IF(ISBLANK('Лист2-ЭЛЕМЕНТ'!C28),"",'Лист2-ЭЛЕМЕНТ'!C28)</f>
        <v/>
      </c>
      <c r="D28" s="23" t="str">
        <f>IF(ISBLANK('Лист2-ЭЛЕМЕНТ'!D28),"",'Лист2-ЭЛЕМЕНТ'!D28)</f>
        <v/>
      </c>
      <c r="E28" s="19" t="str">
        <f>IF(ISBLANK('Лист2-ЭЛЕМЕНТ'!Z28),"",'Лист2-ЭЛЕМЕНТ'!Z28)</f>
        <v>_</v>
      </c>
      <c r="F28" s="20" t="str">
        <f>IF(ISBLANK('Лист2-ЭЛЕМЕНТ'!H28),"",'Лист2-ЭЛЕМЕНТ'!H28)</f>
        <v/>
      </c>
      <c r="G28" s="38" t="str">
        <f>IF(ISBLANK('Лист2-ЭЛЕМЕНТ'!BA28), "",'Лист2-ЭЛЕМЕНТ'!BA28)</f>
        <v/>
      </c>
      <c r="H28" s="19"/>
      <c r="I28" s="19"/>
      <c r="J28" s="24" t="s">
        <v>195</v>
      </c>
      <c r="K28" s="18"/>
      <c r="L28" s="18"/>
      <c r="M28" s="18"/>
    </row>
    <row r="29" spans="1:13" x14ac:dyDescent="0.25">
      <c r="A29" s="17" t="str">
        <f>IF(ISBLANK('Лист2-ЭЛЕМЕНТ'!A29),"",'Лист2-ЭЛЕМЕНТ'!A29)</f>
        <v/>
      </c>
      <c r="B29" s="17" t="str">
        <f>IF(ISBLANK('Лист2-ЭЛЕМЕНТ'!B29),"",'Лист2-ЭЛЕМЕНТ'!B29)</f>
        <v/>
      </c>
      <c r="C29" s="17" t="str">
        <f>IF(ISBLANK('Лист2-ЭЛЕМЕНТ'!C29),"",'Лист2-ЭЛЕМЕНТ'!C29)</f>
        <v/>
      </c>
      <c r="D29" s="23" t="str">
        <f>IF(ISBLANK('Лист2-ЭЛЕМЕНТ'!D29),"",'Лист2-ЭЛЕМЕНТ'!D29)</f>
        <v/>
      </c>
      <c r="E29" s="19" t="str">
        <f>IF(ISBLANK('Лист2-ЭЛЕМЕНТ'!Z29),"",'Лист2-ЭЛЕМЕНТ'!Z29)</f>
        <v>_</v>
      </c>
      <c r="F29" s="20" t="str">
        <f>IF(ISBLANK('Лист2-ЭЛЕМЕНТ'!H29),"",'Лист2-ЭЛЕМЕНТ'!H29)</f>
        <v/>
      </c>
      <c r="G29" s="38" t="str">
        <f>IF(ISBLANK('Лист2-ЭЛЕМЕНТ'!BA29), "",'Лист2-ЭЛЕМЕНТ'!BA29)</f>
        <v/>
      </c>
      <c r="H29" s="19"/>
      <c r="I29" s="19"/>
      <c r="J29" s="24" t="s">
        <v>195</v>
      </c>
      <c r="K29" s="18"/>
      <c r="L29" s="18"/>
      <c r="M29" s="18"/>
    </row>
    <row r="30" spans="1:13" x14ac:dyDescent="0.25">
      <c r="A30" s="17" t="str">
        <f>IF(ISBLANK('Лист2-ЭЛЕМЕНТ'!A30),"",'Лист2-ЭЛЕМЕНТ'!A30)</f>
        <v/>
      </c>
      <c r="B30" s="17" t="str">
        <f>IF(ISBLANK('Лист2-ЭЛЕМЕНТ'!B30),"",'Лист2-ЭЛЕМЕНТ'!B30)</f>
        <v/>
      </c>
      <c r="C30" s="17" t="str">
        <f>IF(ISBLANK('Лист2-ЭЛЕМЕНТ'!C30),"",'Лист2-ЭЛЕМЕНТ'!C30)</f>
        <v/>
      </c>
      <c r="D30" s="23" t="str">
        <f>IF(ISBLANK('Лист2-ЭЛЕМЕНТ'!D30),"",'Лист2-ЭЛЕМЕНТ'!D30)</f>
        <v/>
      </c>
      <c r="E30" s="19" t="str">
        <f>IF(ISBLANK('Лист2-ЭЛЕМЕНТ'!Z30),"",'Лист2-ЭЛЕМЕНТ'!Z30)</f>
        <v>_</v>
      </c>
      <c r="F30" s="20" t="str">
        <f>IF(ISBLANK('Лист2-ЭЛЕМЕНТ'!H30),"",'Лист2-ЭЛЕМЕНТ'!H30)</f>
        <v/>
      </c>
      <c r="G30" s="38" t="str">
        <f>IF(ISBLANK('Лист2-ЭЛЕМЕНТ'!BA30), "",'Лист2-ЭЛЕМЕНТ'!BA30)</f>
        <v/>
      </c>
      <c r="H30" s="19"/>
      <c r="I30" s="19"/>
      <c r="J30" s="24" t="s">
        <v>195</v>
      </c>
      <c r="K30" s="18"/>
      <c r="L30" s="18"/>
      <c r="M30" s="18"/>
    </row>
    <row r="31" spans="1:13" x14ac:dyDescent="0.25">
      <c r="A31" s="17" t="str">
        <f>IF(ISBLANK('Лист2-ЭЛЕМЕНТ'!A31),"",'Лист2-ЭЛЕМЕНТ'!A31)</f>
        <v/>
      </c>
      <c r="B31" s="17" t="str">
        <f>IF(ISBLANK('Лист2-ЭЛЕМЕНТ'!B31),"",'Лист2-ЭЛЕМЕНТ'!B31)</f>
        <v/>
      </c>
      <c r="C31" s="17" t="str">
        <f>IF(ISBLANK('Лист2-ЭЛЕМЕНТ'!C31),"",'Лист2-ЭЛЕМЕНТ'!C31)</f>
        <v/>
      </c>
      <c r="D31" s="23" t="str">
        <f>IF(ISBLANK('Лист2-ЭЛЕМЕНТ'!D31),"",'Лист2-ЭЛЕМЕНТ'!D31)</f>
        <v/>
      </c>
      <c r="E31" s="19" t="str">
        <f>IF(ISBLANK('Лист2-ЭЛЕМЕНТ'!Z31),"",'Лист2-ЭЛЕМЕНТ'!Z31)</f>
        <v>_</v>
      </c>
      <c r="F31" s="20" t="str">
        <f>IF(ISBLANK('Лист2-ЭЛЕМЕНТ'!H31),"",'Лист2-ЭЛЕМЕНТ'!H31)</f>
        <v/>
      </c>
      <c r="G31" s="38" t="str">
        <f>IF(ISBLANK('Лист2-ЭЛЕМЕНТ'!BA31), "",'Лист2-ЭЛЕМЕНТ'!BA31)</f>
        <v/>
      </c>
      <c r="H31" s="19"/>
      <c r="I31" s="19"/>
      <c r="J31" s="24" t="s">
        <v>195</v>
      </c>
      <c r="K31" s="18"/>
      <c r="L31" s="18"/>
      <c r="M31" s="18"/>
    </row>
    <row r="32" spans="1:13" x14ac:dyDescent="0.25">
      <c r="A32" s="17" t="str">
        <f>IF(ISBLANK('Лист2-ЭЛЕМЕНТ'!A32),"",'Лист2-ЭЛЕМЕНТ'!A32)</f>
        <v/>
      </c>
      <c r="B32" s="17" t="str">
        <f>IF(ISBLANK('Лист2-ЭЛЕМЕНТ'!B32),"",'Лист2-ЭЛЕМЕНТ'!B32)</f>
        <v/>
      </c>
      <c r="C32" s="17" t="str">
        <f>IF(ISBLANK('Лист2-ЭЛЕМЕНТ'!C32),"",'Лист2-ЭЛЕМЕНТ'!C32)</f>
        <v/>
      </c>
      <c r="D32" s="23" t="str">
        <f>IF(ISBLANK('Лист2-ЭЛЕМЕНТ'!D32),"",'Лист2-ЭЛЕМЕНТ'!D32)</f>
        <v/>
      </c>
      <c r="E32" s="19" t="str">
        <f>IF(ISBLANK('Лист2-ЭЛЕМЕНТ'!Z32),"",'Лист2-ЭЛЕМЕНТ'!Z32)</f>
        <v>_</v>
      </c>
      <c r="F32" s="20" t="str">
        <f>IF(ISBLANK('Лист2-ЭЛЕМЕНТ'!H32),"",'Лист2-ЭЛЕМЕНТ'!H32)</f>
        <v/>
      </c>
      <c r="G32" s="38" t="str">
        <f>IF(ISBLANK('Лист2-ЭЛЕМЕНТ'!BA32), "",'Лист2-ЭЛЕМЕНТ'!BA32)</f>
        <v/>
      </c>
      <c r="H32" s="19"/>
      <c r="I32" s="19"/>
      <c r="J32" s="24" t="s">
        <v>195</v>
      </c>
      <c r="K32" s="18"/>
      <c r="L32" s="18"/>
      <c r="M32" s="18"/>
    </row>
    <row r="33" spans="1:13" x14ac:dyDescent="0.25">
      <c r="A33" s="17" t="str">
        <f>IF(ISBLANK('Лист2-ЭЛЕМЕНТ'!A33),"",'Лист2-ЭЛЕМЕНТ'!A33)</f>
        <v/>
      </c>
      <c r="B33" s="17" t="str">
        <f>IF(ISBLANK('Лист2-ЭЛЕМЕНТ'!B33),"",'Лист2-ЭЛЕМЕНТ'!B33)</f>
        <v/>
      </c>
      <c r="C33" s="17" t="str">
        <f>IF(ISBLANK('Лист2-ЭЛЕМЕНТ'!C33),"",'Лист2-ЭЛЕМЕНТ'!C33)</f>
        <v/>
      </c>
      <c r="D33" s="23" t="str">
        <f>IF(ISBLANK('Лист2-ЭЛЕМЕНТ'!D33),"",'Лист2-ЭЛЕМЕНТ'!D33)</f>
        <v/>
      </c>
      <c r="E33" s="19" t="str">
        <f>IF(ISBLANK('Лист2-ЭЛЕМЕНТ'!Z33),"",'Лист2-ЭЛЕМЕНТ'!Z33)</f>
        <v>_</v>
      </c>
      <c r="F33" s="20" t="str">
        <f>IF(ISBLANK('Лист2-ЭЛЕМЕНТ'!H33),"",'Лист2-ЭЛЕМЕНТ'!H33)</f>
        <v/>
      </c>
      <c r="G33" s="38" t="str">
        <f>IF(ISBLANK('Лист2-ЭЛЕМЕНТ'!BA33), "",'Лист2-ЭЛЕМЕНТ'!BA33)</f>
        <v/>
      </c>
      <c r="H33" s="19"/>
      <c r="I33" s="19"/>
      <c r="J33" s="24" t="s">
        <v>195</v>
      </c>
      <c r="K33" s="18"/>
      <c r="L33" s="18"/>
      <c r="M33" s="18"/>
    </row>
    <row r="34" spans="1:13" x14ac:dyDescent="0.25">
      <c r="A34" s="17" t="str">
        <f>IF(ISBLANK('Лист2-ЭЛЕМЕНТ'!A34),"",'Лист2-ЭЛЕМЕНТ'!A34)</f>
        <v/>
      </c>
      <c r="B34" s="17" t="str">
        <f>IF(ISBLANK('Лист2-ЭЛЕМЕНТ'!B34),"",'Лист2-ЭЛЕМЕНТ'!B34)</f>
        <v/>
      </c>
      <c r="C34" s="17" t="str">
        <f>IF(ISBLANK('Лист2-ЭЛЕМЕНТ'!C34),"",'Лист2-ЭЛЕМЕНТ'!C34)</f>
        <v/>
      </c>
      <c r="D34" s="23" t="str">
        <f>IF(ISBLANK('Лист2-ЭЛЕМЕНТ'!D34),"",'Лист2-ЭЛЕМЕНТ'!D34)</f>
        <v/>
      </c>
      <c r="E34" s="19" t="str">
        <f>IF(ISBLANK('Лист2-ЭЛЕМЕНТ'!Z34),"",'Лист2-ЭЛЕМЕНТ'!Z34)</f>
        <v>_</v>
      </c>
      <c r="F34" s="20" t="str">
        <f>IF(ISBLANK('Лист2-ЭЛЕМЕНТ'!H34),"",'Лист2-ЭЛЕМЕНТ'!H34)</f>
        <v/>
      </c>
      <c r="G34" s="38" t="str">
        <f>IF(ISBLANK('Лист2-ЭЛЕМЕНТ'!BA34), "",'Лист2-ЭЛЕМЕНТ'!BA34)</f>
        <v/>
      </c>
      <c r="H34" s="19"/>
      <c r="I34" s="19"/>
      <c r="J34" s="24" t="s">
        <v>195</v>
      </c>
      <c r="K34" s="18"/>
      <c r="L34" s="18"/>
      <c r="M34" s="18"/>
    </row>
    <row r="35" spans="1:13" x14ac:dyDescent="0.25">
      <c r="A35" s="17" t="str">
        <f>IF(ISBLANK('Лист2-ЭЛЕМЕНТ'!A35),"",'Лист2-ЭЛЕМЕНТ'!A35)</f>
        <v/>
      </c>
      <c r="B35" s="17" t="str">
        <f>IF(ISBLANK('Лист2-ЭЛЕМЕНТ'!B35),"",'Лист2-ЭЛЕМЕНТ'!B35)</f>
        <v/>
      </c>
      <c r="C35" s="17" t="str">
        <f>IF(ISBLANK('Лист2-ЭЛЕМЕНТ'!C35),"",'Лист2-ЭЛЕМЕНТ'!C35)</f>
        <v/>
      </c>
      <c r="D35" s="23" t="str">
        <f>IF(ISBLANK('Лист2-ЭЛЕМЕНТ'!D35),"",'Лист2-ЭЛЕМЕНТ'!D35)</f>
        <v/>
      </c>
      <c r="E35" s="19" t="str">
        <f>IF(ISBLANK('Лист2-ЭЛЕМЕНТ'!Z35),"",'Лист2-ЭЛЕМЕНТ'!Z35)</f>
        <v>_</v>
      </c>
      <c r="F35" s="20" t="str">
        <f>IF(ISBLANK('Лист2-ЭЛЕМЕНТ'!H35),"",'Лист2-ЭЛЕМЕНТ'!H35)</f>
        <v/>
      </c>
      <c r="G35" s="38" t="str">
        <f>IF(ISBLANK('Лист2-ЭЛЕМЕНТ'!BA35), "",'Лист2-ЭЛЕМЕНТ'!BA35)</f>
        <v/>
      </c>
      <c r="H35" s="19"/>
      <c r="I35" s="19"/>
      <c r="J35" s="24" t="s">
        <v>195</v>
      </c>
      <c r="K35" s="18"/>
      <c r="L35" s="18"/>
      <c r="M35" s="18"/>
    </row>
    <row r="36" spans="1:13" x14ac:dyDescent="0.25">
      <c r="A36" s="17" t="str">
        <f>IF(ISBLANK('Лист2-ЭЛЕМЕНТ'!A36),"",'Лист2-ЭЛЕМЕНТ'!A36)</f>
        <v/>
      </c>
      <c r="B36" s="17" t="str">
        <f>IF(ISBLANK('Лист2-ЭЛЕМЕНТ'!B36),"",'Лист2-ЭЛЕМЕНТ'!B36)</f>
        <v/>
      </c>
      <c r="C36" s="17" t="str">
        <f>IF(ISBLANK('Лист2-ЭЛЕМЕНТ'!C36),"",'Лист2-ЭЛЕМЕНТ'!C36)</f>
        <v/>
      </c>
      <c r="D36" s="23" t="str">
        <f>IF(ISBLANK('Лист2-ЭЛЕМЕНТ'!D36),"",'Лист2-ЭЛЕМЕНТ'!D36)</f>
        <v/>
      </c>
      <c r="E36" s="19" t="str">
        <f>IF(ISBLANK('Лист2-ЭЛЕМЕНТ'!Z36),"",'Лист2-ЭЛЕМЕНТ'!Z36)</f>
        <v>_</v>
      </c>
      <c r="F36" s="20" t="str">
        <f>IF(ISBLANK('Лист2-ЭЛЕМЕНТ'!H36),"",'Лист2-ЭЛЕМЕНТ'!H36)</f>
        <v/>
      </c>
      <c r="G36" s="38" t="str">
        <f>IF(ISBLANK('Лист2-ЭЛЕМЕНТ'!BA36), "",'Лист2-ЭЛЕМЕНТ'!BA36)</f>
        <v/>
      </c>
      <c r="H36" s="19"/>
      <c r="I36" s="19"/>
      <c r="J36" s="24" t="s">
        <v>195</v>
      </c>
      <c r="K36" s="18"/>
      <c r="L36" s="18"/>
      <c r="M36" s="18"/>
    </row>
    <row r="37" spans="1:13" x14ac:dyDescent="0.25">
      <c r="A37" s="17" t="str">
        <f>IF(ISBLANK('Лист2-ЭЛЕМЕНТ'!A37),"",'Лист2-ЭЛЕМЕНТ'!A37)</f>
        <v/>
      </c>
      <c r="B37" s="17" t="str">
        <f>IF(ISBLANK('Лист2-ЭЛЕМЕНТ'!B37),"",'Лист2-ЭЛЕМЕНТ'!B37)</f>
        <v/>
      </c>
      <c r="C37" s="17" t="str">
        <f>IF(ISBLANK('Лист2-ЭЛЕМЕНТ'!C37),"",'Лист2-ЭЛЕМЕНТ'!C37)</f>
        <v/>
      </c>
      <c r="D37" s="23" t="str">
        <f>IF(ISBLANK('Лист2-ЭЛЕМЕНТ'!D37),"",'Лист2-ЭЛЕМЕНТ'!D37)</f>
        <v/>
      </c>
      <c r="E37" s="19" t="str">
        <f>IF(ISBLANK('Лист2-ЭЛЕМЕНТ'!Z37),"",'Лист2-ЭЛЕМЕНТ'!Z37)</f>
        <v>_</v>
      </c>
      <c r="F37" s="20" t="str">
        <f>IF(ISBLANK('Лист2-ЭЛЕМЕНТ'!H37),"",'Лист2-ЭЛЕМЕНТ'!H37)</f>
        <v/>
      </c>
      <c r="G37" s="38" t="str">
        <f>IF(ISBLANK('Лист2-ЭЛЕМЕНТ'!BA37), "",'Лист2-ЭЛЕМЕНТ'!BA37)</f>
        <v/>
      </c>
      <c r="H37" s="19"/>
      <c r="I37" s="19"/>
      <c r="J37" s="24" t="s">
        <v>195</v>
      </c>
      <c r="K37" s="18"/>
      <c r="L37" s="18"/>
      <c r="M37" s="18"/>
    </row>
    <row r="38" spans="1:13" x14ac:dyDescent="0.25">
      <c r="A38" s="17" t="str">
        <f>IF(ISBLANK('Лист2-ЭЛЕМЕНТ'!A38),"",'Лист2-ЭЛЕМЕНТ'!A38)</f>
        <v/>
      </c>
      <c r="B38" s="17" t="str">
        <f>IF(ISBLANK('Лист2-ЭЛЕМЕНТ'!B38),"",'Лист2-ЭЛЕМЕНТ'!B38)</f>
        <v/>
      </c>
      <c r="C38" s="17" t="str">
        <f>IF(ISBLANK('Лист2-ЭЛЕМЕНТ'!C38),"",'Лист2-ЭЛЕМЕНТ'!C38)</f>
        <v/>
      </c>
      <c r="D38" s="23" t="str">
        <f>IF(ISBLANK('Лист2-ЭЛЕМЕНТ'!D38),"",'Лист2-ЭЛЕМЕНТ'!D38)</f>
        <v/>
      </c>
      <c r="E38" s="19" t="str">
        <f>IF(ISBLANK('Лист2-ЭЛЕМЕНТ'!Z38),"",'Лист2-ЭЛЕМЕНТ'!Z38)</f>
        <v>_</v>
      </c>
      <c r="F38" s="20" t="str">
        <f>IF(ISBLANK('Лист2-ЭЛЕМЕНТ'!H38),"",'Лист2-ЭЛЕМЕНТ'!H38)</f>
        <v/>
      </c>
      <c r="G38" s="38" t="str">
        <f>IF(ISBLANK('Лист2-ЭЛЕМЕНТ'!BA38), "",'Лист2-ЭЛЕМЕНТ'!BA38)</f>
        <v/>
      </c>
      <c r="H38" s="19"/>
      <c r="I38" s="19"/>
      <c r="J38" s="24" t="s">
        <v>195</v>
      </c>
      <c r="K38" s="18"/>
      <c r="L38" s="18"/>
      <c r="M38" s="18"/>
    </row>
    <row r="39" spans="1:13" x14ac:dyDescent="0.25">
      <c r="A39" s="17" t="str">
        <f>IF(ISBLANK('Лист2-ЭЛЕМЕНТ'!A39),"",'Лист2-ЭЛЕМЕНТ'!A39)</f>
        <v/>
      </c>
      <c r="B39" s="17" t="str">
        <f>IF(ISBLANK('Лист2-ЭЛЕМЕНТ'!B39),"",'Лист2-ЭЛЕМЕНТ'!B39)</f>
        <v/>
      </c>
      <c r="C39" s="17" t="str">
        <f>IF(ISBLANK('Лист2-ЭЛЕМЕНТ'!C39),"",'Лист2-ЭЛЕМЕНТ'!C39)</f>
        <v/>
      </c>
      <c r="D39" s="23" t="str">
        <f>IF(ISBLANK('Лист2-ЭЛЕМЕНТ'!D39),"",'Лист2-ЭЛЕМЕНТ'!D39)</f>
        <v/>
      </c>
      <c r="E39" s="19" t="str">
        <f>IF(ISBLANK('Лист2-ЭЛЕМЕНТ'!Z39),"",'Лист2-ЭЛЕМЕНТ'!Z39)</f>
        <v>_</v>
      </c>
      <c r="F39" s="20" t="str">
        <f>IF(ISBLANK('Лист2-ЭЛЕМЕНТ'!H39),"",'Лист2-ЭЛЕМЕНТ'!H39)</f>
        <v/>
      </c>
      <c r="G39" s="38" t="str">
        <f>IF(ISBLANK('Лист2-ЭЛЕМЕНТ'!BA39), "",'Лист2-ЭЛЕМЕНТ'!BA39)</f>
        <v/>
      </c>
      <c r="H39" s="19"/>
      <c r="I39" s="19"/>
      <c r="J39" s="24" t="s">
        <v>195</v>
      </c>
      <c r="K39" s="18"/>
      <c r="L39" s="18"/>
      <c r="M39" s="18"/>
    </row>
    <row r="40" spans="1:13" x14ac:dyDescent="0.25">
      <c r="A40" s="17" t="str">
        <f>IF(ISBLANK('Лист2-ЭЛЕМЕНТ'!A40),"",'Лист2-ЭЛЕМЕНТ'!A40)</f>
        <v/>
      </c>
      <c r="B40" s="17" t="str">
        <f>IF(ISBLANK('Лист2-ЭЛЕМЕНТ'!B40),"",'Лист2-ЭЛЕМЕНТ'!B40)</f>
        <v/>
      </c>
      <c r="C40" s="17" t="str">
        <f>IF(ISBLANK('Лист2-ЭЛЕМЕНТ'!C40),"",'Лист2-ЭЛЕМЕНТ'!C40)</f>
        <v/>
      </c>
      <c r="D40" s="23" t="str">
        <f>IF(ISBLANK('Лист2-ЭЛЕМЕНТ'!D40),"",'Лист2-ЭЛЕМЕНТ'!D40)</f>
        <v/>
      </c>
      <c r="E40" s="19" t="str">
        <f>IF(ISBLANK('Лист2-ЭЛЕМЕНТ'!Z40),"",'Лист2-ЭЛЕМЕНТ'!Z40)</f>
        <v>_</v>
      </c>
      <c r="F40" s="20" t="str">
        <f>IF(ISBLANK('Лист2-ЭЛЕМЕНТ'!H40),"",'Лист2-ЭЛЕМЕНТ'!H40)</f>
        <v/>
      </c>
      <c r="G40" s="38" t="str">
        <f>IF(ISBLANK('Лист2-ЭЛЕМЕНТ'!BA40), "",'Лист2-ЭЛЕМЕНТ'!BA40)</f>
        <v/>
      </c>
      <c r="H40" s="19"/>
      <c r="I40" s="19"/>
      <c r="J40" s="24" t="s">
        <v>195</v>
      </c>
      <c r="K40" s="18"/>
      <c r="L40" s="18"/>
      <c r="M40" s="18"/>
    </row>
  </sheetData>
  <autoFilter ref="A4:J4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40"/>
  <sheetViews>
    <sheetView zoomScale="70" zoomScaleNormal="70" workbookViewId="0">
      <selection activeCell="G2" sqref="G2"/>
    </sheetView>
  </sheetViews>
  <sheetFormatPr defaultRowHeight="15" outlineLevelCol="1" x14ac:dyDescent="0.25"/>
  <cols>
    <col min="1" max="1" width="28.28515625" customWidth="1"/>
    <col min="2" max="2" width="26.5703125" customWidth="1"/>
    <col min="3" max="3" width="22.5703125" customWidth="1"/>
    <col min="4" max="4" width="11.42578125" customWidth="1"/>
    <col min="5" max="5" width="14" customWidth="1"/>
    <col min="6" max="6" width="17.140625" customWidth="1"/>
    <col min="7" max="7" width="20.5703125" customWidth="1"/>
    <col min="8" max="8" width="34.28515625" customWidth="1"/>
    <col min="10" max="10" width="14.7109375" customWidth="1"/>
    <col min="11" max="11" width="13" customWidth="1"/>
    <col min="13" max="13" width="10.28515625" bestFit="1" customWidth="1"/>
    <col min="14" max="14" width="10.28515625" style="43" bestFit="1" customWidth="1"/>
    <col min="15" max="15" width="10.28515625" style="43" customWidth="1"/>
    <col min="16" max="16" width="10.28515625" style="28" customWidth="1"/>
    <col min="17" max="17" width="10.28515625" style="28" bestFit="1" customWidth="1"/>
    <col min="18" max="18" width="20.42578125" customWidth="1" outlineLevel="1"/>
  </cols>
  <sheetData>
    <row r="1" spans="1:18" ht="114" customHeight="1" x14ac:dyDescent="0.25">
      <c r="A1" s="6" t="s">
        <v>115</v>
      </c>
      <c r="B1" s="6" t="s">
        <v>116</v>
      </c>
      <c r="C1" s="6" t="s">
        <v>117</v>
      </c>
      <c r="D1" s="6"/>
      <c r="E1" s="6" t="s">
        <v>7</v>
      </c>
      <c r="F1" s="6" t="s">
        <v>104</v>
      </c>
      <c r="G1" s="6" t="s">
        <v>104</v>
      </c>
      <c r="H1" s="6" t="s">
        <v>105</v>
      </c>
      <c r="I1" s="3"/>
      <c r="J1" s="6" t="s">
        <v>106</v>
      </c>
      <c r="N1"/>
      <c r="O1"/>
      <c r="P1"/>
      <c r="Q1"/>
    </row>
    <row r="2" spans="1:18" ht="56.25" customHeight="1" x14ac:dyDescent="0.25">
      <c r="A2" s="6"/>
      <c r="B2" s="6"/>
      <c r="C2" s="6"/>
      <c r="D2" s="6"/>
      <c r="E2" s="6" t="s">
        <v>118</v>
      </c>
      <c r="F2" s="6" t="s">
        <v>119</v>
      </c>
      <c r="G2" s="6" t="s">
        <v>120</v>
      </c>
      <c r="H2" s="6" t="s">
        <v>121</v>
      </c>
      <c r="I2" s="6" t="s">
        <v>122</v>
      </c>
      <c r="J2" s="6" t="s">
        <v>108</v>
      </c>
      <c r="N2" s="147" t="s">
        <v>197</v>
      </c>
      <c r="O2" s="148"/>
      <c r="P2" s="148"/>
      <c r="Q2" s="148"/>
      <c r="R2" s="148"/>
    </row>
    <row r="3" spans="1:18" ht="50.25" customHeight="1" x14ac:dyDescent="0.25">
      <c r="A3" s="6"/>
      <c r="B3" s="6"/>
      <c r="C3" s="6"/>
      <c r="D3" s="6"/>
      <c r="E3" s="12" t="s">
        <v>54</v>
      </c>
      <c r="F3" s="6" t="s">
        <v>123</v>
      </c>
      <c r="G3" s="6" t="s">
        <v>124</v>
      </c>
      <c r="H3" s="6" t="s">
        <v>125</v>
      </c>
      <c r="I3" s="3" t="s">
        <v>126</v>
      </c>
      <c r="J3" s="6" t="s">
        <v>127</v>
      </c>
      <c r="N3"/>
      <c r="O3"/>
      <c r="P3"/>
      <c r="Q3"/>
    </row>
    <row r="4" spans="1:18" ht="45" x14ac:dyDescent="0.25">
      <c r="A4" s="5" t="s">
        <v>0</v>
      </c>
      <c r="B4" s="5" t="s">
        <v>1</v>
      </c>
      <c r="C4" s="5" t="s">
        <v>2</v>
      </c>
      <c r="D4" s="4" t="s">
        <v>3</v>
      </c>
      <c r="E4" s="4" t="s">
        <v>80</v>
      </c>
      <c r="F4" s="4" t="s">
        <v>111</v>
      </c>
      <c r="G4" s="4" t="s">
        <v>112</v>
      </c>
      <c r="H4" s="4" t="s">
        <v>113</v>
      </c>
      <c r="I4" s="2"/>
      <c r="J4" s="4" t="s">
        <v>114</v>
      </c>
      <c r="K4" s="29" t="s">
        <v>50</v>
      </c>
      <c r="M4" s="45">
        <v>1</v>
      </c>
      <c r="N4" s="45">
        <v>2</v>
      </c>
      <c r="O4" s="45">
        <v>3</v>
      </c>
      <c r="P4" s="44" t="s">
        <v>196</v>
      </c>
      <c r="Q4"/>
      <c r="R4" s="69" t="s">
        <v>198</v>
      </c>
    </row>
    <row r="5" spans="1:18" x14ac:dyDescent="0.25">
      <c r="A5" s="17" t="str">
        <f>IF(ISBLANK('Лист2-ЭЛЕМЕНТ'!A5),"",'Лист2-ЭЛЕМЕНТ'!A5)</f>
        <v/>
      </c>
      <c r="B5" s="17" t="str">
        <f>IF(ISBLANK('Лист2-ЭЛЕМЕНТ'!B5),"",'Лист2-ЭЛЕМЕНТ'!B5)</f>
        <v/>
      </c>
      <c r="C5" s="17" t="str">
        <f>IF(ISBLANK('Лист2-ЭЛЕМЕНТ'!C5),"",'Лист2-ЭЛЕМЕНТ'!C5)</f>
        <v/>
      </c>
      <c r="D5" s="23" t="str">
        <f>IF(ISBLANK('Лист2-ЭЛЕМЕНТ'!D5),"",'Лист2-ЭЛЕМЕНТ'!D5)</f>
        <v/>
      </c>
      <c r="E5" s="19" t="str">
        <f>IF(ISBLANK('Лист2-ЭЛЕМЕНТ'!Z5),"",'Лист2-ЭЛЕМЕНТ'!Z5)</f>
        <v>_</v>
      </c>
      <c r="F5" s="20" t="str">
        <f>IF(ISBLANK('Лист2-ЭЛЕМЕНТ'!BB5), "",'Лист2-ЭЛЕМЕНТ'!BB5)</f>
        <v/>
      </c>
      <c r="G5" s="21" t="str">
        <f>IF(ISBLANK('Лист2-ЭЛЕМЕНТ'!BC5), "",'Лист2-ЭЛЕМЕНТ'!BC5)</f>
        <v/>
      </c>
      <c r="H5" s="19" t="str">
        <f>IF(ISBLANK('Лист2-ЭЛЕМЕНТ'!BD5), "",'Лист2-ЭЛЕМЕНТ'!BD5)</f>
        <v/>
      </c>
      <c r="I5" s="19"/>
      <c r="J5" s="24" t="s">
        <v>190</v>
      </c>
      <c r="K5" t="str">
        <f>IF('Лист2-ЭЛЕМЕНТ'!BA5&lt;&gt;0,'Лист2-ЭЛЕМЕНТ'!BA5,"")</f>
        <v/>
      </c>
      <c r="M5" t="str">
        <f>CONCATENATE('Лист2-ЭЛЕМЕНТ'!D5," ",'Лист2-ЭЛЕМЕНТ'!F5, " ",'Лист2-ЭЛЕМЕНТ'!AF5)</f>
        <v xml:space="preserve">  </v>
      </c>
      <c r="N5" s="41">
        <f>'Лист2-ЭЛЕМЕНТ'!D5</f>
        <v>0</v>
      </c>
      <c r="O5" s="42">
        <f>'Лист2-ЭЛЕМЕНТ'!F5</f>
        <v>0</v>
      </c>
      <c r="P5" s="40"/>
      <c r="Q5" s="40">
        <f>IF(M5&lt;&gt;0, VLOOKUP(M5,'Вспомогательный лист'!$M$5:$P$40,4,FALSE), "Не-а")</f>
        <v>0</v>
      </c>
      <c r="R5" t="str">
        <f>IF(N5&lt;&gt;N4,"ИСТИНА","ЛОЖЬ")</f>
        <v>ИСТИНА</v>
      </c>
    </row>
    <row r="6" spans="1:18" x14ac:dyDescent="0.25">
      <c r="A6" s="17" t="str">
        <f>IF(ISBLANK('Лист2-ЭЛЕМЕНТ'!A6),"",'Лист2-ЭЛЕМЕНТ'!A6)</f>
        <v/>
      </c>
      <c r="B6" s="17" t="str">
        <f>IF(ISBLANK('Лист2-ЭЛЕМЕНТ'!B6),"",'Лист2-ЭЛЕМЕНТ'!B6)</f>
        <v/>
      </c>
      <c r="C6" s="17" t="str">
        <f>IF(ISBLANK('Лист2-ЭЛЕМЕНТ'!C6),"",'Лист2-ЭЛЕМЕНТ'!C6)</f>
        <v/>
      </c>
      <c r="D6" s="23" t="str">
        <f>IF(ISBLANK('Лист2-ЭЛЕМЕНТ'!D6),"",'Лист2-ЭЛЕМЕНТ'!D6)</f>
        <v/>
      </c>
      <c r="E6" s="19" t="str">
        <f>IF(ISBLANK('Лист2-ЭЛЕМЕНТ'!Z6),"",'Лист2-ЭЛЕМЕНТ'!Z6)</f>
        <v>_</v>
      </c>
      <c r="F6" s="20" t="str">
        <f>IF(ISBLANK('Лист2-ЭЛЕМЕНТ'!BB6), "",'Лист2-ЭЛЕМЕНТ'!BB6)</f>
        <v/>
      </c>
      <c r="G6" s="21" t="str">
        <f>IF(ISBLANK('Лист2-ЭЛЕМЕНТ'!BC6), "",'Лист2-ЭЛЕМЕНТ'!BC6)</f>
        <v/>
      </c>
      <c r="H6" s="19" t="str">
        <f>IF(ISBLANK('Лист2-ЭЛЕМЕНТ'!BD6), "",'Лист2-ЭЛЕМЕНТ'!BD6)</f>
        <v/>
      </c>
      <c r="I6" s="19"/>
      <c r="J6" s="24" t="s">
        <v>190</v>
      </c>
      <c r="K6" t="str">
        <f>IF('Лист2-ЭЛЕМЕНТ'!BA6&lt;&gt;0,'Лист2-ЭЛЕМЕНТ'!BA6,"")</f>
        <v/>
      </c>
      <c r="M6" t="str">
        <f>CONCATENATE('Лист2-ЭЛЕМЕНТ'!D6," ",'Лист2-ЭЛЕМЕНТ'!F6, " ",'Лист2-ЭЛЕМЕНТ'!AF6)</f>
        <v xml:space="preserve">  </v>
      </c>
      <c r="N6" s="41">
        <f>'Лист2-ЭЛЕМЕНТ'!D6</f>
        <v>0</v>
      </c>
      <c r="O6" s="42">
        <f>'Лист2-ЭЛЕМЕНТ'!F6</f>
        <v>0</v>
      </c>
      <c r="P6" s="40"/>
      <c r="Q6" s="40">
        <f>IF(M6&lt;&gt;0, VLOOKUP(M6,'Вспомогательный лист'!$M$5:$P$40,4,FALSE), "Не-а")</f>
        <v>0</v>
      </c>
      <c r="R6" t="str">
        <f t="shared" ref="R6:R40" si="0">IF(N6&lt;&gt;N5,"ИСТИНА","ЛОЖЬ")</f>
        <v>ЛОЖЬ</v>
      </c>
    </row>
    <row r="7" spans="1:18" x14ac:dyDescent="0.25">
      <c r="A7" s="17" t="str">
        <f>IF(ISBLANK('Лист2-ЭЛЕМЕНТ'!A7),"",'Лист2-ЭЛЕМЕНТ'!A7)</f>
        <v/>
      </c>
      <c r="B7" s="17" t="str">
        <f>IF(ISBLANK('Лист2-ЭЛЕМЕНТ'!B7),"",'Лист2-ЭЛЕМЕНТ'!B7)</f>
        <v/>
      </c>
      <c r="C7" s="17" t="str">
        <f>IF(ISBLANK('Лист2-ЭЛЕМЕНТ'!C7),"",'Лист2-ЭЛЕМЕНТ'!C7)</f>
        <v/>
      </c>
      <c r="D7" s="23" t="str">
        <f>IF(ISBLANK('Лист2-ЭЛЕМЕНТ'!D7),"",'Лист2-ЭЛЕМЕНТ'!D7)</f>
        <v/>
      </c>
      <c r="E7" s="19" t="str">
        <f>IF(ISBLANK('Лист2-ЭЛЕМЕНТ'!Z7),"",'Лист2-ЭЛЕМЕНТ'!Z7)</f>
        <v>_</v>
      </c>
      <c r="F7" s="20" t="str">
        <f>IF(ISBLANK('Лист2-ЭЛЕМЕНТ'!BB7), "",'Лист2-ЭЛЕМЕНТ'!BB7)</f>
        <v/>
      </c>
      <c r="G7" s="21" t="str">
        <f>IF(ISBLANK('Лист2-ЭЛЕМЕНТ'!BC7), "",'Лист2-ЭЛЕМЕНТ'!BC7)</f>
        <v/>
      </c>
      <c r="H7" s="19" t="str">
        <f>IF(ISBLANK('Лист2-ЭЛЕМЕНТ'!BD7), "",'Лист2-ЭЛЕМЕНТ'!BD7)</f>
        <v/>
      </c>
      <c r="I7" s="19"/>
      <c r="J7" s="24" t="s">
        <v>190</v>
      </c>
      <c r="K7" t="str">
        <f>IF('Лист2-ЭЛЕМЕНТ'!BA7&lt;&gt;0,'Лист2-ЭЛЕМЕНТ'!BA7,"")</f>
        <v/>
      </c>
      <c r="M7" t="str">
        <f>CONCATENATE('Лист2-ЭЛЕМЕНТ'!D7," ",'Лист2-ЭЛЕМЕНТ'!F7, " ",'Лист2-ЭЛЕМЕНТ'!AF7)</f>
        <v xml:space="preserve">  </v>
      </c>
      <c r="N7" s="41">
        <f>'Лист2-ЭЛЕМЕНТ'!D7</f>
        <v>0</v>
      </c>
      <c r="O7" s="42">
        <f>'Лист2-ЭЛЕМЕНТ'!F7</f>
        <v>0</v>
      </c>
      <c r="P7" s="40"/>
      <c r="Q7" s="40">
        <f>IF(M7&lt;&gt;0, VLOOKUP(M7,'Вспомогательный лист'!$M$5:$P$40,4,FALSE), "Не-а")</f>
        <v>0</v>
      </c>
      <c r="R7" t="str">
        <f t="shared" si="0"/>
        <v>ЛОЖЬ</v>
      </c>
    </row>
    <row r="8" spans="1:18" x14ac:dyDescent="0.25">
      <c r="A8" s="17" t="str">
        <f>IF(ISBLANK('Лист2-ЭЛЕМЕНТ'!A8),"",'Лист2-ЭЛЕМЕНТ'!A8)</f>
        <v/>
      </c>
      <c r="B8" s="17" t="str">
        <f>IF(ISBLANK('Лист2-ЭЛЕМЕНТ'!B8),"",'Лист2-ЭЛЕМЕНТ'!B8)</f>
        <v/>
      </c>
      <c r="C8" s="17" t="str">
        <f>IF(ISBLANK('Лист2-ЭЛЕМЕНТ'!C8),"",'Лист2-ЭЛЕМЕНТ'!C8)</f>
        <v/>
      </c>
      <c r="D8" s="23" t="str">
        <f>IF(ISBLANK('Лист2-ЭЛЕМЕНТ'!D8),"",'Лист2-ЭЛЕМЕНТ'!D8)</f>
        <v/>
      </c>
      <c r="E8" s="19" t="str">
        <f>IF(ISBLANK('Лист2-ЭЛЕМЕНТ'!Z8),"",'Лист2-ЭЛЕМЕНТ'!Z8)</f>
        <v>_</v>
      </c>
      <c r="F8" s="20" t="str">
        <f>IF(ISBLANK('Лист2-ЭЛЕМЕНТ'!BB8), "",'Лист2-ЭЛЕМЕНТ'!BB8)</f>
        <v/>
      </c>
      <c r="G8" s="21" t="str">
        <f>IF(ISBLANK('Лист2-ЭЛЕМЕНТ'!BC8), "",'Лист2-ЭЛЕМЕНТ'!BC8)</f>
        <v/>
      </c>
      <c r="H8" s="19" t="str">
        <f>IF(ISBLANK('Лист2-ЭЛЕМЕНТ'!BD8), "",'Лист2-ЭЛЕМЕНТ'!BD8)</f>
        <v/>
      </c>
      <c r="I8" s="19"/>
      <c r="J8" s="24" t="s">
        <v>190</v>
      </c>
      <c r="K8" t="str">
        <f>IF('Лист2-ЭЛЕМЕНТ'!BA8&lt;&gt;0,'Лист2-ЭЛЕМЕНТ'!BA8,"")</f>
        <v/>
      </c>
      <c r="M8" t="str">
        <f>CONCATENATE('Лист2-ЭЛЕМЕНТ'!D8," ",'Лист2-ЭЛЕМЕНТ'!F8, " ",'Лист2-ЭЛЕМЕНТ'!AF8)</f>
        <v xml:space="preserve">  </v>
      </c>
      <c r="N8" s="41">
        <f>'Лист2-ЭЛЕМЕНТ'!D8</f>
        <v>0</v>
      </c>
      <c r="O8" s="42">
        <f>'Лист2-ЭЛЕМЕНТ'!F8</f>
        <v>0</v>
      </c>
      <c r="P8" s="40"/>
      <c r="Q8" s="40">
        <f>IF(M8&lt;&gt;0, VLOOKUP(M8,'Вспомогательный лист'!$M$5:$P$40,4,FALSE), "Не-а")</f>
        <v>0</v>
      </c>
      <c r="R8" t="str">
        <f t="shared" si="0"/>
        <v>ЛОЖЬ</v>
      </c>
    </row>
    <row r="9" spans="1:18" x14ac:dyDescent="0.25">
      <c r="A9" s="17" t="str">
        <f>IF(ISBLANK('Лист2-ЭЛЕМЕНТ'!A9),"",'Лист2-ЭЛЕМЕНТ'!A9)</f>
        <v/>
      </c>
      <c r="B9" s="17" t="str">
        <f>IF(ISBLANK('Лист2-ЭЛЕМЕНТ'!B9),"",'Лист2-ЭЛЕМЕНТ'!B9)</f>
        <v/>
      </c>
      <c r="C9" s="17" t="str">
        <f>IF(ISBLANK('Лист2-ЭЛЕМЕНТ'!C9),"",'Лист2-ЭЛЕМЕНТ'!C9)</f>
        <v/>
      </c>
      <c r="D9" s="23" t="str">
        <f>IF(ISBLANK('Лист2-ЭЛЕМЕНТ'!D9),"",'Лист2-ЭЛЕМЕНТ'!D9)</f>
        <v/>
      </c>
      <c r="E9" s="19" t="str">
        <f>IF(ISBLANK('Лист2-ЭЛЕМЕНТ'!Z9),"",'Лист2-ЭЛЕМЕНТ'!Z9)</f>
        <v>_</v>
      </c>
      <c r="F9" s="20" t="str">
        <f>IF(ISBLANK('Лист2-ЭЛЕМЕНТ'!BB9), "",'Лист2-ЭЛЕМЕНТ'!BB9)</f>
        <v/>
      </c>
      <c r="G9" s="21" t="str">
        <f>IF(ISBLANK('Лист2-ЭЛЕМЕНТ'!BC9), "",'Лист2-ЭЛЕМЕНТ'!BC9)</f>
        <v/>
      </c>
      <c r="H9" s="19" t="str">
        <f>IF(ISBLANK('Лист2-ЭЛЕМЕНТ'!BD9), "",'Лист2-ЭЛЕМЕНТ'!BD9)</f>
        <v/>
      </c>
      <c r="I9" s="19"/>
      <c r="J9" s="24" t="s">
        <v>190</v>
      </c>
      <c r="K9" t="str">
        <f>IF('Лист2-ЭЛЕМЕНТ'!BA9&lt;&gt;0,'Лист2-ЭЛЕМЕНТ'!BA9,"")</f>
        <v/>
      </c>
      <c r="M9" t="str">
        <f>CONCATENATE('Лист2-ЭЛЕМЕНТ'!D9," ",'Лист2-ЭЛЕМЕНТ'!F9, " ",'Лист2-ЭЛЕМЕНТ'!AF9)</f>
        <v xml:space="preserve">  </v>
      </c>
      <c r="N9" s="41">
        <f>'Лист2-ЭЛЕМЕНТ'!D9</f>
        <v>0</v>
      </c>
      <c r="O9" s="42">
        <f>'Лист2-ЭЛЕМЕНТ'!F9</f>
        <v>0</v>
      </c>
      <c r="P9" s="40"/>
      <c r="Q9" s="40">
        <f>IF(M9&lt;&gt;0, VLOOKUP(M9,'Вспомогательный лист'!$M$5:$P$40,4,FALSE), "Не-а")</f>
        <v>0</v>
      </c>
      <c r="R9" t="str">
        <f t="shared" si="0"/>
        <v>ЛОЖЬ</v>
      </c>
    </row>
    <row r="10" spans="1:18" x14ac:dyDescent="0.25">
      <c r="A10" s="17" t="str">
        <f>IF(ISBLANK('Лист2-ЭЛЕМЕНТ'!A10),"",'Лист2-ЭЛЕМЕНТ'!A10)</f>
        <v/>
      </c>
      <c r="B10" s="17" t="str">
        <f>IF(ISBLANK('Лист2-ЭЛЕМЕНТ'!B10),"",'Лист2-ЭЛЕМЕНТ'!B10)</f>
        <v/>
      </c>
      <c r="C10" s="17" t="str">
        <f>IF(ISBLANK('Лист2-ЭЛЕМЕНТ'!C10),"",'Лист2-ЭЛЕМЕНТ'!C10)</f>
        <v/>
      </c>
      <c r="D10" s="23" t="str">
        <f>IF(ISBLANK('Лист2-ЭЛЕМЕНТ'!D10),"",'Лист2-ЭЛЕМЕНТ'!D10)</f>
        <v/>
      </c>
      <c r="E10" s="19" t="str">
        <f>IF(ISBLANK('Лист2-ЭЛЕМЕНТ'!Z10),"",'Лист2-ЭЛЕМЕНТ'!Z10)</f>
        <v>_</v>
      </c>
      <c r="F10" s="20" t="str">
        <f>IF(ISBLANK('Лист2-ЭЛЕМЕНТ'!BB10), "",'Лист2-ЭЛЕМЕНТ'!BB10)</f>
        <v/>
      </c>
      <c r="G10" s="21" t="str">
        <f>IF(ISBLANK('Лист2-ЭЛЕМЕНТ'!BC10), "",'Лист2-ЭЛЕМЕНТ'!BC10)</f>
        <v/>
      </c>
      <c r="H10" s="19" t="str">
        <f>IF(ISBLANK('Лист2-ЭЛЕМЕНТ'!BD10), "",'Лист2-ЭЛЕМЕНТ'!BD10)</f>
        <v/>
      </c>
      <c r="I10" s="19"/>
      <c r="J10" s="24" t="s">
        <v>190</v>
      </c>
      <c r="K10" t="str">
        <f>IF('Лист2-ЭЛЕМЕНТ'!BA10&lt;&gt;0,'Лист2-ЭЛЕМЕНТ'!BA10,"")</f>
        <v/>
      </c>
      <c r="M10" t="str">
        <f>CONCATENATE('Лист2-ЭЛЕМЕНТ'!D10," ",'Лист2-ЭЛЕМЕНТ'!F10, " ",'Лист2-ЭЛЕМЕНТ'!AF10)</f>
        <v xml:space="preserve">  </v>
      </c>
      <c r="N10" s="41">
        <f>'Лист2-ЭЛЕМЕНТ'!D10</f>
        <v>0</v>
      </c>
      <c r="O10" s="42">
        <f>'Лист2-ЭЛЕМЕНТ'!F10</f>
        <v>0</v>
      </c>
      <c r="P10" s="40"/>
      <c r="Q10" s="40">
        <f>IF(M10&lt;&gt;0, VLOOKUP(M10,'Вспомогательный лист'!$M$5:$P$40,4,FALSE), "Не-а")</f>
        <v>0</v>
      </c>
      <c r="R10" t="str">
        <f t="shared" si="0"/>
        <v>ЛОЖЬ</v>
      </c>
    </row>
    <row r="11" spans="1:18" x14ac:dyDescent="0.25">
      <c r="A11" s="17" t="str">
        <f>IF(ISBLANK('Лист2-ЭЛЕМЕНТ'!A11),"",'Лист2-ЭЛЕМЕНТ'!A11)</f>
        <v/>
      </c>
      <c r="B11" s="17" t="str">
        <f>IF(ISBLANK('Лист2-ЭЛЕМЕНТ'!B11),"",'Лист2-ЭЛЕМЕНТ'!B11)</f>
        <v/>
      </c>
      <c r="C11" s="17" t="str">
        <f>IF(ISBLANK('Лист2-ЭЛЕМЕНТ'!C11),"",'Лист2-ЭЛЕМЕНТ'!C11)</f>
        <v/>
      </c>
      <c r="D11" s="23" t="str">
        <f>IF(ISBLANK('Лист2-ЭЛЕМЕНТ'!D11),"",'Лист2-ЭЛЕМЕНТ'!D11)</f>
        <v/>
      </c>
      <c r="E11" s="19" t="str">
        <f>IF(ISBLANK('Лист2-ЭЛЕМЕНТ'!Z11),"",'Лист2-ЭЛЕМЕНТ'!Z11)</f>
        <v>_</v>
      </c>
      <c r="F11" s="20" t="str">
        <f>IF(ISBLANK('Лист2-ЭЛЕМЕНТ'!BB11), "",'Лист2-ЭЛЕМЕНТ'!BB11)</f>
        <v/>
      </c>
      <c r="G11" s="21" t="str">
        <f>IF(ISBLANK('Лист2-ЭЛЕМЕНТ'!BC11), "",'Лист2-ЭЛЕМЕНТ'!BC11)</f>
        <v/>
      </c>
      <c r="H11" s="19" t="str">
        <f>IF(ISBLANK('Лист2-ЭЛЕМЕНТ'!BD11), "",'Лист2-ЭЛЕМЕНТ'!BD11)</f>
        <v/>
      </c>
      <c r="I11" s="19"/>
      <c r="J11" s="24" t="s">
        <v>190</v>
      </c>
      <c r="K11" t="str">
        <f>IF('Лист2-ЭЛЕМЕНТ'!BA11&lt;&gt;0,'Лист2-ЭЛЕМЕНТ'!BA11,"")</f>
        <v/>
      </c>
      <c r="M11" t="str">
        <f>CONCATENATE('Лист2-ЭЛЕМЕНТ'!D11," ",'Лист2-ЭЛЕМЕНТ'!F11, " ",'Лист2-ЭЛЕМЕНТ'!AF11)</f>
        <v xml:space="preserve">  </v>
      </c>
      <c r="N11" s="41">
        <f>'Лист2-ЭЛЕМЕНТ'!D11</f>
        <v>0</v>
      </c>
      <c r="O11" s="42">
        <f>'Лист2-ЭЛЕМЕНТ'!F11</f>
        <v>0</v>
      </c>
      <c r="P11" s="40"/>
      <c r="Q11" s="40">
        <f>IF(M11&lt;&gt;0, VLOOKUP(M11,'Вспомогательный лист'!$M$5:$P$40,4,FALSE), "Не-а")</f>
        <v>0</v>
      </c>
      <c r="R11" t="str">
        <f t="shared" si="0"/>
        <v>ЛОЖЬ</v>
      </c>
    </row>
    <row r="12" spans="1:18" x14ac:dyDescent="0.25">
      <c r="A12" s="17" t="str">
        <f>IF(ISBLANK('Лист2-ЭЛЕМЕНТ'!A12),"",'Лист2-ЭЛЕМЕНТ'!A12)</f>
        <v/>
      </c>
      <c r="B12" s="17" t="str">
        <f>IF(ISBLANK('Лист2-ЭЛЕМЕНТ'!B12),"",'Лист2-ЭЛЕМЕНТ'!B12)</f>
        <v/>
      </c>
      <c r="C12" s="17" t="str">
        <f>IF(ISBLANK('Лист2-ЭЛЕМЕНТ'!C12),"",'Лист2-ЭЛЕМЕНТ'!C12)</f>
        <v/>
      </c>
      <c r="D12" s="23" t="str">
        <f>IF(ISBLANK('Лист2-ЭЛЕМЕНТ'!D12),"",'Лист2-ЭЛЕМЕНТ'!D12)</f>
        <v/>
      </c>
      <c r="E12" s="19" t="str">
        <f>IF(ISBLANK('Лист2-ЭЛЕМЕНТ'!Z12),"",'Лист2-ЭЛЕМЕНТ'!Z12)</f>
        <v>_</v>
      </c>
      <c r="F12" s="20" t="str">
        <f>IF(ISBLANK('Лист2-ЭЛЕМЕНТ'!BB12), "",'Лист2-ЭЛЕМЕНТ'!BB12)</f>
        <v/>
      </c>
      <c r="G12" s="21" t="str">
        <f>IF(ISBLANK('Лист2-ЭЛЕМЕНТ'!BC12), "",'Лист2-ЭЛЕМЕНТ'!BC12)</f>
        <v/>
      </c>
      <c r="H12" s="19" t="str">
        <f>IF(ISBLANK('Лист2-ЭЛЕМЕНТ'!BD12), "",'Лист2-ЭЛЕМЕНТ'!BD12)</f>
        <v/>
      </c>
      <c r="I12" s="19"/>
      <c r="J12" s="24" t="s">
        <v>190</v>
      </c>
      <c r="K12" t="str">
        <f>IF('Лист2-ЭЛЕМЕНТ'!BA12&lt;&gt;0,'Лист2-ЭЛЕМЕНТ'!BA12,"")</f>
        <v/>
      </c>
      <c r="M12" t="str">
        <f>CONCATENATE('Лист2-ЭЛЕМЕНТ'!D12," ",'Лист2-ЭЛЕМЕНТ'!F12, " ",'Лист2-ЭЛЕМЕНТ'!AF12)</f>
        <v xml:space="preserve">  </v>
      </c>
      <c r="N12" s="41">
        <f>'Лист2-ЭЛЕМЕНТ'!D12</f>
        <v>0</v>
      </c>
      <c r="O12" s="42">
        <f>'Лист2-ЭЛЕМЕНТ'!F12</f>
        <v>0</v>
      </c>
      <c r="P12" s="40"/>
      <c r="Q12" s="40">
        <f>IF(M12&lt;&gt;0, VLOOKUP(M12,'Вспомогательный лист'!$M$5:$P$40,4,FALSE), "Не-а")</f>
        <v>0</v>
      </c>
      <c r="R12" t="str">
        <f t="shared" si="0"/>
        <v>ЛОЖЬ</v>
      </c>
    </row>
    <row r="13" spans="1:18" x14ac:dyDescent="0.25">
      <c r="A13" s="17" t="str">
        <f>IF(ISBLANK('Лист2-ЭЛЕМЕНТ'!A13),"",'Лист2-ЭЛЕМЕНТ'!A13)</f>
        <v/>
      </c>
      <c r="B13" s="17" t="str">
        <f>IF(ISBLANK('Лист2-ЭЛЕМЕНТ'!B13),"",'Лист2-ЭЛЕМЕНТ'!B13)</f>
        <v/>
      </c>
      <c r="C13" s="17" t="str">
        <f>IF(ISBLANK('Лист2-ЭЛЕМЕНТ'!C13),"",'Лист2-ЭЛЕМЕНТ'!C13)</f>
        <v/>
      </c>
      <c r="D13" s="23" t="str">
        <f>IF(ISBLANK('Лист2-ЭЛЕМЕНТ'!D13),"",'Лист2-ЭЛЕМЕНТ'!D13)</f>
        <v/>
      </c>
      <c r="E13" s="19" t="str">
        <f>IF(ISBLANK('Лист2-ЭЛЕМЕНТ'!Z13),"",'Лист2-ЭЛЕМЕНТ'!Z13)</f>
        <v>_</v>
      </c>
      <c r="F13" s="20" t="str">
        <f>IF(ISBLANK('Лист2-ЭЛЕМЕНТ'!BB13), "",'Лист2-ЭЛЕМЕНТ'!BB13)</f>
        <v/>
      </c>
      <c r="G13" s="21" t="str">
        <f>IF(ISBLANK('Лист2-ЭЛЕМЕНТ'!BC13), "",'Лист2-ЭЛЕМЕНТ'!BC13)</f>
        <v/>
      </c>
      <c r="H13" s="19" t="str">
        <f>IF(ISBLANK('Лист2-ЭЛЕМЕНТ'!BD13), "",'Лист2-ЭЛЕМЕНТ'!BD13)</f>
        <v/>
      </c>
      <c r="I13" s="19"/>
      <c r="J13" s="24" t="s">
        <v>190</v>
      </c>
      <c r="K13" t="str">
        <f>IF('Лист2-ЭЛЕМЕНТ'!BA13&lt;&gt;0,'Лист2-ЭЛЕМЕНТ'!BA13,"")</f>
        <v/>
      </c>
      <c r="M13" t="str">
        <f>CONCATENATE('Лист2-ЭЛЕМЕНТ'!D13," ",'Лист2-ЭЛЕМЕНТ'!F13, " ",'Лист2-ЭЛЕМЕНТ'!AF13)</f>
        <v xml:space="preserve">  </v>
      </c>
      <c r="N13" s="41">
        <f>'Лист2-ЭЛЕМЕНТ'!D13</f>
        <v>0</v>
      </c>
      <c r="O13" s="42">
        <f>'Лист2-ЭЛЕМЕНТ'!F13</f>
        <v>0</v>
      </c>
      <c r="P13" s="40"/>
      <c r="Q13" s="40">
        <f>IF(M13&lt;&gt;0, VLOOKUP(M13,'Вспомогательный лист'!$M$5:$P$40,4,FALSE), "Не-а")</f>
        <v>0</v>
      </c>
      <c r="R13" t="str">
        <f t="shared" si="0"/>
        <v>ЛОЖЬ</v>
      </c>
    </row>
    <row r="14" spans="1:18" x14ac:dyDescent="0.25">
      <c r="A14" s="17" t="str">
        <f>IF(ISBLANK('Лист2-ЭЛЕМЕНТ'!A14),"",'Лист2-ЭЛЕМЕНТ'!A14)</f>
        <v/>
      </c>
      <c r="B14" s="17" t="str">
        <f>IF(ISBLANK('Лист2-ЭЛЕМЕНТ'!B14),"",'Лист2-ЭЛЕМЕНТ'!B14)</f>
        <v/>
      </c>
      <c r="C14" s="17" t="str">
        <f>IF(ISBLANK('Лист2-ЭЛЕМЕНТ'!C14),"",'Лист2-ЭЛЕМЕНТ'!C14)</f>
        <v/>
      </c>
      <c r="D14" s="23" t="str">
        <f>IF(ISBLANK('Лист2-ЭЛЕМЕНТ'!D14),"",'Лист2-ЭЛЕМЕНТ'!D14)</f>
        <v/>
      </c>
      <c r="E14" s="19" t="str">
        <f>IF(ISBLANK('Лист2-ЭЛЕМЕНТ'!Z14),"",'Лист2-ЭЛЕМЕНТ'!Z14)</f>
        <v>_</v>
      </c>
      <c r="F14" s="20" t="str">
        <f>IF(ISBLANK('Лист2-ЭЛЕМЕНТ'!BB14), "",'Лист2-ЭЛЕМЕНТ'!BB14)</f>
        <v/>
      </c>
      <c r="G14" s="21" t="str">
        <f>IF(ISBLANK('Лист2-ЭЛЕМЕНТ'!BC14), "",'Лист2-ЭЛЕМЕНТ'!BC14)</f>
        <v/>
      </c>
      <c r="H14" s="19" t="str">
        <f>IF(ISBLANK('Лист2-ЭЛЕМЕНТ'!BD14), "",'Лист2-ЭЛЕМЕНТ'!BD14)</f>
        <v/>
      </c>
      <c r="I14" s="19"/>
      <c r="J14" s="24" t="s">
        <v>190</v>
      </c>
      <c r="K14" t="str">
        <f>IF('Лист2-ЭЛЕМЕНТ'!BA14&lt;&gt;0,'Лист2-ЭЛЕМЕНТ'!BA14,"")</f>
        <v/>
      </c>
      <c r="M14" t="str">
        <f>CONCATENATE('Лист2-ЭЛЕМЕНТ'!D14," ",'Лист2-ЭЛЕМЕНТ'!F14, " ",'Лист2-ЭЛЕМЕНТ'!AF14)</f>
        <v xml:space="preserve">  </v>
      </c>
      <c r="N14" s="41">
        <f>'Лист2-ЭЛЕМЕНТ'!D14</f>
        <v>0</v>
      </c>
      <c r="O14" s="42">
        <f>'Лист2-ЭЛЕМЕНТ'!F14</f>
        <v>0</v>
      </c>
      <c r="P14" s="40"/>
      <c r="Q14" s="40">
        <f>IF(M14&lt;&gt;0, VLOOKUP(M14,'Вспомогательный лист'!$M$5:$P$40,4,FALSE), "Не-а")</f>
        <v>0</v>
      </c>
      <c r="R14" t="str">
        <f t="shared" si="0"/>
        <v>ЛОЖЬ</v>
      </c>
    </row>
    <row r="15" spans="1:18" x14ac:dyDescent="0.25">
      <c r="A15" s="17" t="str">
        <f>IF(ISBLANK('Лист2-ЭЛЕМЕНТ'!A15),"",'Лист2-ЭЛЕМЕНТ'!A15)</f>
        <v/>
      </c>
      <c r="B15" s="17" t="str">
        <f>IF(ISBLANK('Лист2-ЭЛЕМЕНТ'!B15),"",'Лист2-ЭЛЕМЕНТ'!B15)</f>
        <v/>
      </c>
      <c r="C15" s="17" t="str">
        <f>IF(ISBLANK('Лист2-ЭЛЕМЕНТ'!C15),"",'Лист2-ЭЛЕМЕНТ'!C15)</f>
        <v/>
      </c>
      <c r="D15" s="23" t="str">
        <f>IF(ISBLANK('Лист2-ЭЛЕМЕНТ'!D15),"",'Лист2-ЭЛЕМЕНТ'!D15)</f>
        <v/>
      </c>
      <c r="E15" s="19" t="str">
        <f>IF(ISBLANK('Лист2-ЭЛЕМЕНТ'!Z15),"",'Лист2-ЭЛЕМЕНТ'!Z15)</f>
        <v>_</v>
      </c>
      <c r="F15" s="20" t="str">
        <f>IF(ISBLANK('Лист2-ЭЛЕМЕНТ'!BB15), "",'Лист2-ЭЛЕМЕНТ'!BB15)</f>
        <v/>
      </c>
      <c r="G15" s="21" t="str">
        <f>IF(ISBLANK('Лист2-ЭЛЕМЕНТ'!BC15), "",'Лист2-ЭЛЕМЕНТ'!BC15)</f>
        <v/>
      </c>
      <c r="H15" s="19" t="str">
        <f>IF(ISBLANK('Лист2-ЭЛЕМЕНТ'!BD15), "",'Лист2-ЭЛЕМЕНТ'!BD15)</f>
        <v/>
      </c>
      <c r="I15" s="19"/>
      <c r="J15" s="24" t="s">
        <v>190</v>
      </c>
      <c r="K15" t="str">
        <f>IF('Лист2-ЭЛЕМЕНТ'!BA15&lt;&gt;0,'Лист2-ЭЛЕМЕНТ'!BA15,"")</f>
        <v/>
      </c>
      <c r="M15" t="str">
        <f>CONCATENATE('Лист2-ЭЛЕМЕНТ'!D15," ",'Лист2-ЭЛЕМЕНТ'!F15, " ",'Лист2-ЭЛЕМЕНТ'!AF15)</f>
        <v xml:space="preserve">  </v>
      </c>
      <c r="N15" s="41">
        <f>'Лист2-ЭЛЕМЕНТ'!D15</f>
        <v>0</v>
      </c>
      <c r="O15" s="42">
        <f>'Лист2-ЭЛЕМЕНТ'!F15</f>
        <v>0</v>
      </c>
      <c r="P15" s="40"/>
      <c r="Q15" s="40">
        <f>IF(M15&lt;&gt;0, VLOOKUP(M15,'Вспомогательный лист'!$M$5:$P$40,4,FALSE), "Не-а")</f>
        <v>0</v>
      </c>
      <c r="R15" t="str">
        <f t="shared" si="0"/>
        <v>ЛОЖЬ</v>
      </c>
    </row>
    <row r="16" spans="1:18" x14ac:dyDescent="0.25">
      <c r="A16" s="17" t="str">
        <f>IF(ISBLANK('Лист2-ЭЛЕМЕНТ'!A16),"",'Лист2-ЭЛЕМЕНТ'!A16)</f>
        <v/>
      </c>
      <c r="B16" s="17" t="str">
        <f>IF(ISBLANK('Лист2-ЭЛЕМЕНТ'!B16),"",'Лист2-ЭЛЕМЕНТ'!B16)</f>
        <v/>
      </c>
      <c r="C16" s="17" t="str">
        <f>IF(ISBLANK('Лист2-ЭЛЕМЕНТ'!C16),"",'Лист2-ЭЛЕМЕНТ'!C16)</f>
        <v/>
      </c>
      <c r="D16" s="23" t="str">
        <f>IF(ISBLANK('Лист2-ЭЛЕМЕНТ'!D16),"",'Лист2-ЭЛЕМЕНТ'!D16)</f>
        <v/>
      </c>
      <c r="E16" s="19" t="str">
        <f>IF(ISBLANK('Лист2-ЭЛЕМЕНТ'!Z16),"",'Лист2-ЭЛЕМЕНТ'!Z16)</f>
        <v>_</v>
      </c>
      <c r="F16" s="20" t="str">
        <f>IF(ISBLANK('Лист2-ЭЛЕМЕНТ'!BB16), "",'Лист2-ЭЛЕМЕНТ'!BB16)</f>
        <v/>
      </c>
      <c r="G16" s="21" t="str">
        <f>IF(ISBLANK('Лист2-ЭЛЕМЕНТ'!BC16), "",'Лист2-ЭЛЕМЕНТ'!BC16)</f>
        <v/>
      </c>
      <c r="H16" s="19" t="str">
        <f>IF(ISBLANK('Лист2-ЭЛЕМЕНТ'!BD16), "",'Лист2-ЭЛЕМЕНТ'!BD16)</f>
        <v/>
      </c>
      <c r="I16" s="19"/>
      <c r="J16" s="24" t="s">
        <v>190</v>
      </c>
      <c r="K16" t="str">
        <f>IF('Лист2-ЭЛЕМЕНТ'!BA16&lt;&gt;0,'Лист2-ЭЛЕМЕНТ'!BA16,"")</f>
        <v/>
      </c>
      <c r="M16" t="str">
        <f>CONCATENATE('Лист2-ЭЛЕМЕНТ'!D16," ",'Лист2-ЭЛЕМЕНТ'!F16, " ",'Лист2-ЭЛЕМЕНТ'!AF16)</f>
        <v xml:space="preserve">  </v>
      </c>
      <c r="N16" s="41">
        <f>'Лист2-ЭЛЕМЕНТ'!D16</f>
        <v>0</v>
      </c>
      <c r="O16" s="42">
        <f>'Лист2-ЭЛЕМЕНТ'!F16</f>
        <v>0</v>
      </c>
      <c r="P16" s="40"/>
      <c r="Q16" s="40">
        <f>IF(M16&lt;&gt;0, VLOOKUP(M16,'Вспомогательный лист'!$M$5:$P$40,4,FALSE), "Не-а")</f>
        <v>0</v>
      </c>
      <c r="R16" t="str">
        <f t="shared" si="0"/>
        <v>ЛОЖЬ</v>
      </c>
    </row>
    <row r="17" spans="1:18" x14ac:dyDescent="0.25">
      <c r="A17" s="17" t="str">
        <f>IF(ISBLANK('Лист2-ЭЛЕМЕНТ'!A17),"",'Лист2-ЭЛЕМЕНТ'!A17)</f>
        <v/>
      </c>
      <c r="B17" s="17" t="str">
        <f>IF(ISBLANK('Лист2-ЭЛЕМЕНТ'!B17),"",'Лист2-ЭЛЕМЕНТ'!B17)</f>
        <v/>
      </c>
      <c r="C17" s="17" t="str">
        <f>IF(ISBLANK('Лист2-ЭЛЕМЕНТ'!C17),"",'Лист2-ЭЛЕМЕНТ'!C17)</f>
        <v/>
      </c>
      <c r="D17" s="23" t="str">
        <f>IF(ISBLANK('Лист2-ЭЛЕМЕНТ'!D17),"",'Лист2-ЭЛЕМЕНТ'!D17)</f>
        <v/>
      </c>
      <c r="E17" s="19" t="str">
        <f>IF(ISBLANK('Лист2-ЭЛЕМЕНТ'!Z17),"",'Лист2-ЭЛЕМЕНТ'!Z17)</f>
        <v>_</v>
      </c>
      <c r="F17" s="20" t="str">
        <f>IF(ISBLANK('Лист2-ЭЛЕМЕНТ'!BB17), "",'Лист2-ЭЛЕМЕНТ'!BB17)</f>
        <v/>
      </c>
      <c r="G17" s="21" t="str">
        <f>IF(ISBLANK('Лист2-ЭЛЕМЕНТ'!BC17), "",'Лист2-ЭЛЕМЕНТ'!BC17)</f>
        <v/>
      </c>
      <c r="H17" s="19" t="str">
        <f>IF(ISBLANK('Лист2-ЭЛЕМЕНТ'!BD17), "",'Лист2-ЭЛЕМЕНТ'!BD17)</f>
        <v/>
      </c>
      <c r="I17" s="19"/>
      <c r="J17" s="24" t="s">
        <v>190</v>
      </c>
      <c r="K17" t="str">
        <f>IF('Лист2-ЭЛЕМЕНТ'!BA17&lt;&gt;0,'Лист2-ЭЛЕМЕНТ'!BA17,"")</f>
        <v/>
      </c>
      <c r="M17" t="str">
        <f>CONCATENATE('Лист2-ЭЛЕМЕНТ'!D17," ",'Лист2-ЭЛЕМЕНТ'!F17, " ",'Лист2-ЭЛЕМЕНТ'!AF17)</f>
        <v xml:space="preserve">  </v>
      </c>
      <c r="N17" s="41">
        <f>'Лист2-ЭЛЕМЕНТ'!D17</f>
        <v>0</v>
      </c>
      <c r="O17" s="42">
        <f>'Лист2-ЭЛЕМЕНТ'!F17</f>
        <v>0</v>
      </c>
      <c r="P17" s="40"/>
      <c r="Q17" s="40">
        <f>IF(M17&lt;&gt;0, VLOOKUP(M17,'Вспомогательный лист'!$M$5:$P$40,4,FALSE), "Не-а")</f>
        <v>0</v>
      </c>
      <c r="R17" t="str">
        <f t="shared" si="0"/>
        <v>ЛОЖЬ</v>
      </c>
    </row>
    <row r="18" spans="1:18" x14ac:dyDescent="0.25">
      <c r="A18" s="17" t="str">
        <f>IF(ISBLANK('Лист2-ЭЛЕМЕНТ'!A18),"",'Лист2-ЭЛЕМЕНТ'!A18)</f>
        <v/>
      </c>
      <c r="B18" s="17" t="str">
        <f>IF(ISBLANK('Лист2-ЭЛЕМЕНТ'!B18),"",'Лист2-ЭЛЕМЕНТ'!B18)</f>
        <v/>
      </c>
      <c r="C18" s="17" t="str">
        <f>IF(ISBLANK('Лист2-ЭЛЕМЕНТ'!C18),"",'Лист2-ЭЛЕМЕНТ'!C18)</f>
        <v/>
      </c>
      <c r="D18" s="23" t="str">
        <f>IF(ISBLANK('Лист2-ЭЛЕМЕНТ'!D18),"",'Лист2-ЭЛЕМЕНТ'!D18)</f>
        <v/>
      </c>
      <c r="E18" s="19" t="str">
        <f>IF(ISBLANK('Лист2-ЭЛЕМЕНТ'!Z18),"",'Лист2-ЭЛЕМЕНТ'!Z18)</f>
        <v>_</v>
      </c>
      <c r="F18" s="20" t="str">
        <f>IF(ISBLANK('Лист2-ЭЛЕМЕНТ'!BB18), "",'Лист2-ЭЛЕМЕНТ'!BB18)</f>
        <v/>
      </c>
      <c r="G18" s="21" t="str">
        <f>IF(ISBLANK('Лист2-ЭЛЕМЕНТ'!BC18), "",'Лист2-ЭЛЕМЕНТ'!BC18)</f>
        <v/>
      </c>
      <c r="H18" s="19" t="str">
        <f>IF(ISBLANK('Лист2-ЭЛЕМЕНТ'!BD18), "",'Лист2-ЭЛЕМЕНТ'!BD18)</f>
        <v/>
      </c>
      <c r="I18" s="19"/>
      <c r="J18" s="24" t="s">
        <v>190</v>
      </c>
      <c r="K18" t="str">
        <f>IF('Лист2-ЭЛЕМЕНТ'!BA18&lt;&gt;0,'Лист2-ЭЛЕМЕНТ'!BA18,"")</f>
        <v/>
      </c>
      <c r="M18" t="str">
        <f>CONCATENATE('Лист2-ЭЛЕМЕНТ'!D18," ",'Лист2-ЭЛЕМЕНТ'!F18, " ",'Лист2-ЭЛЕМЕНТ'!AF18)</f>
        <v xml:space="preserve">  </v>
      </c>
      <c r="N18" s="41">
        <f>'Лист2-ЭЛЕМЕНТ'!D18</f>
        <v>0</v>
      </c>
      <c r="O18" s="42">
        <f>'Лист2-ЭЛЕМЕНТ'!F18</f>
        <v>0</v>
      </c>
      <c r="P18" s="40"/>
      <c r="Q18" s="40">
        <f>IF(M18&lt;&gt;0, VLOOKUP(M18,'Вспомогательный лист'!$M$5:$P$40,4,FALSE), "Не-а")</f>
        <v>0</v>
      </c>
      <c r="R18" t="str">
        <f t="shared" si="0"/>
        <v>ЛОЖЬ</v>
      </c>
    </row>
    <row r="19" spans="1:18" x14ac:dyDescent="0.25">
      <c r="A19" s="17" t="str">
        <f>IF(ISBLANK('Лист2-ЭЛЕМЕНТ'!A19),"",'Лист2-ЭЛЕМЕНТ'!A19)</f>
        <v/>
      </c>
      <c r="B19" s="17" t="str">
        <f>IF(ISBLANK('Лист2-ЭЛЕМЕНТ'!B19),"",'Лист2-ЭЛЕМЕНТ'!B19)</f>
        <v/>
      </c>
      <c r="C19" s="17" t="str">
        <f>IF(ISBLANK('Лист2-ЭЛЕМЕНТ'!C19),"",'Лист2-ЭЛЕМЕНТ'!C19)</f>
        <v/>
      </c>
      <c r="D19" s="23" t="str">
        <f>IF(ISBLANK('Лист2-ЭЛЕМЕНТ'!D19),"",'Лист2-ЭЛЕМЕНТ'!D19)</f>
        <v/>
      </c>
      <c r="E19" s="19" t="str">
        <f>IF(ISBLANK('Лист2-ЭЛЕМЕНТ'!Z19),"",'Лист2-ЭЛЕМЕНТ'!Z19)</f>
        <v>_</v>
      </c>
      <c r="F19" s="20" t="str">
        <f>IF(ISBLANK('Лист2-ЭЛЕМЕНТ'!BB19), "",'Лист2-ЭЛЕМЕНТ'!BB19)</f>
        <v/>
      </c>
      <c r="G19" s="21" t="str">
        <f>IF(ISBLANK('Лист2-ЭЛЕМЕНТ'!BC19), "",'Лист2-ЭЛЕМЕНТ'!BC19)</f>
        <v/>
      </c>
      <c r="H19" s="19" t="str">
        <f>IF(ISBLANK('Лист2-ЭЛЕМЕНТ'!BD19), "",'Лист2-ЭЛЕМЕНТ'!BD19)</f>
        <v/>
      </c>
      <c r="I19" s="19"/>
      <c r="J19" s="24" t="s">
        <v>190</v>
      </c>
      <c r="K19" t="str">
        <f>IF('Лист2-ЭЛЕМЕНТ'!BA19&lt;&gt;0,'Лист2-ЭЛЕМЕНТ'!BA19,"")</f>
        <v/>
      </c>
      <c r="M19" t="str">
        <f>CONCATENATE('Лист2-ЭЛЕМЕНТ'!D19," ",'Лист2-ЭЛЕМЕНТ'!F19, " ",'Лист2-ЭЛЕМЕНТ'!AF19)</f>
        <v xml:space="preserve">  </v>
      </c>
      <c r="N19" s="41">
        <f>'Лист2-ЭЛЕМЕНТ'!D19</f>
        <v>0</v>
      </c>
      <c r="O19" s="42">
        <f>'Лист2-ЭЛЕМЕНТ'!F19</f>
        <v>0</v>
      </c>
      <c r="P19" s="40"/>
      <c r="Q19" s="40">
        <f>IF(M19&lt;&gt;0, VLOOKUP(M19,'Вспомогательный лист'!$M$5:$P$40,4,FALSE), "Не-а")</f>
        <v>0</v>
      </c>
      <c r="R19" t="str">
        <f t="shared" si="0"/>
        <v>ЛОЖЬ</v>
      </c>
    </row>
    <row r="20" spans="1:18" x14ac:dyDescent="0.25">
      <c r="A20" s="17" t="str">
        <f>IF(ISBLANK('Лист2-ЭЛЕМЕНТ'!A20),"",'Лист2-ЭЛЕМЕНТ'!A20)</f>
        <v/>
      </c>
      <c r="B20" s="17" t="str">
        <f>IF(ISBLANK('Лист2-ЭЛЕМЕНТ'!B20),"",'Лист2-ЭЛЕМЕНТ'!B20)</f>
        <v/>
      </c>
      <c r="C20" s="17" t="str">
        <f>IF(ISBLANK('Лист2-ЭЛЕМЕНТ'!C20),"",'Лист2-ЭЛЕМЕНТ'!C20)</f>
        <v/>
      </c>
      <c r="D20" s="23" t="str">
        <f>IF(ISBLANK('Лист2-ЭЛЕМЕНТ'!D20),"",'Лист2-ЭЛЕМЕНТ'!D20)</f>
        <v/>
      </c>
      <c r="E20" s="19" t="str">
        <f>IF(ISBLANK('Лист2-ЭЛЕМЕНТ'!Z20),"",'Лист2-ЭЛЕМЕНТ'!Z20)</f>
        <v>_</v>
      </c>
      <c r="F20" s="20" t="str">
        <f>IF(ISBLANK('Лист2-ЭЛЕМЕНТ'!BB20), "",'Лист2-ЭЛЕМЕНТ'!BB20)</f>
        <v/>
      </c>
      <c r="G20" s="21" t="str">
        <f>IF(ISBLANK('Лист2-ЭЛЕМЕНТ'!BC20), "",'Лист2-ЭЛЕМЕНТ'!BC20)</f>
        <v/>
      </c>
      <c r="H20" s="19" t="str">
        <f>IF(ISBLANK('Лист2-ЭЛЕМЕНТ'!BD20), "",'Лист2-ЭЛЕМЕНТ'!BD20)</f>
        <v/>
      </c>
      <c r="I20" s="19"/>
      <c r="J20" s="24" t="s">
        <v>190</v>
      </c>
      <c r="K20" t="str">
        <f>IF('Лист2-ЭЛЕМЕНТ'!BA20&lt;&gt;0,'Лист2-ЭЛЕМЕНТ'!BA20,"")</f>
        <v/>
      </c>
      <c r="M20" t="str">
        <f>CONCATENATE('Лист2-ЭЛЕМЕНТ'!D20," ",'Лист2-ЭЛЕМЕНТ'!F20, " ",'Лист2-ЭЛЕМЕНТ'!AF20)</f>
        <v xml:space="preserve">  </v>
      </c>
      <c r="N20" s="41">
        <f>'Лист2-ЭЛЕМЕНТ'!D20</f>
        <v>0</v>
      </c>
      <c r="O20" s="42">
        <f>'Лист2-ЭЛЕМЕНТ'!F20</f>
        <v>0</v>
      </c>
      <c r="P20" s="40"/>
      <c r="Q20" s="40">
        <f>IF(M20&lt;&gt;0, VLOOKUP(M20,'Вспомогательный лист'!$M$5:$P$40,4,FALSE), "Не-а")</f>
        <v>0</v>
      </c>
      <c r="R20" t="str">
        <f t="shared" si="0"/>
        <v>ЛОЖЬ</v>
      </c>
    </row>
    <row r="21" spans="1:18" x14ac:dyDescent="0.25">
      <c r="A21" s="17" t="str">
        <f>IF(ISBLANK('Лист2-ЭЛЕМЕНТ'!A21),"",'Лист2-ЭЛЕМЕНТ'!A21)</f>
        <v/>
      </c>
      <c r="B21" s="17" t="str">
        <f>IF(ISBLANK('Лист2-ЭЛЕМЕНТ'!B21),"",'Лист2-ЭЛЕМЕНТ'!B21)</f>
        <v/>
      </c>
      <c r="C21" s="17" t="str">
        <f>IF(ISBLANK('Лист2-ЭЛЕМЕНТ'!C21),"",'Лист2-ЭЛЕМЕНТ'!C21)</f>
        <v/>
      </c>
      <c r="D21" s="23" t="str">
        <f>IF(ISBLANK('Лист2-ЭЛЕМЕНТ'!D21),"",'Лист2-ЭЛЕМЕНТ'!D21)</f>
        <v/>
      </c>
      <c r="E21" s="19" t="str">
        <f>IF(ISBLANK('Лист2-ЭЛЕМЕНТ'!Z21),"",'Лист2-ЭЛЕМЕНТ'!Z21)</f>
        <v>_</v>
      </c>
      <c r="F21" s="20" t="str">
        <f>IF(ISBLANK('Лист2-ЭЛЕМЕНТ'!BB21), "",'Лист2-ЭЛЕМЕНТ'!BB21)</f>
        <v/>
      </c>
      <c r="G21" s="21" t="str">
        <f>IF(ISBLANK('Лист2-ЭЛЕМЕНТ'!BC21), "",'Лист2-ЭЛЕМЕНТ'!BC21)</f>
        <v/>
      </c>
      <c r="H21" s="19" t="str">
        <f>IF(ISBLANK('Лист2-ЭЛЕМЕНТ'!BD21), "",'Лист2-ЭЛЕМЕНТ'!BD21)</f>
        <v/>
      </c>
      <c r="I21" s="19"/>
      <c r="J21" s="24" t="s">
        <v>190</v>
      </c>
      <c r="K21" t="str">
        <f>IF('Лист2-ЭЛЕМЕНТ'!BA21&lt;&gt;0,'Лист2-ЭЛЕМЕНТ'!BA21,"")</f>
        <v/>
      </c>
      <c r="M21" t="str">
        <f>CONCATENATE('Лист2-ЭЛЕМЕНТ'!D21," ",'Лист2-ЭЛЕМЕНТ'!F21, " ",'Лист2-ЭЛЕМЕНТ'!AF21)</f>
        <v xml:space="preserve">  </v>
      </c>
      <c r="N21" s="41">
        <f>'Лист2-ЭЛЕМЕНТ'!D21</f>
        <v>0</v>
      </c>
      <c r="O21" s="42">
        <f>'Лист2-ЭЛЕМЕНТ'!F21</f>
        <v>0</v>
      </c>
      <c r="P21" s="40"/>
      <c r="Q21" s="40">
        <f>IF(M21&lt;&gt;0, VLOOKUP(M21,'Вспомогательный лист'!$M$5:$P$40,4,FALSE), "Не-а")</f>
        <v>0</v>
      </c>
      <c r="R21" t="str">
        <f t="shared" si="0"/>
        <v>ЛОЖЬ</v>
      </c>
    </row>
    <row r="22" spans="1:18" x14ac:dyDescent="0.25">
      <c r="A22" s="17" t="str">
        <f>IF(ISBLANK('Лист2-ЭЛЕМЕНТ'!A22),"",'Лист2-ЭЛЕМЕНТ'!A22)</f>
        <v/>
      </c>
      <c r="B22" s="17" t="str">
        <f>IF(ISBLANK('Лист2-ЭЛЕМЕНТ'!B22),"",'Лист2-ЭЛЕМЕНТ'!B22)</f>
        <v/>
      </c>
      <c r="C22" s="17" t="str">
        <f>IF(ISBLANK('Лист2-ЭЛЕМЕНТ'!C22),"",'Лист2-ЭЛЕМЕНТ'!C22)</f>
        <v/>
      </c>
      <c r="D22" s="23" t="str">
        <f>IF(ISBLANK('Лист2-ЭЛЕМЕНТ'!D22),"",'Лист2-ЭЛЕМЕНТ'!D22)</f>
        <v/>
      </c>
      <c r="E22" s="19" t="str">
        <f>IF(ISBLANK('Лист2-ЭЛЕМЕНТ'!Z22),"",'Лист2-ЭЛЕМЕНТ'!Z22)</f>
        <v>_</v>
      </c>
      <c r="F22" s="20" t="str">
        <f>IF(ISBLANK('Лист2-ЭЛЕМЕНТ'!BB22), "",'Лист2-ЭЛЕМЕНТ'!BB22)</f>
        <v/>
      </c>
      <c r="G22" s="21" t="str">
        <f>IF(ISBLANK('Лист2-ЭЛЕМЕНТ'!BC22), "",'Лист2-ЭЛЕМЕНТ'!BC22)</f>
        <v/>
      </c>
      <c r="H22" s="19" t="str">
        <f>IF(ISBLANK('Лист2-ЭЛЕМЕНТ'!BD22), "",'Лист2-ЭЛЕМЕНТ'!BD22)</f>
        <v/>
      </c>
      <c r="I22" s="19"/>
      <c r="J22" s="24" t="s">
        <v>190</v>
      </c>
      <c r="K22" t="str">
        <f>IF('Лист2-ЭЛЕМЕНТ'!BA22&lt;&gt;0,'Лист2-ЭЛЕМЕНТ'!BA22,"")</f>
        <v/>
      </c>
      <c r="M22" t="str">
        <f>CONCATENATE('Лист2-ЭЛЕМЕНТ'!D22," ",'Лист2-ЭЛЕМЕНТ'!F22, " ",'Лист2-ЭЛЕМЕНТ'!AF22)</f>
        <v xml:space="preserve">  </v>
      </c>
      <c r="N22" s="41">
        <f>'Лист2-ЭЛЕМЕНТ'!D22</f>
        <v>0</v>
      </c>
      <c r="O22" s="42">
        <f>'Лист2-ЭЛЕМЕНТ'!F22</f>
        <v>0</v>
      </c>
      <c r="P22" s="40"/>
      <c r="Q22" s="40">
        <f>IF(M22&lt;&gt;0, VLOOKUP(M22,'Вспомогательный лист'!$M$5:$P$40,4,FALSE), "Не-а")</f>
        <v>0</v>
      </c>
      <c r="R22" t="str">
        <f t="shared" si="0"/>
        <v>ЛОЖЬ</v>
      </c>
    </row>
    <row r="23" spans="1:18" x14ac:dyDescent="0.25">
      <c r="A23" s="17" t="str">
        <f>IF(ISBLANK('Лист2-ЭЛЕМЕНТ'!A23),"",'Лист2-ЭЛЕМЕНТ'!A23)</f>
        <v/>
      </c>
      <c r="B23" s="17" t="str">
        <f>IF(ISBLANK('Лист2-ЭЛЕМЕНТ'!B23),"",'Лист2-ЭЛЕМЕНТ'!B23)</f>
        <v/>
      </c>
      <c r="C23" s="17" t="str">
        <f>IF(ISBLANK('Лист2-ЭЛЕМЕНТ'!C23),"",'Лист2-ЭЛЕМЕНТ'!C23)</f>
        <v/>
      </c>
      <c r="D23" s="23" t="str">
        <f>IF(ISBLANK('Лист2-ЭЛЕМЕНТ'!D23),"",'Лист2-ЭЛЕМЕНТ'!D23)</f>
        <v/>
      </c>
      <c r="E23" s="19" t="str">
        <f>IF(ISBLANK('Лист2-ЭЛЕМЕНТ'!Z23),"",'Лист2-ЭЛЕМЕНТ'!Z23)</f>
        <v>_</v>
      </c>
      <c r="F23" s="20" t="str">
        <f>IF(ISBLANK('Лист2-ЭЛЕМЕНТ'!BB23), "",'Лист2-ЭЛЕМЕНТ'!BB23)</f>
        <v/>
      </c>
      <c r="G23" s="21" t="str">
        <f>IF(ISBLANK('Лист2-ЭЛЕМЕНТ'!BC23), "",'Лист2-ЭЛЕМЕНТ'!BC23)</f>
        <v/>
      </c>
      <c r="H23" s="19" t="str">
        <f>IF(ISBLANK('Лист2-ЭЛЕМЕНТ'!BD23), "",'Лист2-ЭЛЕМЕНТ'!BD23)</f>
        <v/>
      </c>
      <c r="I23" s="19"/>
      <c r="J23" s="24" t="s">
        <v>190</v>
      </c>
      <c r="K23" t="str">
        <f>IF('Лист2-ЭЛЕМЕНТ'!BA23&lt;&gt;0,'Лист2-ЭЛЕМЕНТ'!BA23,"")</f>
        <v/>
      </c>
      <c r="M23" t="str">
        <f>CONCATENATE('Лист2-ЭЛЕМЕНТ'!D23," ",'Лист2-ЭЛЕМЕНТ'!F23, " ",'Лист2-ЭЛЕМЕНТ'!AF23)</f>
        <v xml:space="preserve">  </v>
      </c>
      <c r="N23" s="41">
        <f>'Лист2-ЭЛЕМЕНТ'!D23</f>
        <v>0</v>
      </c>
      <c r="O23" s="42">
        <f>'Лист2-ЭЛЕМЕНТ'!F23</f>
        <v>0</v>
      </c>
      <c r="P23" s="40"/>
      <c r="Q23" s="40">
        <f>IF(M23&lt;&gt;0, VLOOKUP(M23,'Вспомогательный лист'!$M$5:$P$40,4,FALSE), "Не-а")</f>
        <v>0</v>
      </c>
      <c r="R23" t="str">
        <f t="shared" si="0"/>
        <v>ЛОЖЬ</v>
      </c>
    </row>
    <row r="24" spans="1:18" x14ac:dyDescent="0.25">
      <c r="A24" s="17" t="str">
        <f>IF(ISBLANK('Лист2-ЭЛЕМЕНТ'!A24),"",'Лист2-ЭЛЕМЕНТ'!A24)</f>
        <v/>
      </c>
      <c r="B24" s="17" t="str">
        <f>IF(ISBLANK('Лист2-ЭЛЕМЕНТ'!B24),"",'Лист2-ЭЛЕМЕНТ'!B24)</f>
        <v/>
      </c>
      <c r="C24" s="17" t="str">
        <f>IF(ISBLANK('Лист2-ЭЛЕМЕНТ'!C24),"",'Лист2-ЭЛЕМЕНТ'!C24)</f>
        <v/>
      </c>
      <c r="D24" s="23" t="str">
        <f>IF(ISBLANK('Лист2-ЭЛЕМЕНТ'!D24),"",'Лист2-ЭЛЕМЕНТ'!D24)</f>
        <v/>
      </c>
      <c r="E24" s="19" t="str">
        <f>IF(ISBLANK('Лист2-ЭЛЕМЕНТ'!Z24),"",'Лист2-ЭЛЕМЕНТ'!Z24)</f>
        <v>_</v>
      </c>
      <c r="F24" s="20" t="str">
        <f>IF(ISBLANK('Лист2-ЭЛЕМЕНТ'!BB24), "",'Лист2-ЭЛЕМЕНТ'!BB24)</f>
        <v/>
      </c>
      <c r="G24" s="21" t="str">
        <f>IF(ISBLANK('Лист2-ЭЛЕМЕНТ'!BC24), "",'Лист2-ЭЛЕМЕНТ'!BC24)</f>
        <v/>
      </c>
      <c r="H24" s="19" t="str">
        <f>IF(ISBLANK('Лист2-ЭЛЕМЕНТ'!BD24), "",'Лист2-ЭЛЕМЕНТ'!BD24)</f>
        <v/>
      </c>
      <c r="I24" s="19"/>
      <c r="J24" s="24" t="s">
        <v>190</v>
      </c>
      <c r="K24" t="str">
        <f>IF('Лист2-ЭЛЕМЕНТ'!BA24&lt;&gt;0,'Лист2-ЭЛЕМЕНТ'!BA24,"")</f>
        <v/>
      </c>
      <c r="M24" t="str">
        <f>CONCATENATE('Лист2-ЭЛЕМЕНТ'!D24," ",'Лист2-ЭЛЕМЕНТ'!F24, " ",'Лист2-ЭЛЕМЕНТ'!AF24)</f>
        <v xml:space="preserve">  </v>
      </c>
      <c r="N24" s="41">
        <f>'Лист2-ЭЛЕМЕНТ'!D24</f>
        <v>0</v>
      </c>
      <c r="O24" s="42">
        <f>'Лист2-ЭЛЕМЕНТ'!F24</f>
        <v>0</v>
      </c>
      <c r="P24" s="40"/>
      <c r="Q24" s="40">
        <f>IF(M24&lt;&gt;0, VLOOKUP(M24,'Вспомогательный лист'!$M$5:$P$40,4,FALSE), "Не-а")</f>
        <v>0</v>
      </c>
      <c r="R24" t="str">
        <f t="shared" si="0"/>
        <v>ЛОЖЬ</v>
      </c>
    </row>
    <row r="25" spans="1:18" x14ac:dyDescent="0.25">
      <c r="A25" s="17" t="str">
        <f>IF(ISBLANK('Лист2-ЭЛЕМЕНТ'!A25),"",'Лист2-ЭЛЕМЕНТ'!A25)</f>
        <v/>
      </c>
      <c r="B25" s="17" t="str">
        <f>IF(ISBLANK('Лист2-ЭЛЕМЕНТ'!B25),"",'Лист2-ЭЛЕМЕНТ'!B25)</f>
        <v/>
      </c>
      <c r="C25" s="17" t="str">
        <f>IF(ISBLANK('Лист2-ЭЛЕМЕНТ'!C25),"",'Лист2-ЭЛЕМЕНТ'!C25)</f>
        <v/>
      </c>
      <c r="D25" s="23" t="str">
        <f>IF(ISBLANK('Лист2-ЭЛЕМЕНТ'!D25),"",'Лист2-ЭЛЕМЕНТ'!D25)</f>
        <v/>
      </c>
      <c r="E25" s="19" t="str">
        <f>IF(ISBLANK('Лист2-ЭЛЕМЕНТ'!Z25),"",'Лист2-ЭЛЕМЕНТ'!Z25)</f>
        <v>_</v>
      </c>
      <c r="F25" s="20" t="str">
        <f>IF(ISBLANK('Лист2-ЭЛЕМЕНТ'!BB25), "",'Лист2-ЭЛЕМЕНТ'!BB25)</f>
        <v/>
      </c>
      <c r="G25" s="21" t="str">
        <f>IF(ISBLANK('Лист2-ЭЛЕМЕНТ'!BC25), "",'Лист2-ЭЛЕМЕНТ'!BC25)</f>
        <v/>
      </c>
      <c r="H25" s="19" t="str">
        <f>IF(ISBLANK('Лист2-ЭЛЕМЕНТ'!BD25), "",'Лист2-ЭЛЕМЕНТ'!BD25)</f>
        <v/>
      </c>
      <c r="I25" s="19"/>
      <c r="J25" s="24" t="s">
        <v>190</v>
      </c>
      <c r="K25" t="str">
        <f>IF('Лист2-ЭЛЕМЕНТ'!BA25&lt;&gt;0,'Лист2-ЭЛЕМЕНТ'!BA25,"")</f>
        <v/>
      </c>
      <c r="M25" t="str">
        <f>CONCATENATE('Лист2-ЭЛЕМЕНТ'!D25," ",'Лист2-ЭЛЕМЕНТ'!F25, " ",'Лист2-ЭЛЕМЕНТ'!AF25)</f>
        <v xml:space="preserve">  </v>
      </c>
      <c r="N25" s="41">
        <f>'Лист2-ЭЛЕМЕНТ'!D25</f>
        <v>0</v>
      </c>
      <c r="O25" s="42">
        <f>'Лист2-ЭЛЕМЕНТ'!F25</f>
        <v>0</v>
      </c>
      <c r="P25" s="40"/>
      <c r="Q25" s="40">
        <f>IF(M25&lt;&gt;0, VLOOKUP(M25,'Вспомогательный лист'!$M$5:$P$40,4,FALSE), "Не-а")</f>
        <v>0</v>
      </c>
      <c r="R25" t="str">
        <f t="shared" si="0"/>
        <v>ЛОЖЬ</v>
      </c>
    </row>
    <row r="26" spans="1:18" x14ac:dyDescent="0.25">
      <c r="A26" s="17" t="str">
        <f>IF(ISBLANK('Лист2-ЭЛЕМЕНТ'!A26),"",'Лист2-ЭЛЕМЕНТ'!A26)</f>
        <v/>
      </c>
      <c r="B26" s="17" t="str">
        <f>IF(ISBLANK('Лист2-ЭЛЕМЕНТ'!B26),"",'Лист2-ЭЛЕМЕНТ'!B26)</f>
        <v/>
      </c>
      <c r="C26" s="17" t="str">
        <f>IF(ISBLANK('Лист2-ЭЛЕМЕНТ'!C26),"",'Лист2-ЭЛЕМЕНТ'!C26)</f>
        <v/>
      </c>
      <c r="D26" s="23" t="str">
        <f>IF(ISBLANK('Лист2-ЭЛЕМЕНТ'!D26),"",'Лист2-ЭЛЕМЕНТ'!D26)</f>
        <v/>
      </c>
      <c r="E26" s="19" t="str">
        <f>IF(ISBLANK('Лист2-ЭЛЕМЕНТ'!Z26),"",'Лист2-ЭЛЕМЕНТ'!Z26)</f>
        <v>_</v>
      </c>
      <c r="F26" s="20" t="str">
        <f>IF(ISBLANK('Лист2-ЭЛЕМЕНТ'!BB26), "",'Лист2-ЭЛЕМЕНТ'!BB26)</f>
        <v/>
      </c>
      <c r="G26" s="21" t="str">
        <f>IF(ISBLANK('Лист2-ЭЛЕМЕНТ'!BC26), "",'Лист2-ЭЛЕМЕНТ'!BC26)</f>
        <v/>
      </c>
      <c r="H26" s="19" t="str">
        <f>IF(ISBLANK('Лист2-ЭЛЕМЕНТ'!BD26), "",'Лист2-ЭЛЕМЕНТ'!BD26)</f>
        <v/>
      </c>
      <c r="I26" s="19"/>
      <c r="J26" s="24" t="s">
        <v>190</v>
      </c>
      <c r="K26" t="str">
        <f>IF('Лист2-ЭЛЕМЕНТ'!BA26&lt;&gt;0,'Лист2-ЭЛЕМЕНТ'!BA26,"")</f>
        <v/>
      </c>
      <c r="M26" t="str">
        <f>CONCATENATE('Лист2-ЭЛЕМЕНТ'!D26," ",'Лист2-ЭЛЕМЕНТ'!F26, " ",'Лист2-ЭЛЕМЕНТ'!AF26)</f>
        <v xml:space="preserve">  </v>
      </c>
      <c r="N26" s="41">
        <f>'Лист2-ЭЛЕМЕНТ'!D26</f>
        <v>0</v>
      </c>
      <c r="O26" s="42">
        <f>'Лист2-ЭЛЕМЕНТ'!F26</f>
        <v>0</v>
      </c>
      <c r="P26" s="40"/>
      <c r="Q26" s="40">
        <f>IF(M26&lt;&gt;0, VLOOKUP(M26,'Вспомогательный лист'!$M$5:$P$40,4,FALSE), "Не-а")</f>
        <v>0</v>
      </c>
      <c r="R26" t="str">
        <f t="shared" si="0"/>
        <v>ЛОЖЬ</v>
      </c>
    </row>
    <row r="27" spans="1:18" x14ac:dyDescent="0.25">
      <c r="A27" s="17" t="str">
        <f>IF(ISBLANK('Лист2-ЭЛЕМЕНТ'!A27),"",'Лист2-ЭЛЕМЕНТ'!A27)</f>
        <v/>
      </c>
      <c r="B27" s="17" t="str">
        <f>IF(ISBLANK('Лист2-ЭЛЕМЕНТ'!B27),"",'Лист2-ЭЛЕМЕНТ'!B27)</f>
        <v/>
      </c>
      <c r="C27" s="17" t="str">
        <f>IF(ISBLANK('Лист2-ЭЛЕМЕНТ'!C27),"",'Лист2-ЭЛЕМЕНТ'!C27)</f>
        <v/>
      </c>
      <c r="D27" s="23" t="str">
        <f>IF(ISBLANK('Лист2-ЭЛЕМЕНТ'!D27),"",'Лист2-ЭЛЕМЕНТ'!D27)</f>
        <v/>
      </c>
      <c r="E27" s="19" t="str">
        <f>IF(ISBLANK('Лист2-ЭЛЕМЕНТ'!Z27),"",'Лист2-ЭЛЕМЕНТ'!Z27)</f>
        <v>_</v>
      </c>
      <c r="F27" s="20" t="str">
        <f>IF(ISBLANK('Лист2-ЭЛЕМЕНТ'!BB27), "",'Лист2-ЭЛЕМЕНТ'!BB27)</f>
        <v/>
      </c>
      <c r="G27" s="21" t="str">
        <f>IF(ISBLANK('Лист2-ЭЛЕМЕНТ'!BC27), "",'Лист2-ЭЛЕМЕНТ'!BC27)</f>
        <v/>
      </c>
      <c r="H27" s="19" t="str">
        <f>IF(ISBLANK('Лист2-ЭЛЕМЕНТ'!BD27), "",'Лист2-ЭЛЕМЕНТ'!BD27)</f>
        <v/>
      </c>
      <c r="I27" s="19"/>
      <c r="J27" s="24" t="s">
        <v>190</v>
      </c>
      <c r="K27" t="str">
        <f>IF('Лист2-ЭЛЕМЕНТ'!BA27&lt;&gt;0,'Лист2-ЭЛЕМЕНТ'!BA27,"")</f>
        <v/>
      </c>
      <c r="M27" t="str">
        <f>CONCATENATE('Лист2-ЭЛЕМЕНТ'!D27," ",'Лист2-ЭЛЕМЕНТ'!F27, " ",'Лист2-ЭЛЕМЕНТ'!AF27)</f>
        <v xml:space="preserve">  </v>
      </c>
      <c r="N27" s="41">
        <f>'Лист2-ЭЛЕМЕНТ'!D27</f>
        <v>0</v>
      </c>
      <c r="O27" s="42">
        <f>'Лист2-ЭЛЕМЕНТ'!F27</f>
        <v>0</v>
      </c>
      <c r="P27" s="40"/>
      <c r="Q27" s="40">
        <f>IF(M27&lt;&gt;0, VLOOKUP(M27,'Вспомогательный лист'!$M$5:$P$40,4,FALSE), "Не-а")</f>
        <v>0</v>
      </c>
      <c r="R27" t="str">
        <f t="shared" si="0"/>
        <v>ЛОЖЬ</v>
      </c>
    </row>
    <row r="28" spans="1:18" x14ac:dyDescent="0.25">
      <c r="A28" s="17" t="str">
        <f>IF(ISBLANK('Лист2-ЭЛЕМЕНТ'!A28),"",'Лист2-ЭЛЕМЕНТ'!A28)</f>
        <v/>
      </c>
      <c r="B28" s="17" t="str">
        <f>IF(ISBLANK('Лист2-ЭЛЕМЕНТ'!B28),"",'Лист2-ЭЛЕМЕНТ'!B28)</f>
        <v/>
      </c>
      <c r="C28" s="17" t="str">
        <f>IF(ISBLANK('Лист2-ЭЛЕМЕНТ'!C28),"",'Лист2-ЭЛЕМЕНТ'!C28)</f>
        <v/>
      </c>
      <c r="D28" s="23" t="str">
        <f>IF(ISBLANK('Лист2-ЭЛЕМЕНТ'!D28),"",'Лист2-ЭЛЕМЕНТ'!D28)</f>
        <v/>
      </c>
      <c r="E28" s="19" t="str">
        <f>IF(ISBLANK('Лист2-ЭЛЕМЕНТ'!Z28),"",'Лист2-ЭЛЕМЕНТ'!Z28)</f>
        <v>_</v>
      </c>
      <c r="F28" s="20" t="str">
        <f>IF(ISBLANK('Лист2-ЭЛЕМЕНТ'!BB28), "",'Лист2-ЭЛЕМЕНТ'!BB28)</f>
        <v/>
      </c>
      <c r="G28" s="21" t="str">
        <f>IF(ISBLANK('Лист2-ЭЛЕМЕНТ'!BC28), "",'Лист2-ЭЛЕМЕНТ'!BC28)</f>
        <v/>
      </c>
      <c r="H28" s="19" t="str">
        <f>IF(ISBLANK('Лист2-ЭЛЕМЕНТ'!BD28), "",'Лист2-ЭЛЕМЕНТ'!BD28)</f>
        <v/>
      </c>
      <c r="I28" s="19"/>
      <c r="J28" s="24" t="s">
        <v>190</v>
      </c>
      <c r="K28" t="str">
        <f>IF('Лист2-ЭЛЕМЕНТ'!BA28&lt;&gt;0,'Лист2-ЭЛЕМЕНТ'!BA28,"")</f>
        <v/>
      </c>
      <c r="M28" t="str">
        <f>CONCATENATE('Лист2-ЭЛЕМЕНТ'!D28," ",'Лист2-ЭЛЕМЕНТ'!F28, " ",'Лист2-ЭЛЕМЕНТ'!AF28)</f>
        <v xml:space="preserve">  </v>
      </c>
      <c r="N28" s="41">
        <f>'Лист2-ЭЛЕМЕНТ'!D28</f>
        <v>0</v>
      </c>
      <c r="O28" s="42">
        <f>'Лист2-ЭЛЕМЕНТ'!F28</f>
        <v>0</v>
      </c>
      <c r="P28" s="40"/>
      <c r="Q28" s="40">
        <f>IF(M28&lt;&gt;0, VLOOKUP(M28,'Вспомогательный лист'!$M$5:$P$40,4,FALSE), "Не-а")</f>
        <v>0</v>
      </c>
      <c r="R28" t="str">
        <f t="shared" si="0"/>
        <v>ЛОЖЬ</v>
      </c>
    </row>
    <row r="29" spans="1:18" x14ac:dyDescent="0.25">
      <c r="A29" s="17" t="str">
        <f>IF(ISBLANK('Лист2-ЭЛЕМЕНТ'!A29),"",'Лист2-ЭЛЕМЕНТ'!A29)</f>
        <v/>
      </c>
      <c r="B29" s="17" t="str">
        <f>IF(ISBLANK('Лист2-ЭЛЕМЕНТ'!B29),"",'Лист2-ЭЛЕМЕНТ'!B29)</f>
        <v/>
      </c>
      <c r="C29" s="17" t="str">
        <f>IF(ISBLANK('Лист2-ЭЛЕМЕНТ'!C29),"",'Лист2-ЭЛЕМЕНТ'!C29)</f>
        <v/>
      </c>
      <c r="D29" s="23" t="str">
        <f>IF(ISBLANK('Лист2-ЭЛЕМЕНТ'!D29),"",'Лист2-ЭЛЕМЕНТ'!D29)</f>
        <v/>
      </c>
      <c r="E29" s="19" t="str">
        <f>IF(ISBLANK('Лист2-ЭЛЕМЕНТ'!Z29),"",'Лист2-ЭЛЕМЕНТ'!Z29)</f>
        <v>_</v>
      </c>
      <c r="F29" s="20" t="str">
        <f>IF(ISBLANK('Лист2-ЭЛЕМЕНТ'!BB29), "",'Лист2-ЭЛЕМЕНТ'!BB29)</f>
        <v/>
      </c>
      <c r="G29" s="21" t="str">
        <f>IF(ISBLANK('Лист2-ЭЛЕМЕНТ'!BC29), "",'Лист2-ЭЛЕМЕНТ'!BC29)</f>
        <v/>
      </c>
      <c r="H29" s="19" t="str">
        <f>IF(ISBLANK('Лист2-ЭЛЕМЕНТ'!BD29), "",'Лист2-ЭЛЕМЕНТ'!BD29)</f>
        <v/>
      </c>
      <c r="I29" s="19"/>
      <c r="J29" s="24" t="s">
        <v>190</v>
      </c>
      <c r="K29" t="str">
        <f>IF('Лист2-ЭЛЕМЕНТ'!BA29&lt;&gt;0,'Лист2-ЭЛЕМЕНТ'!BA29,"")</f>
        <v/>
      </c>
      <c r="M29" t="str">
        <f>CONCATENATE('Лист2-ЭЛЕМЕНТ'!D29," ",'Лист2-ЭЛЕМЕНТ'!F29, " ",'Лист2-ЭЛЕМЕНТ'!AF29)</f>
        <v xml:space="preserve">  </v>
      </c>
      <c r="N29" s="41">
        <f>'Лист2-ЭЛЕМЕНТ'!D29</f>
        <v>0</v>
      </c>
      <c r="O29" s="42">
        <f>'Лист2-ЭЛЕМЕНТ'!F29</f>
        <v>0</v>
      </c>
      <c r="P29" s="40"/>
      <c r="Q29" s="40">
        <f>IF(M29&lt;&gt;0, VLOOKUP(M29,'Вспомогательный лист'!$M$5:$P$40,4,FALSE), "Не-а")</f>
        <v>0</v>
      </c>
      <c r="R29" t="str">
        <f t="shared" si="0"/>
        <v>ЛОЖЬ</v>
      </c>
    </row>
    <row r="30" spans="1:18" x14ac:dyDescent="0.25">
      <c r="A30" s="17" t="str">
        <f>IF(ISBLANK('Лист2-ЭЛЕМЕНТ'!A30),"",'Лист2-ЭЛЕМЕНТ'!A30)</f>
        <v/>
      </c>
      <c r="B30" s="17" t="str">
        <f>IF(ISBLANK('Лист2-ЭЛЕМЕНТ'!B30),"",'Лист2-ЭЛЕМЕНТ'!B30)</f>
        <v/>
      </c>
      <c r="C30" s="17" t="str">
        <f>IF(ISBLANK('Лист2-ЭЛЕМЕНТ'!C30),"",'Лист2-ЭЛЕМЕНТ'!C30)</f>
        <v/>
      </c>
      <c r="D30" s="23" t="str">
        <f>IF(ISBLANK('Лист2-ЭЛЕМЕНТ'!D30),"",'Лист2-ЭЛЕМЕНТ'!D30)</f>
        <v/>
      </c>
      <c r="E30" s="19" t="str">
        <f>IF(ISBLANK('Лист2-ЭЛЕМЕНТ'!Z30),"",'Лист2-ЭЛЕМЕНТ'!Z30)</f>
        <v>_</v>
      </c>
      <c r="F30" s="20" t="str">
        <f>IF(ISBLANK('Лист2-ЭЛЕМЕНТ'!BB30), "",'Лист2-ЭЛЕМЕНТ'!BB30)</f>
        <v/>
      </c>
      <c r="G30" s="21" t="str">
        <f>IF(ISBLANK('Лист2-ЭЛЕМЕНТ'!BC30), "",'Лист2-ЭЛЕМЕНТ'!BC30)</f>
        <v/>
      </c>
      <c r="H30" s="19" t="str">
        <f>IF(ISBLANK('Лист2-ЭЛЕМЕНТ'!BD30), "",'Лист2-ЭЛЕМЕНТ'!BD30)</f>
        <v/>
      </c>
      <c r="I30" s="19"/>
      <c r="J30" s="24" t="s">
        <v>190</v>
      </c>
      <c r="K30" t="str">
        <f>IF('Лист2-ЭЛЕМЕНТ'!BA30&lt;&gt;0,'Лист2-ЭЛЕМЕНТ'!BA30,"")</f>
        <v/>
      </c>
      <c r="M30" t="str">
        <f>CONCATENATE('Лист2-ЭЛЕМЕНТ'!D30," ",'Лист2-ЭЛЕМЕНТ'!F30, " ",'Лист2-ЭЛЕМЕНТ'!AF30)</f>
        <v xml:space="preserve">  </v>
      </c>
      <c r="N30" s="41">
        <f>'Лист2-ЭЛЕМЕНТ'!D30</f>
        <v>0</v>
      </c>
      <c r="O30" s="42">
        <f>'Лист2-ЭЛЕМЕНТ'!F30</f>
        <v>0</v>
      </c>
      <c r="P30" s="40"/>
      <c r="Q30" s="40">
        <f>IF(M30&lt;&gt;0, VLOOKUP(M30,'Вспомогательный лист'!$M$5:$P$40,4,FALSE), "Не-а")</f>
        <v>0</v>
      </c>
      <c r="R30" t="str">
        <f t="shared" si="0"/>
        <v>ЛОЖЬ</v>
      </c>
    </row>
    <row r="31" spans="1:18" x14ac:dyDescent="0.25">
      <c r="A31" s="17" t="str">
        <f>IF(ISBLANK('Лист2-ЭЛЕМЕНТ'!A31),"",'Лист2-ЭЛЕМЕНТ'!A31)</f>
        <v/>
      </c>
      <c r="B31" s="17" t="str">
        <f>IF(ISBLANK('Лист2-ЭЛЕМЕНТ'!B31),"",'Лист2-ЭЛЕМЕНТ'!B31)</f>
        <v/>
      </c>
      <c r="C31" s="17" t="str">
        <f>IF(ISBLANK('Лист2-ЭЛЕМЕНТ'!C31),"",'Лист2-ЭЛЕМЕНТ'!C31)</f>
        <v/>
      </c>
      <c r="D31" s="23" t="str">
        <f>IF(ISBLANK('Лист2-ЭЛЕМЕНТ'!D31),"",'Лист2-ЭЛЕМЕНТ'!D31)</f>
        <v/>
      </c>
      <c r="E31" s="19" t="str">
        <f>IF(ISBLANK('Лист2-ЭЛЕМЕНТ'!Z31),"",'Лист2-ЭЛЕМЕНТ'!Z31)</f>
        <v>_</v>
      </c>
      <c r="F31" s="20" t="str">
        <f>IF(ISBLANK('Лист2-ЭЛЕМЕНТ'!BB31), "",'Лист2-ЭЛЕМЕНТ'!BB31)</f>
        <v/>
      </c>
      <c r="G31" s="21" t="str">
        <f>IF(ISBLANK('Лист2-ЭЛЕМЕНТ'!BC31), "",'Лист2-ЭЛЕМЕНТ'!BC31)</f>
        <v/>
      </c>
      <c r="H31" s="19" t="str">
        <f>IF(ISBLANK('Лист2-ЭЛЕМЕНТ'!BD31), "",'Лист2-ЭЛЕМЕНТ'!BD31)</f>
        <v/>
      </c>
      <c r="I31" s="19"/>
      <c r="J31" s="24" t="s">
        <v>190</v>
      </c>
      <c r="K31" t="str">
        <f>IF('Лист2-ЭЛЕМЕНТ'!BA31&lt;&gt;0,'Лист2-ЭЛЕМЕНТ'!BA31,"")</f>
        <v/>
      </c>
      <c r="M31" t="str">
        <f>CONCATENATE('Лист2-ЭЛЕМЕНТ'!D31," ",'Лист2-ЭЛЕМЕНТ'!F31, " ",'Лист2-ЭЛЕМЕНТ'!AF31)</f>
        <v xml:space="preserve">  </v>
      </c>
      <c r="N31" s="41">
        <f>'Лист2-ЭЛЕМЕНТ'!D31</f>
        <v>0</v>
      </c>
      <c r="O31" s="42">
        <f>'Лист2-ЭЛЕМЕНТ'!F31</f>
        <v>0</v>
      </c>
      <c r="P31" s="40"/>
      <c r="Q31" s="40">
        <f>IF(M31&lt;&gt;0, VLOOKUP(M31,'Вспомогательный лист'!$M$5:$P$40,4,FALSE), "Не-а")</f>
        <v>0</v>
      </c>
      <c r="R31" t="str">
        <f t="shared" si="0"/>
        <v>ЛОЖЬ</v>
      </c>
    </row>
    <row r="32" spans="1:18" x14ac:dyDescent="0.25">
      <c r="A32" s="17" t="str">
        <f>IF(ISBLANK('Лист2-ЭЛЕМЕНТ'!A32),"",'Лист2-ЭЛЕМЕНТ'!A32)</f>
        <v/>
      </c>
      <c r="B32" s="17" t="str">
        <f>IF(ISBLANK('Лист2-ЭЛЕМЕНТ'!B32),"",'Лист2-ЭЛЕМЕНТ'!B32)</f>
        <v/>
      </c>
      <c r="C32" s="17" t="str">
        <f>IF(ISBLANK('Лист2-ЭЛЕМЕНТ'!C32),"",'Лист2-ЭЛЕМЕНТ'!C32)</f>
        <v/>
      </c>
      <c r="D32" s="23" t="str">
        <f>IF(ISBLANK('Лист2-ЭЛЕМЕНТ'!D32),"",'Лист2-ЭЛЕМЕНТ'!D32)</f>
        <v/>
      </c>
      <c r="E32" s="19" t="str">
        <f>IF(ISBLANK('Лист2-ЭЛЕМЕНТ'!Z32),"",'Лист2-ЭЛЕМЕНТ'!Z32)</f>
        <v>_</v>
      </c>
      <c r="F32" s="20" t="str">
        <f>IF(ISBLANK('Лист2-ЭЛЕМЕНТ'!BB32), "",'Лист2-ЭЛЕМЕНТ'!BB32)</f>
        <v/>
      </c>
      <c r="G32" s="21" t="str">
        <f>IF(ISBLANK('Лист2-ЭЛЕМЕНТ'!BC32), "",'Лист2-ЭЛЕМЕНТ'!BC32)</f>
        <v/>
      </c>
      <c r="H32" s="19" t="str">
        <f>IF(ISBLANK('Лист2-ЭЛЕМЕНТ'!BD32), "",'Лист2-ЭЛЕМЕНТ'!BD32)</f>
        <v/>
      </c>
      <c r="I32" s="19"/>
      <c r="J32" s="24" t="s">
        <v>190</v>
      </c>
      <c r="K32" t="str">
        <f>IF('Лист2-ЭЛЕМЕНТ'!BA32&lt;&gt;0,'Лист2-ЭЛЕМЕНТ'!BA32,"")</f>
        <v/>
      </c>
      <c r="M32" t="str">
        <f>CONCATENATE('Лист2-ЭЛЕМЕНТ'!D32," ",'Лист2-ЭЛЕМЕНТ'!F32, " ",'Лист2-ЭЛЕМЕНТ'!AF32)</f>
        <v xml:space="preserve">  </v>
      </c>
      <c r="N32" s="41">
        <f>'Лист2-ЭЛЕМЕНТ'!D32</f>
        <v>0</v>
      </c>
      <c r="O32" s="42">
        <f>'Лист2-ЭЛЕМЕНТ'!F32</f>
        <v>0</v>
      </c>
      <c r="P32" s="40"/>
      <c r="Q32" s="40">
        <f>IF(M32&lt;&gt;0, VLOOKUP(M32,'Вспомогательный лист'!$M$5:$P$40,4,FALSE), "Не-а")</f>
        <v>0</v>
      </c>
      <c r="R32" t="str">
        <f t="shared" si="0"/>
        <v>ЛОЖЬ</v>
      </c>
    </row>
    <row r="33" spans="1:18" x14ac:dyDescent="0.25">
      <c r="A33" s="17" t="str">
        <f>IF(ISBLANK('Лист2-ЭЛЕМЕНТ'!A33),"",'Лист2-ЭЛЕМЕНТ'!A33)</f>
        <v/>
      </c>
      <c r="B33" s="17" t="str">
        <f>IF(ISBLANK('Лист2-ЭЛЕМЕНТ'!B33),"",'Лист2-ЭЛЕМЕНТ'!B33)</f>
        <v/>
      </c>
      <c r="C33" s="17" t="str">
        <f>IF(ISBLANK('Лист2-ЭЛЕМЕНТ'!C33),"",'Лист2-ЭЛЕМЕНТ'!C33)</f>
        <v/>
      </c>
      <c r="D33" s="23" t="str">
        <f>IF(ISBLANK('Лист2-ЭЛЕМЕНТ'!D33),"",'Лист2-ЭЛЕМЕНТ'!D33)</f>
        <v/>
      </c>
      <c r="E33" s="19" t="str">
        <f>IF(ISBLANK('Лист2-ЭЛЕМЕНТ'!Z33),"",'Лист2-ЭЛЕМЕНТ'!Z33)</f>
        <v>_</v>
      </c>
      <c r="F33" s="20" t="str">
        <f>IF(ISBLANK('Лист2-ЭЛЕМЕНТ'!BB33), "",'Лист2-ЭЛЕМЕНТ'!BB33)</f>
        <v/>
      </c>
      <c r="G33" s="21" t="str">
        <f>IF(ISBLANK('Лист2-ЭЛЕМЕНТ'!BC33), "",'Лист2-ЭЛЕМЕНТ'!BC33)</f>
        <v/>
      </c>
      <c r="H33" s="19" t="str">
        <f>IF(ISBLANK('Лист2-ЭЛЕМЕНТ'!BD33), "",'Лист2-ЭЛЕМЕНТ'!BD33)</f>
        <v/>
      </c>
      <c r="I33" s="19"/>
      <c r="J33" s="24" t="s">
        <v>190</v>
      </c>
      <c r="K33" t="str">
        <f>IF('Лист2-ЭЛЕМЕНТ'!BA33&lt;&gt;0,'Лист2-ЭЛЕМЕНТ'!BA33,"")</f>
        <v/>
      </c>
      <c r="M33" t="str">
        <f>CONCATENATE('Лист2-ЭЛЕМЕНТ'!D33," ",'Лист2-ЭЛЕМЕНТ'!F33, " ",'Лист2-ЭЛЕМЕНТ'!AF33)</f>
        <v xml:space="preserve">  </v>
      </c>
      <c r="N33" s="41">
        <f>'Лист2-ЭЛЕМЕНТ'!D33</f>
        <v>0</v>
      </c>
      <c r="O33" s="42">
        <f>'Лист2-ЭЛЕМЕНТ'!F33</f>
        <v>0</v>
      </c>
      <c r="P33" s="40"/>
      <c r="Q33" s="40">
        <f>IF(M33&lt;&gt;0, VLOOKUP(M33,'Вспомогательный лист'!$M$5:$P$40,4,FALSE), "Не-а")</f>
        <v>0</v>
      </c>
      <c r="R33" t="str">
        <f t="shared" si="0"/>
        <v>ЛОЖЬ</v>
      </c>
    </row>
    <row r="34" spans="1:18" x14ac:dyDescent="0.25">
      <c r="A34" s="17" t="str">
        <f>IF(ISBLANK('Лист2-ЭЛЕМЕНТ'!A34),"",'Лист2-ЭЛЕМЕНТ'!A34)</f>
        <v/>
      </c>
      <c r="B34" s="17" t="str">
        <f>IF(ISBLANK('Лист2-ЭЛЕМЕНТ'!B34),"",'Лист2-ЭЛЕМЕНТ'!B34)</f>
        <v/>
      </c>
      <c r="C34" s="17" t="str">
        <f>IF(ISBLANK('Лист2-ЭЛЕМЕНТ'!C34),"",'Лист2-ЭЛЕМЕНТ'!C34)</f>
        <v/>
      </c>
      <c r="D34" s="23" t="str">
        <f>IF(ISBLANK('Лист2-ЭЛЕМЕНТ'!D34),"",'Лист2-ЭЛЕМЕНТ'!D34)</f>
        <v/>
      </c>
      <c r="E34" s="19" t="str">
        <f>IF(ISBLANK('Лист2-ЭЛЕМЕНТ'!Z34),"",'Лист2-ЭЛЕМЕНТ'!Z34)</f>
        <v>_</v>
      </c>
      <c r="F34" s="20" t="str">
        <f>IF(ISBLANK('Лист2-ЭЛЕМЕНТ'!BB34), "",'Лист2-ЭЛЕМЕНТ'!BB34)</f>
        <v/>
      </c>
      <c r="G34" s="21" t="str">
        <f>IF(ISBLANK('Лист2-ЭЛЕМЕНТ'!BC34), "",'Лист2-ЭЛЕМЕНТ'!BC34)</f>
        <v/>
      </c>
      <c r="H34" s="19" t="str">
        <f>IF(ISBLANK('Лист2-ЭЛЕМЕНТ'!BD34), "",'Лист2-ЭЛЕМЕНТ'!BD34)</f>
        <v/>
      </c>
      <c r="I34" s="19"/>
      <c r="J34" s="24" t="s">
        <v>190</v>
      </c>
      <c r="K34" t="str">
        <f>IF('Лист2-ЭЛЕМЕНТ'!BA34&lt;&gt;0,'Лист2-ЭЛЕМЕНТ'!BA34,"")</f>
        <v/>
      </c>
      <c r="M34" t="str">
        <f>CONCATENATE('Лист2-ЭЛЕМЕНТ'!D34," ",'Лист2-ЭЛЕМЕНТ'!F34, " ",'Лист2-ЭЛЕМЕНТ'!AF34)</f>
        <v xml:space="preserve">  </v>
      </c>
      <c r="N34" s="41">
        <f>'Лист2-ЭЛЕМЕНТ'!D34</f>
        <v>0</v>
      </c>
      <c r="O34" s="42">
        <f>'Лист2-ЭЛЕМЕНТ'!F34</f>
        <v>0</v>
      </c>
      <c r="P34" s="40"/>
      <c r="Q34" s="40">
        <f>IF(M34&lt;&gt;0, VLOOKUP(M34,'Вспомогательный лист'!$M$5:$P$40,4,FALSE), "Не-а")</f>
        <v>0</v>
      </c>
      <c r="R34" t="str">
        <f t="shared" si="0"/>
        <v>ЛОЖЬ</v>
      </c>
    </row>
    <row r="35" spans="1:18" x14ac:dyDescent="0.25">
      <c r="A35" s="17" t="str">
        <f>IF(ISBLANK('Лист2-ЭЛЕМЕНТ'!A35),"",'Лист2-ЭЛЕМЕНТ'!A35)</f>
        <v/>
      </c>
      <c r="B35" s="17" t="str">
        <f>IF(ISBLANK('Лист2-ЭЛЕМЕНТ'!B35),"",'Лист2-ЭЛЕМЕНТ'!B35)</f>
        <v/>
      </c>
      <c r="C35" s="17" t="str">
        <f>IF(ISBLANK('Лист2-ЭЛЕМЕНТ'!C35),"",'Лист2-ЭЛЕМЕНТ'!C35)</f>
        <v/>
      </c>
      <c r="D35" s="23" t="str">
        <f>IF(ISBLANK('Лист2-ЭЛЕМЕНТ'!D35),"",'Лист2-ЭЛЕМЕНТ'!D35)</f>
        <v/>
      </c>
      <c r="E35" s="19" t="str">
        <f>IF(ISBLANK('Лист2-ЭЛЕМЕНТ'!Z35),"",'Лист2-ЭЛЕМЕНТ'!Z35)</f>
        <v>_</v>
      </c>
      <c r="F35" s="20" t="str">
        <f>IF(ISBLANK('Лист2-ЭЛЕМЕНТ'!BB35), "",'Лист2-ЭЛЕМЕНТ'!BB35)</f>
        <v/>
      </c>
      <c r="G35" s="21" t="str">
        <f>IF(ISBLANK('Лист2-ЭЛЕМЕНТ'!BC35), "",'Лист2-ЭЛЕМЕНТ'!BC35)</f>
        <v/>
      </c>
      <c r="H35" s="19" t="str">
        <f>IF(ISBLANK('Лист2-ЭЛЕМЕНТ'!BD35), "",'Лист2-ЭЛЕМЕНТ'!BD35)</f>
        <v/>
      </c>
      <c r="I35" s="19"/>
      <c r="J35" s="24" t="s">
        <v>190</v>
      </c>
      <c r="K35" t="str">
        <f>IF('Лист2-ЭЛЕМЕНТ'!BA35&lt;&gt;0,'Лист2-ЭЛЕМЕНТ'!BA35,"")</f>
        <v/>
      </c>
      <c r="M35" t="str">
        <f>CONCATENATE('Лист2-ЭЛЕМЕНТ'!D35," ",'Лист2-ЭЛЕМЕНТ'!F35, " ",'Лист2-ЭЛЕМЕНТ'!AF35)</f>
        <v xml:space="preserve">  </v>
      </c>
      <c r="N35" s="41">
        <f>'Лист2-ЭЛЕМЕНТ'!D35</f>
        <v>0</v>
      </c>
      <c r="O35" s="42">
        <f>'Лист2-ЭЛЕМЕНТ'!F35</f>
        <v>0</v>
      </c>
      <c r="P35" s="40"/>
      <c r="Q35" s="40">
        <f>IF(M35&lt;&gt;0, VLOOKUP(M35,'Вспомогательный лист'!$M$5:$P$40,4,FALSE), "Не-а")</f>
        <v>0</v>
      </c>
      <c r="R35" t="str">
        <f t="shared" si="0"/>
        <v>ЛОЖЬ</v>
      </c>
    </row>
    <row r="36" spans="1:18" x14ac:dyDescent="0.25">
      <c r="A36" s="17" t="str">
        <f>IF(ISBLANK('Лист2-ЭЛЕМЕНТ'!A36),"",'Лист2-ЭЛЕМЕНТ'!A36)</f>
        <v/>
      </c>
      <c r="B36" s="17" t="str">
        <f>IF(ISBLANK('Лист2-ЭЛЕМЕНТ'!B36),"",'Лист2-ЭЛЕМЕНТ'!B36)</f>
        <v/>
      </c>
      <c r="C36" s="17" t="str">
        <f>IF(ISBLANK('Лист2-ЭЛЕМЕНТ'!C36),"",'Лист2-ЭЛЕМЕНТ'!C36)</f>
        <v/>
      </c>
      <c r="D36" s="23" t="str">
        <f>IF(ISBLANK('Лист2-ЭЛЕМЕНТ'!D36),"",'Лист2-ЭЛЕМЕНТ'!D36)</f>
        <v/>
      </c>
      <c r="E36" s="19" t="str">
        <f>IF(ISBLANK('Лист2-ЭЛЕМЕНТ'!Z36),"",'Лист2-ЭЛЕМЕНТ'!Z36)</f>
        <v>_</v>
      </c>
      <c r="F36" s="20" t="str">
        <f>IF(ISBLANK('Лист2-ЭЛЕМЕНТ'!BB36), "",'Лист2-ЭЛЕМЕНТ'!BB36)</f>
        <v/>
      </c>
      <c r="G36" s="21" t="str">
        <f>IF(ISBLANK('Лист2-ЭЛЕМЕНТ'!BC36), "",'Лист2-ЭЛЕМЕНТ'!BC36)</f>
        <v/>
      </c>
      <c r="H36" s="19" t="str">
        <f>IF(ISBLANK('Лист2-ЭЛЕМЕНТ'!BD36), "",'Лист2-ЭЛЕМЕНТ'!BD36)</f>
        <v/>
      </c>
      <c r="I36" s="19"/>
      <c r="J36" s="24" t="s">
        <v>190</v>
      </c>
      <c r="K36" t="str">
        <f>IF('Лист2-ЭЛЕМЕНТ'!BA36&lt;&gt;0,'Лист2-ЭЛЕМЕНТ'!BA36,"")</f>
        <v/>
      </c>
      <c r="M36" t="str">
        <f>CONCATENATE('Лист2-ЭЛЕМЕНТ'!D36," ",'Лист2-ЭЛЕМЕНТ'!F36, " ",'Лист2-ЭЛЕМЕНТ'!AF36)</f>
        <v xml:space="preserve">  </v>
      </c>
      <c r="N36" s="41">
        <f>'Лист2-ЭЛЕМЕНТ'!D36</f>
        <v>0</v>
      </c>
      <c r="O36" s="42">
        <f>'Лист2-ЭЛЕМЕНТ'!F36</f>
        <v>0</v>
      </c>
      <c r="P36" s="40"/>
      <c r="Q36" s="40">
        <f>IF(M36&lt;&gt;0, VLOOKUP(M36,'Вспомогательный лист'!$M$5:$P$40,4,FALSE), "Не-а")</f>
        <v>0</v>
      </c>
      <c r="R36" t="str">
        <f t="shared" si="0"/>
        <v>ЛОЖЬ</v>
      </c>
    </row>
    <row r="37" spans="1:18" x14ac:dyDescent="0.25">
      <c r="A37" s="17" t="str">
        <f>IF(ISBLANK('Лист2-ЭЛЕМЕНТ'!A37),"",'Лист2-ЭЛЕМЕНТ'!A37)</f>
        <v/>
      </c>
      <c r="B37" s="17" t="str">
        <f>IF(ISBLANK('Лист2-ЭЛЕМЕНТ'!B37),"",'Лист2-ЭЛЕМЕНТ'!B37)</f>
        <v/>
      </c>
      <c r="C37" s="17" t="str">
        <f>IF(ISBLANK('Лист2-ЭЛЕМЕНТ'!C37),"",'Лист2-ЭЛЕМЕНТ'!C37)</f>
        <v/>
      </c>
      <c r="D37" s="23" t="str">
        <f>IF(ISBLANK('Лист2-ЭЛЕМЕНТ'!D37),"",'Лист2-ЭЛЕМЕНТ'!D37)</f>
        <v/>
      </c>
      <c r="E37" s="19" t="str">
        <f>IF(ISBLANK('Лист2-ЭЛЕМЕНТ'!Z37),"",'Лист2-ЭЛЕМЕНТ'!Z37)</f>
        <v>_</v>
      </c>
      <c r="F37" s="20" t="str">
        <f>IF(ISBLANK('Лист2-ЭЛЕМЕНТ'!BB37), "",'Лист2-ЭЛЕМЕНТ'!BB37)</f>
        <v/>
      </c>
      <c r="G37" s="21" t="str">
        <f>IF(ISBLANK('Лист2-ЭЛЕМЕНТ'!BC37), "",'Лист2-ЭЛЕМЕНТ'!BC37)</f>
        <v/>
      </c>
      <c r="H37" s="19" t="str">
        <f>IF(ISBLANK('Лист2-ЭЛЕМЕНТ'!BD37), "",'Лист2-ЭЛЕМЕНТ'!BD37)</f>
        <v/>
      </c>
      <c r="I37" s="19"/>
      <c r="J37" s="24" t="s">
        <v>190</v>
      </c>
      <c r="K37" t="str">
        <f>IF('Лист2-ЭЛЕМЕНТ'!BA37&lt;&gt;0,'Лист2-ЭЛЕМЕНТ'!BA37,"")</f>
        <v/>
      </c>
      <c r="M37" t="str">
        <f>CONCATENATE('Лист2-ЭЛЕМЕНТ'!D37," ",'Лист2-ЭЛЕМЕНТ'!F37, " ",'Лист2-ЭЛЕМЕНТ'!AF37)</f>
        <v xml:space="preserve">  </v>
      </c>
      <c r="N37" s="41">
        <f>'Лист2-ЭЛЕМЕНТ'!D37</f>
        <v>0</v>
      </c>
      <c r="O37" s="42">
        <f>'Лист2-ЭЛЕМЕНТ'!F37</f>
        <v>0</v>
      </c>
      <c r="P37" s="40"/>
      <c r="Q37" s="40">
        <f>IF(M37&lt;&gt;0, VLOOKUP(M37,'Вспомогательный лист'!$M$5:$P$40,4,FALSE), "Не-а")</f>
        <v>0</v>
      </c>
      <c r="R37" t="str">
        <f t="shared" si="0"/>
        <v>ЛОЖЬ</v>
      </c>
    </row>
    <row r="38" spans="1:18" x14ac:dyDescent="0.25">
      <c r="A38" s="17" t="str">
        <f>IF(ISBLANK('Лист2-ЭЛЕМЕНТ'!A38),"",'Лист2-ЭЛЕМЕНТ'!A38)</f>
        <v/>
      </c>
      <c r="B38" s="17" t="str">
        <f>IF(ISBLANK('Лист2-ЭЛЕМЕНТ'!B38),"",'Лист2-ЭЛЕМЕНТ'!B38)</f>
        <v/>
      </c>
      <c r="C38" s="17" t="str">
        <f>IF(ISBLANK('Лист2-ЭЛЕМЕНТ'!C38),"",'Лист2-ЭЛЕМЕНТ'!C38)</f>
        <v/>
      </c>
      <c r="D38" s="23" t="str">
        <f>IF(ISBLANK('Лист2-ЭЛЕМЕНТ'!D38),"",'Лист2-ЭЛЕМЕНТ'!D38)</f>
        <v/>
      </c>
      <c r="E38" s="19" t="str">
        <f>IF(ISBLANK('Лист2-ЭЛЕМЕНТ'!Z38),"",'Лист2-ЭЛЕМЕНТ'!Z38)</f>
        <v>_</v>
      </c>
      <c r="F38" s="20" t="str">
        <f>IF(ISBLANK('Лист2-ЭЛЕМЕНТ'!BB38), "",'Лист2-ЭЛЕМЕНТ'!BB38)</f>
        <v/>
      </c>
      <c r="G38" s="21" t="str">
        <f>IF(ISBLANK('Лист2-ЭЛЕМЕНТ'!BC38), "",'Лист2-ЭЛЕМЕНТ'!BC38)</f>
        <v/>
      </c>
      <c r="H38" s="19" t="str">
        <f>IF(ISBLANK('Лист2-ЭЛЕМЕНТ'!BD38), "",'Лист2-ЭЛЕМЕНТ'!BD38)</f>
        <v/>
      </c>
      <c r="I38" s="19"/>
      <c r="J38" s="24" t="s">
        <v>190</v>
      </c>
      <c r="K38" t="str">
        <f>IF('Лист2-ЭЛЕМЕНТ'!BA38&lt;&gt;0,'Лист2-ЭЛЕМЕНТ'!BA38,"")</f>
        <v/>
      </c>
      <c r="M38" t="str">
        <f>CONCATENATE('Лист2-ЭЛЕМЕНТ'!D38," ",'Лист2-ЭЛЕМЕНТ'!F38, " ",'Лист2-ЭЛЕМЕНТ'!AF38)</f>
        <v xml:space="preserve">  </v>
      </c>
      <c r="N38" s="41">
        <f>'Лист2-ЭЛЕМЕНТ'!D38</f>
        <v>0</v>
      </c>
      <c r="O38" s="42">
        <f>'Лист2-ЭЛЕМЕНТ'!F38</f>
        <v>0</v>
      </c>
      <c r="P38" s="40"/>
      <c r="Q38" s="40">
        <f>IF(M38&lt;&gt;0, VLOOKUP(M38,'Вспомогательный лист'!$M$5:$P$40,4,FALSE), "Не-а")</f>
        <v>0</v>
      </c>
      <c r="R38" t="str">
        <f t="shared" si="0"/>
        <v>ЛОЖЬ</v>
      </c>
    </row>
    <row r="39" spans="1:18" x14ac:dyDescent="0.25">
      <c r="A39" s="17" t="str">
        <f>IF(ISBLANK('Лист2-ЭЛЕМЕНТ'!A39),"",'Лист2-ЭЛЕМЕНТ'!A39)</f>
        <v/>
      </c>
      <c r="B39" s="17" t="str">
        <f>IF(ISBLANK('Лист2-ЭЛЕМЕНТ'!B39),"",'Лист2-ЭЛЕМЕНТ'!B39)</f>
        <v/>
      </c>
      <c r="C39" s="17" t="str">
        <f>IF(ISBLANK('Лист2-ЭЛЕМЕНТ'!C39),"",'Лист2-ЭЛЕМЕНТ'!C39)</f>
        <v/>
      </c>
      <c r="D39" s="23" t="str">
        <f>IF(ISBLANK('Лист2-ЭЛЕМЕНТ'!D39),"",'Лист2-ЭЛЕМЕНТ'!D39)</f>
        <v/>
      </c>
      <c r="E39" s="19" t="str">
        <f>IF(ISBLANK('Лист2-ЭЛЕМЕНТ'!Z39),"",'Лист2-ЭЛЕМЕНТ'!Z39)</f>
        <v>_</v>
      </c>
      <c r="F39" s="20" t="str">
        <f>IF(ISBLANK('Лист2-ЭЛЕМЕНТ'!BB39), "",'Лист2-ЭЛЕМЕНТ'!BB39)</f>
        <v/>
      </c>
      <c r="G39" s="21" t="str">
        <f>IF(ISBLANK('Лист2-ЭЛЕМЕНТ'!BC39), "",'Лист2-ЭЛЕМЕНТ'!BC39)</f>
        <v/>
      </c>
      <c r="H39" s="19" t="str">
        <f>IF(ISBLANK('Лист2-ЭЛЕМЕНТ'!BD39), "",'Лист2-ЭЛЕМЕНТ'!BD39)</f>
        <v/>
      </c>
      <c r="I39" s="19"/>
      <c r="J39" s="24" t="s">
        <v>190</v>
      </c>
      <c r="K39" t="str">
        <f>IF('Лист2-ЭЛЕМЕНТ'!BA39&lt;&gt;0,'Лист2-ЭЛЕМЕНТ'!BA39,"")</f>
        <v/>
      </c>
      <c r="M39" t="str">
        <f>CONCATENATE('Лист2-ЭЛЕМЕНТ'!D39," ",'Лист2-ЭЛЕМЕНТ'!F39, " ",'Лист2-ЭЛЕМЕНТ'!AF39)</f>
        <v xml:space="preserve">  </v>
      </c>
      <c r="N39" s="41">
        <f>'Лист2-ЭЛЕМЕНТ'!D39</f>
        <v>0</v>
      </c>
      <c r="O39" s="42">
        <f>'Лист2-ЭЛЕМЕНТ'!F39</f>
        <v>0</v>
      </c>
      <c r="P39" s="40"/>
      <c r="Q39" s="40">
        <f>IF(M39&lt;&gt;0, VLOOKUP(M39,'Вспомогательный лист'!$M$5:$P$40,4,FALSE), "Не-а")</f>
        <v>0</v>
      </c>
      <c r="R39" t="str">
        <f t="shared" si="0"/>
        <v>ЛОЖЬ</v>
      </c>
    </row>
    <row r="40" spans="1:18" x14ac:dyDescent="0.25">
      <c r="A40" s="17" t="str">
        <f>IF(ISBLANK('Лист2-ЭЛЕМЕНТ'!A40),"",'Лист2-ЭЛЕМЕНТ'!A40)</f>
        <v/>
      </c>
      <c r="B40" s="17" t="str">
        <f>IF(ISBLANK('Лист2-ЭЛЕМЕНТ'!B40),"",'Лист2-ЭЛЕМЕНТ'!B40)</f>
        <v/>
      </c>
      <c r="C40" s="17" t="str">
        <f>IF(ISBLANK('Лист2-ЭЛЕМЕНТ'!C40),"",'Лист2-ЭЛЕМЕНТ'!C40)</f>
        <v/>
      </c>
      <c r="D40" s="23" t="str">
        <f>IF(ISBLANK('Лист2-ЭЛЕМЕНТ'!D40),"",'Лист2-ЭЛЕМЕНТ'!D40)</f>
        <v/>
      </c>
      <c r="E40" s="19" t="str">
        <f>IF(ISBLANK('Лист2-ЭЛЕМЕНТ'!Z40),"",'Лист2-ЭЛЕМЕНТ'!Z40)</f>
        <v>_</v>
      </c>
      <c r="F40" s="20" t="str">
        <f>IF(ISBLANK('Лист2-ЭЛЕМЕНТ'!BB40), "",'Лист2-ЭЛЕМЕНТ'!BB40)</f>
        <v/>
      </c>
      <c r="G40" s="21" t="str">
        <f>IF(ISBLANK('Лист2-ЭЛЕМЕНТ'!BC40), "",'Лист2-ЭЛЕМЕНТ'!BC40)</f>
        <v/>
      </c>
      <c r="H40" s="19" t="str">
        <f>IF(ISBLANK('Лист2-ЭЛЕМЕНТ'!BD40), "",'Лист2-ЭЛЕМЕНТ'!BD40)</f>
        <v/>
      </c>
      <c r="I40" s="19"/>
      <c r="J40" s="24" t="s">
        <v>190</v>
      </c>
      <c r="K40" t="str">
        <f>IF('Лист2-ЭЛЕМЕНТ'!BA40&lt;&gt;0,'Лист2-ЭЛЕМЕНТ'!BA40,"")</f>
        <v/>
      </c>
      <c r="M40" t="str">
        <f>CONCATENATE('Лист2-ЭЛЕМЕНТ'!D40," ",'Лист2-ЭЛЕМЕНТ'!F40, " ",'Лист2-ЭЛЕМЕНТ'!AF40)</f>
        <v xml:space="preserve">  </v>
      </c>
      <c r="N40" s="41">
        <f>'Лист2-ЭЛЕМЕНТ'!D40</f>
        <v>0</v>
      </c>
      <c r="O40" s="42">
        <f>'Лист2-ЭЛЕМЕНТ'!F40</f>
        <v>0</v>
      </c>
      <c r="P40" s="40"/>
      <c r="Q40" s="40">
        <f>IF(M40&lt;&gt;0, VLOOKUP(M40,'Вспомогательный лист'!$M$5:$P$40,4,FALSE), "Не-а")</f>
        <v>0</v>
      </c>
      <c r="R40" t="str">
        <f t="shared" si="0"/>
        <v>ЛОЖЬ</v>
      </c>
    </row>
  </sheetData>
  <autoFilter ref="A4:K4"/>
  <mergeCells count="1">
    <mergeCell ref="N2:R2"/>
  </mergeCells>
  <conditionalFormatting sqref="R2 Q1:Q1048576">
    <cfRule type="cellIs" dxfId="18" priority="4" operator="equal">
      <formula>0</formula>
    </cfRule>
  </conditionalFormatting>
  <conditionalFormatting sqref="N5:N1048576">
    <cfRule type="expression" dxfId="17" priority="2">
      <formula>IF(R5="ИСТИНА",TRUE)</formula>
    </cfRule>
  </conditionalFormatting>
  <conditionalFormatting sqref="P5:P1048576">
    <cfRule type="expression" dxfId="16" priority="1">
      <formula>IF(R5="ИСТИНА",TRUE)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0.39997558519241921"/>
  </sheetPr>
  <dimension ref="A1:BD2"/>
  <sheetViews>
    <sheetView zoomScale="85" zoomScaleNormal="85" workbookViewId="0">
      <selection activeCell="A3" sqref="A3:XFD6"/>
    </sheetView>
  </sheetViews>
  <sheetFormatPr defaultRowHeight="15" x14ac:dyDescent="0.25"/>
  <cols>
    <col min="5" max="5" width="20.5703125" customWidth="1"/>
    <col min="6" max="6" width="15.5703125" customWidth="1"/>
    <col min="12" max="13" width="10.140625" style="86" bestFit="1" customWidth="1"/>
    <col min="50" max="51" width="10.140625" style="86" bestFit="1" customWidth="1"/>
  </cols>
  <sheetData>
    <row r="1" spans="1:56" ht="89.25" x14ac:dyDescent="0.25">
      <c r="A1" s="70" t="s">
        <v>199</v>
      </c>
      <c r="B1" s="71" t="s">
        <v>200</v>
      </c>
      <c r="C1" s="72" t="s">
        <v>201</v>
      </c>
      <c r="D1" s="72" t="s">
        <v>202</v>
      </c>
      <c r="E1" s="71" t="s">
        <v>203</v>
      </c>
      <c r="F1" s="73" t="s">
        <v>3</v>
      </c>
      <c r="G1" s="73" t="s">
        <v>204</v>
      </c>
      <c r="H1" s="73" t="s">
        <v>205</v>
      </c>
      <c r="I1" s="73" t="s">
        <v>206</v>
      </c>
      <c r="J1" s="73" t="s">
        <v>207</v>
      </c>
      <c r="K1" s="73" t="s">
        <v>208</v>
      </c>
      <c r="L1" s="87" t="s">
        <v>209</v>
      </c>
      <c r="M1" s="87" t="s">
        <v>210</v>
      </c>
      <c r="N1" s="73" t="s">
        <v>211</v>
      </c>
      <c r="O1" s="73" t="s">
        <v>212</v>
      </c>
      <c r="P1" s="73" t="s">
        <v>213</v>
      </c>
      <c r="Q1" s="73" t="s">
        <v>214</v>
      </c>
      <c r="R1" s="73" t="s">
        <v>215</v>
      </c>
      <c r="S1" s="73" t="s">
        <v>216</v>
      </c>
      <c r="T1" s="73" t="s">
        <v>217</v>
      </c>
      <c r="U1" s="73" t="s">
        <v>218</v>
      </c>
      <c r="V1" s="73" t="s">
        <v>219</v>
      </c>
      <c r="W1" s="73" t="s">
        <v>220</v>
      </c>
      <c r="X1" s="73" t="s">
        <v>221</v>
      </c>
      <c r="Y1" s="73" t="s">
        <v>222</v>
      </c>
      <c r="Z1" s="73" t="s">
        <v>223</v>
      </c>
      <c r="AA1" s="73" t="s">
        <v>224</v>
      </c>
      <c r="AB1" s="73" t="s">
        <v>225</v>
      </c>
      <c r="AC1" s="73" t="s">
        <v>226</v>
      </c>
      <c r="AD1" s="73" t="s">
        <v>227</v>
      </c>
      <c r="AE1" s="73" t="s">
        <v>228</v>
      </c>
      <c r="AF1" s="73" t="s">
        <v>229</v>
      </c>
      <c r="AG1" s="73" t="s">
        <v>230</v>
      </c>
      <c r="AH1" s="73" t="s">
        <v>231</v>
      </c>
      <c r="AI1" s="73" t="s">
        <v>232</v>
      </c>
      <c r="AJ1" s="73" t="s">
        <v>233</v>
      </c>
      <c r="AK1" s="73" t="s">
        <v>234</v>
      </c>
      <c r="AL1" s="73" t="s">
        <v>235</v>
      </c>
      <c r="AM1" s="73" t="s">
        <v>236</v>
      </c>
      <c r="AN1" s="73" t="s">
        <v>237</v>
      </c>
      <c r="AO1" s="73" t="s">
        <v>238</v>
      </c>
      <c r="AP1" s="73" t="s">
        <v>239</v>
      </c>
      <c r="AQ1" s="73" t="s">
        <v>240</v>
      </c>
      <c r="AR1" s="73" t="s">
        <v>241</v>
      </c>
      <c r="AS1" s="73" t="s">
        <v>242</v>
      </c>
      <c r="AT1" s="73" t="s">
        <v>243</v>
      </c>
      <c r="AU1" s="73" t="s">
        <v>244</v>
      </c>
      <c r="AV1" s="73" t="s">
        <v>245</v>
      </c>
      <c r="AW1" s="73" t="s">
        <v>246</v>
      </c>
      <c r="AX1" s="87" t="s">
        <v>247</v>
      </c>
      <c r="AY1" s="87" t="s">
        <v>248</v>
      </c>
      <c r="AZ1" s="73" t="s">
        <v>249</v>
      </c>
      <c r="BA1" s="73" t="s">
        <v>250</v>
      </c>
      <c r="BB1" s="73" t="s">
        <v>251</v>
      </c>
      <c r="BC1" s="71" t="s">
        <v>252</v>
      </c>
      <c r="BD1" s="71" t="s">
        <v>253</v>
      </c>
    </row>
    <row r="2" spans="1:56" ht="89.25" x14ac:dyDescent="0.25">
      <c r="A2" s="74"/>
      <c r="B2" s="75"/>
      <c r="C2" s="75"/>
      <c r="D2" s="75"/>
      <c r="E2" s="75" t="s">
        <v>254</v>
      </c>
      <c r="F2" s="79" t="s">
        <v>255</v>
      </c>
      <c r="G2" s="79" t="s">
        <v>256</v>
      </c>
      <c r="H2" s="79" t="s">
        <v>257</v>
      </c>
      <c r="I2" s="79" t="s">
        <v>258</v>
      </c>
      <c r="J2" s="79" t="s">
        <v>259</v>
      </c>
      <c r="K2" s="79" t="s">
        <v>260</v>
      </c>
      <c r="L2" s="88" t="s">
        <v>261</v>
      </c>
      <c r="M2" s="88" t="s">
        <v>262</v>
      </c>
      <c r="N2" s="79" t="s">
        <v>263</v>
      </c>
      <c r="O2" s="79" t="s">
        <v>264</v>
      </c>
      <c r="P2" s="79" t="s">
        <v>265</v>
      </c>
      <c r="Q2" s="79" t="s">
        <v>266</v>
      </c>
      <c r="R2" s="79" t="s">
        <v>267</v>
      </c>
      <c r="S2" s="79" t="s">
        <v>268</v>
      </c>
      <c r="T2" s="79" t="s">
        <v>269</v>
      </c>
      <c r="U2" s="79" t="s">
        <v>270</v>
      </c>
      <c r="V2" s="79" t="s">
        <v>271</v>
      </c>
      <c r="W2" s="79" t="s">
        <v>272</v>
      </c>
      <c r="X2" s="79" t="s">
        <v>273</v>
      </c>
      <c r="Y2" s="79" t="s">
        <v>274</v>
      </c>
      <c r="Z2" s="79" t="s">
        <v>275</v>
      </c>
      <c r="AA2" s="79" t="s">
        <v>276</v>
      </c>
      <c r="AB2" s="79" t="s">
        <v>277</v>
      </c>
      <c r="AC2" s="79" t="s">
        <v>278</v>
      </c>
      <c r="AD2" s="79" t="s">
        <v>279</v>
      </c>
      <c r="AE2" s="79" t="s">
        <v>280</v>
      </c>
      <c r="AF2" s="79" t="s">
        <v>281</v>
      </c>
      <c r="AG2" s="79" t="s">
        <v>282</v>
      </c>
      <c r="AH2" s="79" t="s">
        <v>283</v>
      </c>
      <c r="AI2" s="79" t="s">
        <v>284</v>
      </c>
      <c r="AJ2" s="79" t="s">
        <v>285</v>
      </c>
      <c r="AK2" s="79" t="s">
        <v>286</v>
      </c>
      <c r="AL2" s="79" t="s">
        <v>287</v>
      </c>
      <c r="AM2" s="79" t="s">
        <v>288</v>
      </c>
      <c r="AN2" s="79" t="s">
        <v>289</v>
      </c>
      <c r="AO2" s="79" t="s">
        <v>290</v>
      </c>
      <c r="AP2" s="79" t="s">
        <v>291</v>
      </c>
      <c r="AQ2" s="79" t="s">
        <v>292</v>
      </c>
      <c r="AR2" s="79" t="s">
        <v>293</v>
      </c>
      <c r="AS2" s="79" t="s">
        <v>294</v>
      </c>
      <c r="AT2" s="79" t="s">
        <v>295</v>
      </c>
      <c r="AU2" s="79" t="s">
        <v>296</v>
      </c>
      <c r="AV2" s="79" t="s">
        <v>297</v>
      </c>
      <c r="AW2" s="79" t="s">
        <v>298</v>
      </c>
      <c r="AX2" s="88" t="s">
        <v>299</v>
      </c>
      <c r="AY2" s="88" t="s">
        <v>300</v>
      </c>
      <c r="AZ2" s="79" t="s">
        <v>301</v>
      </c>
      <c r="BA2" s="79" t="s">
        <v>302</v>
      </c>
      <c r="BB2" s="79" t="s">
        <v>303</v>
      </c>
      <c r="BC2" s="80" t="s">
        <v>304</v>
      </c>
      <c r="BD2" s="80" t="s">
        <v>305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9" tint="0.39997558519241921"/>
  </sheetPr>
  <dimension ref="A1:K2"/>
  <sheetViews>
    <sheetView workbookViewId="0">
      <selection activeCell="A3" sqref="A3:XFD6"/>
    </sheetView>
  </sheetViews>
  <sheetFormatPr defaultRowHeight="15" x14ac:dyDescent="0.25"/>
  <cols>
    <col min="1" max="1" width="26.85546875" customWidth="1"/>
    <col min="2" max="2" width="26.42578125" customWidth="1"/>
    <col min="3" max="3" width="36" customWidth="1"/>
    <col min="4" max="4" width="37.42578125" customWidth="1"/>
    <col min="5" max="5" width="31.5703125" customWidth="1"/>
    <col min="6" max="6" width="32" customWidth="1"/>
    <col min="7" max="7" width="25" customWidth="1"/>
    <col min="8" max="8" width="19.5703125" customWidth="1"/>
    <col min="9" max="9" width="14.140625" customWidth="1"/>
  </cols>
  <sheetData>
    <row r="1" spans="1:11" ht="51" x14ac:dyDescent="0.25">
      <c r="A1" s="76" t="s">
        <v>199</v>
      </c>
      <c r="B1" s="76" t="s">
        <v>200</v>
      </c>
      <c r="C1" s="76" t="s">
        <v>201</v>
      </c>
      <c r="D1" s="76" t="s">
        <v>202</v>
      </c>
      <c r="E1" s="77" t="s">
        <v>306</v>
      </c>
      <c r="F1" s="78" t="s">
        <v>306</v>
      </c>
      <c r="G1" s="78" t="s">
        <v>307</v>
      </c>
      <c r="H1" s="78" t="s">
        <v>308</v>
      </c>
      <c r="I1" s="78" t="s">
        <v>309</v>
      </c>
      <c r="J1" s="78" t="s">
        <v>310</v>
      </c>
      <c r="K1" s="78" t="s">
        <v>203</v>
      </c>
    </row>
    <row r="2" spans="1:11" ht="76.5" x14ac:dyDescent="0.25">
      <c r="A2" s="76" t="s">
        <v>311</v>
      </c>
      <c r="B2" s="76" t="s">
        <v>312</v>
      </c>
      <c r="C2" s="76" t="s">
        <v>313</v>
      </c>
      <c r="D2" s="76" t="s">
        <v>314</v>
      </c>
      <c r="E2" s="77"/>
      <c r="F2" s="78" t="s">
        <v>315</v>
      </c>
      <c r="G2" s="78" t="s">
        <v>316</v>
      </c>
      <c r="H2" s="78" t="s">
        <v>317</v>
      </c>
      <c r="I2" s="78" t="s">
        <v>318</v>
      </c>
      <c r="J2" s="78" t="s">
        <v>319</v>
      </c>
      <c r="K2" s="78" t="s">
        <v>254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9" tint="0.39997558519241921"/>
  </sheetPr>
  <dimension ref="A1:D2"/>
  <sheetViews>
    <sheetView workbookViewId="0">
      <selection activeCell="A3" sqref="A3:XFD14"/>
    </sheetView>
  </sheetViews>
  <sheetFormatPr defaultRowHeight="15" x14ac:dyDescent="0.25"/>
  <cols>
    <col min="1" max="1" width="36.7109375" customWidth="1"/>
    <col min="2" max="2" width="53.5703125" customWidth="1"/>
    <col min="3" max="3" width="58.28515625" customWidth="1"/>
    <col min="4" max="4" width="49.42578125" customWidth="1"/>
  </cols>
  <sheetData>
    <row r="1" spans="1:4" x14ac:dyDescent="0.25">
      <c r="A1" s="81" t="s">
        <v>320</v>
      </c>
      <c r="B1" s="82" t="s">
        <v>321</v>
      </c>
      <c r="C1" s="82" t="s">
        <v>322</v>
      </c>
      <c r="D1" s="82" t="s">
        <v>323</v>
      </c>
    </row>
    <row r="2" spans="1:4" x14ac:dyDescent="0.25">
      <c r="A2" s="81"/>
      <c r="B2" s="82" t="s">
        <v>330</v>
      </c>
      <c r="C2" s="82" t="s">
        <v>331</v>
      </c>
      <c r="D2" s="82" t="s">
        <v>332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9" tint="0.39997558519241921"/>
  </sheetPr>
  <dimension ref="A1:D2"/>
  <sheetViews>
    <sheetView workbookViewId="0">
      <selection activeCell="C9" sqref="C9"/>
    </sheetView>
  </sheetViews>
  <sheetFormatPr defaultRowHeight="15" x14ac:dyDescent="0.25"/>
  <cols>
    <col min="1" max="1" width="29.85546875" customWidth="1"/>
    <col min="2" max="2" width="39.28515625" customWidth="1"/>
    <col min="3" max="3" width="27.42578125" customWidth="1"/>
    <col min="4" max="4" width="50.5703125" customWidth="1"/>
  </cols>
  <sheetData>
    <row r="1" spans="1:4" ht="25.5" x14ac:dyDescent="0.25">
      <c r="A1" s="83" t="s">
        <v>320</v>
      </c>
      <c r="B1" s="83" t="s">
        <v>321</v>
      </c>
      <c r="C1" s="84" t="s">
        <v>326</v>
      </c>
      <c r="D1" s="84" t="s">
        <v>327</v>
      </c>
    </row>
    <row r="2" spans="1:4" ht="38.25" x14ac:dyDescent="0.25">
      <c r="A2" s="85" t="s">
        <v>324</v>
      </c>
      <c r="B2" s="85" t="s">
        <v>325</v>
      </c>
      <c r="C2" s="85" t="s">
        <v>328</v>
      </c>
      <c r="D2" s="85" t="s">
        <v>329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 tint="-0.249977111117893"/>
    <outlinePr summaryBelow="0" summaryRight="0"/>
  </sheetPr>
  <dimension ref="A1:AD50"/>
  <sheetViews>
    <sheetView zoomScale="70" zoomScaleNormal="70" zoomScaleSheetLayoutView="70" zoomScalePageLayoutView="70" workbookViewId="0">
      <selection activeCell="J45" sqref="J45"/>
    </sheetView>
  </sheetViews>
  <sheetFormatPr defaultRowHeight="15" outlineLevelCol="1" x14ac:dyDescent="0.25"/>
  <cols>
    <col min="1" max="1" width="17.42578125" style="89" bestFit="1" customWidth="1"/>
    <col min="2" max="2" width="24.42578125" style="90" customWidth="1"/>
    <col min="3" max="3" width="26.28515625" style="89" customWidth="1"/>
    <col min="4" max="4" width="28.42578125" style="91" customWidth="1" outlineLevel="1"/>
    <col min="5" max="5" width="32.140625" style="92" customWidth="1"/>
    <col min="6" max="6" width="11.85546875" style="93" customWidth="1" outlineLevel="1"/>
    <col min="7" max="7" width="15.7109375" style="113" customWidth="1"/>
    <col min="8" max="8" width="18.5703125" style="93" customWidth="1" outlineLevel="1"/>
    <col min="9" max="9" width="18" style="89" customWidth="1"/>
    <col min="10" max="10" width="13.28515625" style="89" customWidth="1"/>
    <col min="11" max="11" width="12.5703125" style="89" customWidth="1"/>
    <col min="12" max="12" width="18.140625" style="89" bestFit="1" customWidth="1"/>
    <col min="13" max="13" width="15.28515625" style="89" customWidth="1"/>
    <col min="14" max="14" width="9.140625" style="89"/>
    <col min="15" max="15" width="8.42578125" style="89" customWidth="1"/>
    <col min="16" max="16" width="9.140625" style="89"/>
    <col min="17" max="17" width="14.42578125" style="89" customWidth="1"/>
    <col min="18" max="18" width="13.7109375" style="89" customWidth="1"/>
    <col min="19" max="19" width="10.42578125" style="89" customWidth="1"/>
    <col min="20" max="22" width="13.140625" style="89" customWidth="1"/>
    <col min="23" max="23" width="23" style="89" customWidth="1"/>
    <col min="24" max="24" width="28.28515625" style="89" customWidth="1"/>
    <col min="25" max="25" width="9.140625" style="89"/>
    <col min="26" max="26" width="13.85546875" style="89" customWidth="1"/>
    <col min="27" max="27" width="15.5703125" style="89" customWidth="1"/>
    <col min="28" max="28" width="13.42578125" style="112" bestFit="1" customWidth="1"/>
    <col min="29" max="29" width="9.140625" style="89"/>
    <col min="30" max="30" width="17.85546875" style="89" customWidth="1"/>
    <col min="31" max="16384" width="9.140625" style="89"/>
  </cols>
  <sheetData>
    <row r="1" spans="1:30" x14ac:dyDescent="0.25">
      <c r="G1" s="93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5"/>
      <c r="AC1" s="94"/>
      <c r="AD1" s="94"/>
    </row>
    <row r="2" spans="1:30" x14ac:dyDescent="0.25">
      <c r="G2" s="93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/>
      <c r="AC2" s="94"/>
      <c r="AD2" s="94"/>
    </row>
    <row r="3" spans="1:30" x14ac:dyDescent="0.25">
      <c r="G3" s="93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5"/>
      <c r="AC3" s="94"/>
      <c r="AD3" s="94"/>
    </row>
    <row r="4" spans="1:30" ht="42" customHeight="1" x14ac:dyDescent="0.25">
      <c r="A4" s="149" t="s">
        <v>333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P4" s="94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4"/>
      <c r="AD4" s="94"/>
    </row>
    <row r="5" spans="1:30" ht="38.25" x14ac:dyDescent="0.25">
      <c r="A5" s="97" t="s">
        <v>0</v>
      </c>
      <c r="B5" s="98" t="s">
        <v>334</v>
      </c>
      <c r="C5" s="99" t="s">
        <v>335</v>
      </c>
      <c r="D5" s="100" t="s">
        <v>336</v>
      </c>
      <c r="E5" s="101" t="s">
        <v>337</v>
      </c>
      <c r="F5" s="101" t="s">
        <v>338</v>
      </c>
      <c r="G5" s="101" t="s">
        <v>339</v>
      </c>
      <c r="H5" s="101" t="s">
        <v>340</v>
      </c>
      <c r="I5" s="101" t="s">
        <v>341</v>
      </c>
      <c r="J5" s="102" t="s">
        <v>119</v>
      </c>
      <c r="K5" s="103" t="s">
        <v>342</v>
      </c>
      <c r="L5" s="101" t="s">
        <v>50</v>
      </c>
      <c r="M5" s="104" t="s">
        <v>343</v>
      </c>
      <c r="P5" s="94"/>
      <c r="Q5" s="105"/>
      <c r="R5" s="105"/>
      <c r="S5" s="105"/>
      <c r="T5" s="105"/>
      <c r="U5" s="150"/>
      <c r="V5" s="150"/>
      <c r="W5" s="105"/>
      <c r="X5" s="105"/>
      <c r="Y5" s="105"/>
      <c r="Z5" s="94"/>
      <c r="AA5" s="94"/>
      <c r="AB5" s="95"/>
      <c r="AC5" s="94"/>
      <c r="AD5" s="94"/>
    </row>
    <row r="6" spans="1:30" s="106" customFormat="1" ht="15" customHeight="1" x14ac:dyDescent="0.25">
      <c r="A6" s="114" t="s">
        <v>344</v>
      </c>
      <c r="B6" s="115" t="s">
        <v>345</v>
      </c>
      <c r="C6" s="116" t="s">
        <v>346</v>
      </c>
      <c r="D6" s="117" t="s">
        <v>347</v>
      </c>
      <c r="E6" s="118" t="s">
        <v>348</v>
      </c>
      <c r="F6" s="118" t="s">
        <v>349</v>
      </c>
      <c r="G6" s="118" t="s">
        <v>350</v>
      </c>
      <c r="H6" s="118" t="s">
        <v>351</v>
      </c>
      <c r="I6" s="119" t="s">
        <v>352</v>
      </c>
      <c r="J6" s="120" t="s">
        <v>353</v>
      </c>
      <c r="K6" s="120" t="s">
        <v>354</v>
      </c>
      <c r="L6" s="118" t="s">
        <v>355</v>
      </c>
      <c r="M6" s="121" t="s">
        <v>356</v>
      </c>
      <c r="P6" s="107"/>
      <c r="Q6" s="108"/>
      <c r="R6" s="108"/>
      <c r="S6" s="108"/>
      <c r="T6" s="109"/>
      <c r="U6" s="150"/>
      <c r="V6" s="150"/>
      <c r="W6" s="108"/>
      <c r="X6" s="109"/>
      <c r="Y6" s="108"/>
      <c r="Z6" s="107"/>
      <c r="AA6" s="107"/>
      <c r="AB6" s="110"/>
      <c r="AC6" s="107"/>
      <c r="AD6" s="107"/>
    </row>
    <row r="7" spans="1:30" s="106" customFormat="1" ht="15" customHeight="1" x14ac:dyDescent="0.25">
      <c r="A7" s="123"/>
      <c r="B7" s="124"/>
      <c r="C7" s="125"/>
      <c r="D7" s="126"/>
      <c r="E7" s="127"/>
      <c r="F7" s="128"/>
      <c r="G7" s="139"/>
      <c r="H7" s="128"/>
      <c r="I7" s="111"/>
      <c r="J7" s="129"/>
      <c r="K7" s="111"/>
      <c r="L7" s="128"/>
      <c r="M7" s="130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10"/>
      <c r="AC7" s="110"/>
      <c r="AD7" s="107"/>
    </row>
    <row r="8" spans="1:30" s="106" customFormat="1" ht="15" customHeight="1" x14ac:dyDescent="0.25">
      <c r="A8" s="123"/>
      <c r="B8" s="124"/>
      <c r="C8" s="125"/>
      <c r="D8" s="126"/>
      <c r="E8" s="127"/>
      <c r="F8" s="128"/>
      <c r="G8" s="139"/>
      <c r="H8" s="128"/>
      <c r="I8" s="111"/>
      <c r="J8" s="129"/>
      <c r="K8" s="111"/>
      <c r="L8" s="128"/>
      <c r="M8" s="130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10"/>
      <c r="AC8" s="110"/>
      <c r="AD8" s="107"/>
    </row>
    <row r="9" spans="1:30" s="106" customFormat="1" ht="15" customHeight="1" x14ac:dyDescent="0.25">
      <c r="A9" s="123"/>
      <c r="B9" s="124"/>
      <c r="C9" s="125"/>
      <c r="D9" s="126"/>
      <c r="E9" s="127"/>
      <c r="F9" s="128"/>
      <c r="G9" s="139"/>
      <c r="H9" s="128"/>
      <c r="I9" s="111"/>
      <c r="J9" s="129"/>
      <c r="K9" s="111"/>
      <c r="L9" s="128"/>
      <c r="M9" s="130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10"/>
      <c r="AC9" s="110"/>
      <c r="AD9" s="107"/>
    </row>
    <row r="10" spans="1:30" s="106" customFormat="1" ht="15" customHeight="1" x14ac:dyDescent="0.25">
      <c r="A10" s="123"/>
      <c r="B10" s="124"/>
      <c r="C10" s="125"/>
      <c r="D10" s="126"/>
      <c r="E10" s="127"/>
      <c r="F10" s="128"/>
      <c r="G10" s="139"/>
      <c r="H10" s="128"/>
      <c r="I10" s="111"/>
      <c r="J10" s="129"/>
      <c r="K10" s="111"/>
      <c r="L10" s="128"/>
      <c r="M10" s="130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10"/>
      <c r="AC10" s="110"/>
      <c r="AD10" s="107"/>
    </row>
    <row r="11" spans="1:30" s="106" customFormat="1" ht="15" customHeight="1" x14ac:dyDescent="0.25">
      <c r="A11" s="123"/>
      <c r="B11" s="124"/>
      <c r="C11" s="125"/>
      <c r="D11" s="126"/>
      <c r="E11" s="127"/>
      <c r="F11" s="128"/>
      <c r="G11" s="139"/>
      <c r="H11" s="128"/>
      <c r="I11" s="111"/>
      <c r="J11" s="129"/>
      <c r="K11" s="111"/>
      <c r="L11" s="128"/>
      <c r="M11" s="130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10"/>
      <c r="AC11" s="110"/>
      <c r="AD11" s="107"/>
    </row>
    <row r="12" spans="1:30" s="106" customFormat="1" ht="15" customHeight="1" x14ac:dyDescent="0.25">
      <c r="A12" s="123"/>
      <c r="B12" s="124"/>
      <c r="C12" s="125"/>
      <c r="D12" s="126"/>
      <c r="E12" s="127"/>
      <c r="F12" s="128"/>
      <c r="G12" s="139"/>
      <c r="H12" s="128"/>
      <c r="I12" s="111"/>
      <c r="J12" s="129"/>
      <c r="K12" s="111"/>
      <c r="L12" s="128"/>
      <c r="M12" s="130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10"/>
      <c r="AC12" s="110"/>
      <c r="AD12" s="107"/>
    </row>
    <row r="13" spans="1:30" s="106" customFormat="1" ht="15" customHeight="1" x14ac:dyDescent="0.25">
      <c r="A13" s="123"/>
      <c r="B13" s="124"/>
      <c r="C13" s="125"/>
      <c r="D13" s="126"/>
      <c r="E13" s="127"/>
      <c r="F13" s="128"/>
      <c r="G13" s="139"/>
      <c r="H13" s="128"/>
      <c r="I13" s="111"/>
      <c r="J13" s="129"/>
      <c r="K13" s="111"/>
      <c r="L13" s="128"/>
      <c r="M13" s="130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10"/>
      <c r="AC13" s="110"/>
      <c r="AD13" s="107"/>
    </row>
    <row r="14" spans="1:30" s="106" customFormat="1" ht="15" customHeight="1" x14ac:dyDescent="0.25">
      <c r="A14" s="123"/>
      <c r="B14" s="124"/>
      <c r="C14" s="125"/>
      <c r="D14" s="126"/>
      <c r="E14" s="127"/>
      <c r="F14" s="128"/>
      <c r="G14" s="139"/>
      <c r="H14" s="128"/>
      <c r="I14" s="111"/>
      <c r="J14" s="129"/>
      <c r="K14" s="111"/>
      <c r="L14" s="128"/>
      <c r="M14" s="130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10"/>
      <c r="AC14" s="110"/>
      <c r="AD14" s="107"/>
    </row>
    <row r="15" spans="1:30" s="106" customFormat="1" ht="15" customHeight="1" x14ac:dyDescent="0.25">
      <c r="A15" s="123"/>
      <c r="B15" s="124"/>
      <c r="C15" s="125"/>
      <c r="D15" s="126"/>
      <c r="E15" s="127"/>
      <c r="F15" s="128"/>
      <c r="G15" s="139"/>
      <c r="H15" s="128"/>
      <c r="I15" s="111"/>
      <c r="J15" s="129"/>
      <c r="K15" s="111"/>
      <c r="L15" s="128"/>
      <c r="M15" s="130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10"/>
      <c r="AC15" s="110"/>
      <c r="AD15" s="107"/>
    </row>
    <row r="16" spans="1:30" s="106" customFormat="1" ht="15" customHeight="1" x14ac:dyDescent="0.25">
      <c r="A16" s="123"/>
      <c r="B16" s="124"/>
      <c r="C16" s="125"/>
      <c r="D16" s="126"/>
      <c r="E16" s="127"/>
      <c r="F16" s="128"/>
      <c r="G16" s="139"/>
      <c r="H16" s="128"/>
      <c r="I16" s="111"/>
      <c r="J16" s="129"/>
      <c r="K16" s="111"/>
      <c r="L16" s="128"/>
      <c r="M16" s="130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10"/>
      <c r="AC16" s="110"/>
      <c r="AD16" s="107"/>
    </row>
    <row r="17" spans="1:30" s="106" customFormat="1" ht="15" customHeight="1" x14ac:dyDescent="0.25">
      <c r="A17" s="123"/>
      <c r="B17" s="124"/>
      <c r="C17" s="125"/>
      <c r="D17" s="126"/>
      <c r="E17" s="127"/>
      <c r="F17" s="128"/>
      <c r="G17" s="139"/>
      <c r="H17" s="128"/>
      <c r="I17" s="111"/>
      <c r="J17" s="129"/>
      <c r="K17" s="111"/>
      <c r="L17" s="128"/>
      <c r="M17" s="130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10"/>
      <c r="AC17" s="110"/>
      <c r="AD17" s="107"/>
    </row>
    <row r="18" spans="1:30" s="106" customFormat="1" ht="15" customHeight="1" x14ac:dyDescent="0.25">
      <c r="A18" s="123"/>
      <c r="B18" s="124"/>
      <c r="C18" s="125"/>
      <c r="D18" s="126"/>
      <c r="E18" s="127"/>
      <c r="F18" s="128"/>
      <c r="G18" s="139"/>
      <c r="H18" s="128"/>
      <c r="I18" s="111"/>
      <c r="J18" s="129"/>
      <c r="K18" s="111"/>
      <c r="L18" s="128"/>
      <c r="M18" s="130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10"/>
      <c r="AC18" s="110"/>
      <c r="AD18" s="107"/>
    </row>
    <row r="19" spans="1:30" s="106" customFormat="1" ht="15" customHeight="1" x14ac:dyDescent="0.25">
      <c r="A19" s="123"/>
      <c r="B19" s="124"/>
      <c r="C19" s="125"/>
      <c r="D19" s="126"/>
      <c r="E19" s="127"/>
      <c r="F19" s="128"/>
      <c r="G19" s="139"/>
      <c r="H19" s="128"/>
      <c r="I19" s="111"/>
      <c r="J19" s="129"/>
      <c r="K19" s="111"/>
      <c r="L19" s="128"/>
      <c r="M19" s="130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10"/>
      <c r="AC19" s="110"/>
      <c r="AD19" s="107"/>
    </row>
    <row r="20" spans="1:30" s="106" customFormat="1" x14ac:dyDescent="0.25">
      <c r="A20" s="123"/>
      <c r="B20" s="124"/>
      <c r="C20" s="125"/>
      <c r="D20" s="126"/>
      <c r="E20" s="127"/>
      <c r="F20" s="128"/>
      <c r="G20" s="139"/>
      <c r="H20" s="128"/>
      <c r="I20" s="111"/>
      <c r="J20" s="129"/>
      <c r="K20" s="111"/>
      <c r="L20" s="128"/>
      <c r="M20" s="130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10"/>
      <c r="AC20" s="110"/>
      <c r="AD20" s="107"/>
    </row>
    <row r="21" spans="1:30" s="106" customFormat="1" ht="15" customHeight="1" x14ac:dyDescent="0.25">
      <c r="A21" s="123"/>
      <c r="B21" s="124"/>
      <c r="C21" s="125"/>
      <c r="D21" s="126"/>
      <c r="E21" s="127"/>
      <c r="F21" s="128"/>
      <c r="G21" s="139"/>
      <c r="H21" s="128"/>
      <c r="I21" s="111"/>
      <c r="J21" s="129"/>
      <c r="K21" s="111"/>
      <c r="L21" s="128"/>
      <c r="M21" s="130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10"/>
      <c r="AC21" s="110"/>
      <c r="AD21" s="107"/>
    </row>
    <row r="22" spans="1:30" s="106" customFormat="1" ht="15" customHeight="1" x14ac:dyDescent="0.25">
      <c r="A22" s="123"/>
      <c r="B22" s="124"/>
      <c r="C22" s="125"/>
      <c r="D22" s="126"/>
      <c r="E22" s="127"/>
      <c r="F22" s="128"/>
      <c r="G22" s="139"/>
      <c r="H22" s="128"/>
      <c r="I22" s="111"/>
      <c r="J22" s="129"/>
      <c r="K22" s="111"/>
      <c r="L22" s="128"/>
      <c r="M22" s="130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10"/>
      <c r="AC22" s="110"/>
      <c r="AD22" s="107"/>
    </row>
    <row r="23" spans="1:30" s="106" customFormat="1" ht="15" customHeight="1" x14ac:dyDescent="0.25">
      <c r="A23" s="123"/>
      <c r="B23" s="124"/>
      <c r="C23" s="125"/>
      <c r="D23" s="126"/>
      <c r="E23" s="127"/>
      <c r="F23" s="128"/>
      <c r="G23" s="139"/>
      <c r="H23" s="128"/>
      <c r="I23" s="111"/>
      <c r="J23" s="129"/>
      <c r="K23" s="111"/>
      <c r="L23" s="128"/>
      <c r="M23" s="130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10"/>
      <c r="AC23" s="110"/>
      <c r="AD23" s="107"/>
    </row>
    <row r="24" spans="1:30" s="106" customFormat="1" ht="15" customHeight="1" x14ac:dyDescent="0.25">
      <c r="A24" s="123"/>
      <c r="B24" s="124"/>
      <c r="C24" s="125"/>
      <c r="D24" s="126"/>
      <c r="E24" s="127"/>
      <c r="F24" s="128"/>
      <c r="G24" s="139"/>
      <c r="H24" s="128"/>
      <c r="I24" s="111"/>
      <c r="J24" s="129"/>
      <c r="K24" s="111"/>
      <c r="L24" s="128"/>
      <c r="M24" s="130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10"/>
      <c r="AC24" s="110"/>
      <c r="AD24" s="107"/>
    </row>
    <row r="25" spans="1:30" s="106" customFormat="1" ht="15" customHeight="1" x14ac:dyDescent="0.25">
      <c r="A25" s="123"/>
      <c r="B25" s="124"/>
      <c r="C25" s="125"/>
      <c r="D25" s="126"/>
      <c r="E25" s="127"/>
      <c r="F25" s="128"/>
      <c r="G25" s="139"/>
      <c r="H25" s="128"/>
      <c r="I25" s="111"/>
      <c r="J25" s="129"/>
      <c r="K25" s="111"/>
      <c r="L25" s="128"/>
      <c r="M25" s="130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10"/>
      <c r="AC25" s="110"/>
      <c r="AD25" s="107"/>
    </row>
    <row r="26" spans="1:30" s="106" customFormat="1" ht="15" customHeight="1" x14ac:dyDescent="0.25">
      <c r="A26" s="123"/>
      <c r="B26" s="124"/>
      <c r="C26" s="125"/>
      <c r="D26" s="126"/>
      <c r="E26" s="127"/>
      <c r="F26" s="128"/>
      <c r="G26" s="139"/>
      <c r="H26" s="128"/>
      <c r="I26" s="111"/>
      <c r="J26" s="129"/>
      <c r="K26" s="111"/>
      <c r="L26" s="128"/>
      <c r="M26" s="130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10"/>
      <c r="AC26" s="110"/>
      <c r="AD26" s="107"/>
    </row>
    <row r="27" spans="1:30" s="106" customFormat="1" ht="15" customHeight="1" x14ac:dyDescent="0.25">
      <c r="A27" s="123"/>
      <c r="B27" s="124"/>
      <c r="C27" s="125"/>
      <c r="D27" s="126"/>
      <c r="E27" s="127"/>
      <c r="F27" s="128"/>
      <c r="G27" s="139"/>
      <c r="H27" s="128"/>
      <c r="I27" s="111"/>
      <c r="J27" s="129"/>
      <c r="K27" s="111"/>
      <c r="L27" s="128"/>
      <c r="M27" s="130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10"/>
      <c r="AC27" s="110"/>
      <c r="AD27" s="107"/>
    </row>
    <row r="28" spans="1:30" s="106" customFormat="1" ht="15" customHeight="1" x14ac:dyDescent="0.25">
      <c r="A28" s="123"/>
      <c r="B28" s="124"/>
      <c r="C28" s="125"/>
      <c r="D28" s="126"/>
      <c r="E28" s="127"/>
      <c r="F28" s="128"/>
      <c r="G28" s="139"/>
      <c r="H28" s="128"/>
      <c r="I28" s="111"/>
      <c r="J28" s="129"/>
      <c r="K28" s="111"/>
      <c r="L28" s="128"/>
      <c r="M28" s="130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10"/>
      <c r="AC28" s="110"/>
      <c r="AD28" s="107"/>
    </row>
    <row r="29" spans="1:30" s="106" customFormat="1" ht="15" customHeight="1" x14ac:dyDescent="0.25">
      <c r="A29" s="123"/>
      <c r="B29" s="124"/>
      <c r="C29" s="125"/>
      <c r="D29" s="126"/>
      <c r="E29" s="127"/>
      <c r="F29" s="128"/>
      <c r="G29" s="139"/>
      <c r="H29" s="128"/>
      <c r="I29" s="111"/>
      <c r="J29" s="129"/>
      <c r="K29" s="111"/>
      <c r="L29" s="128"/>
      <c r="M29" s="130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10"/>
      <c r="AC29" s="110"/>
      <c r="AD29" s="107"/>
    </row>
    <row r="30" spans="1:30" s="106" customFormat="1" ht="15" customHeight="1" x14ac:dyDescent="0.25">
      <c r="A30" s="123"/>
      <c r="B30" s="124"/>
      <c r="C30" s="125"/>
      <c r="D30" s="126"/>
      <c r="E30" s="127"/>
      <c r="F30" s="128"/>
      <c r="G30" s="139"/>
      <c r="H30" s="128"/>
      <c r="I30" s="111"/>
      <c r="J30" s="129"/>
      <c r="K30" s="111"/>
      <c r="L30" s="128"/>
      <c r="M30" s="130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10"/>
      <c r="AC30" s="110"/>
      <c r="AD30" s="107"/>
    </row>
    <row r="31" spans="1:30" s="106" customFormat="1" ht="15" customHeight="1" x14ac:dyDescent="0.25">
      <c r="A31" s="123"/>
      <c r="B31" s="124"/>
      <c r="C31" s="125"/>
      <c r="D31" s="126"/>
      <c r="E31" s="127"/>
      <c r="F31" s="128"/>
      <c r="G31" s="139"/>
      <c r="H31" s="128"/>
      <c r="I31" s="111"/>
      <c r="J31" s="129"/>
      <c r="K31" s="111"/>
      <c r="L31" s="128"/>
      <c r="M31" s="130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10"/>
      <c r="AC31" s="110"/>
      <c r="AD31" s="107"/>
    </row>
    <row r="32" spans="1:30" s="106" customFormat="1" ht="15" customHeight="1" x14ac:dyDescent="0.25">
      <c r="A32" s="123"/>
      <c r="B32" s="124"/>
      <c r="C32" s="125"/>
      <c r="D32" s="126"/>
      <c r="E32" s="127"/>
      <c r="F32" s="128"/>
      <c r="G32" s="139"/>
      <c r="H32" s="128"/>
      <c r="I32" s="111"/>
      <c r="J32" s="129"/>
      <c r="K32" s="111"/>
      <c r="L32" s="128"/>
      <c r="M32" s="130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10"/>
      <c r="AC32" s="110"/>
      <c r="AD32" s="107"/>
    </row>
    <row r="33" spans="1:30" s="106" customFormat="1" ht="15" customHeight="1" x14ac:dyDescent="0.25">
      <c r="A33" s="123"/>
      <c r="B33" s="124"/>
      <c r="C33" s="125"/>
      <c r="D33" s="126"/>
      <c r="E33" s="127"/>
      <c r="F33" s="128"/>
      <c r="G33" s="139"/>
      <c r="H33" s="128"/>
      <c r="I33" s="111"/>
      <c r="J33" s="129"/>
      <c r="K33" s="111"/>
      <c r="L33" s="128"/>
      <c r="M33" s="130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10"/>
      <c r="AC33" s="110"/>
      <c r="AD33" s="107"/>
    </row>
    <row r="34" spans="1:30" s="106" customFormat="1" ht="15" customHeight="1" x14ac:dyDescent="0.25">
      <c r="A34" s="123"/>
      <c r="B34" s="124"/>
      <c r="C34" s="125"/>
      <c r="D34" s="126"/>
      <c r="E34" s="127"/>
      <c r="F34" s="128"/>
      <c r="G34" s="139"/>
      <c r="H34" s="128"/>
      <c r="I34" s="111"/>
      <c r="J34" s="129"/>
      <c r="K34" s="111"/>
      <c r="L34" s="128"/>
      <c r="M34" s="130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10"/>
      <c r="AC34" s="110"/>
      <c r="AD34" s="107"/>
    </row>
    <row r="35" spans="1:30" s="106" customFormat="1" ht="15" customHeight="1" x14ac:dyDescent="0.25">
      <c r="A35" s="123"/>
      <c r="B35" s="124"/>
      <c r="C35" s="125"/>
      <c r="D35" s="126"/>
      <c r="E35" s="127"/>
      <c r="F35" s="128"/>
      <c r="G35" s="139"/>
      <c r="H35" s="128"/>
      <c r="I35" s="111"/>
      <c r="J35" s="129"/>
      <c r="K35" s="111"/>
      <c r="L35" s="128"/>
      <c r="M35" s="130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10"/>
      <c r="AC35" s="110"/>
      <c r="AD35" s="107"/>
    </row>
    <row r="36" spans="1:30" s="106" customFormat="1" ht="15" customHeight="1" x14ac:dyDescent="0.25">
      <c r="A36" s="123"/>
      <c r="B36" s="124"/>
      <c r="C36" s="125"/>
      <c r="D36" s="126"/>
      <c r="E36" s="127"/>
      <c r="F36" s="128"/>
      <c r="G36" s="139"/>
      <c r="H36" s="128"/>
      <c r="I36" s="111"/>
      <c r="J36" s="129"/>
      <c r="K36" s="111"/>
      <c r="L36" s="128"/>
      <c r="M36" s="130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10"/>
      <c r="AC36" s="110"/>
      <c r="AD36" s="107"/>
    </row>
    <row r="37" spans="1:30" s="106" customFormat="1" ht="15" customHeight="1" x14ac:dyDescent="0.25">
      <c r="A37" s="123"/>
      <c r="B37" s="124"/>
      <c r="C37" s="125"/>
      <c r="D37" s="126"/>
      <c r="E37" s="127"/>
      <c r="F37" s="128"/>
      <c r="G37" s="139"/>
      <c r="H37" s="128"/>
      <c r="I37" s="111"/>
      <c r="J37" s="129"/>
      <c r="K37" s="111"/>
      <c r="L37" s="128"/>
      <c r="M37" s="130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10"/>
      <c r="AC37" s="110"/>
      <c r="AD37" s="107"/>
    </row>
    <row r="38" spans="1:30" s="106" customFormat="1" ht="15" customHeight="1" x14ac:dyDescent="0.25">
      <c r="A38" s="123"/>
      <c r="B38" s="124"/>
      <c r="C38" s="125"/>
      <c r="D38" s="126"/>
      <c r="E38" s="127"/>
      <c r="F38" s="128"/>
      <c r="G38" s="139"/>
      <c r="H38" s="128"/>
      <c r="I38" s="111"/>
      <c r="J38" s="129"/>
      <c r="K38" s="111"/>
      <c r="L38" s="128"/>
      <c r="M38" s="130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10"/>
      <c r="AC38" s="110"/>
      <c r="AD38" s="107"/>
    </row>
    <row r="39" spans="1:30" s="106" customFormat="1" ht="15" customHeight="1" x14ac:dyDescent="0.25">
      <c r="A39" s="123"/>
      <c r="B39" s="124"/>
      <c r="C39" s="125"/>
      <c r="D39" s="126"/>
      <c r="E39" s="127"/>
      <c r="F39" s="128"/>
      <c r="G39" s="139"/>
      <c r="H39" s="128"/>
      <c r="I39" s="111"/>
      <c r="J39" s="129"/>
      <c r="K39" s="111"/>
      <c r="L39" s="128"/>
      <c r="M39" s="130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10"/>
      <c r="AC39" s="110"/>
      <c r="AD39" s="107"/>
    </row>
    <row r="40" spans="1:30" s="106" customFormat="1" ht="15" customHeight="1" x14ac:dyDescent="0.25">
      <c r="A40" s="123"/>
      <c r="B40" s="124"/>
      <c r="C40" s="125"/>
      <c r="D40" s="126"/>
      <c r="E40" s="127"/>
      <c r="F40" s="128"/>
      <c r="G40" s="139"/>
      <c r="H40" s="128"/>
      <c r="I40" s="111"/>
      <c r="J40" s="129"/>
      <c r="K40" s="111"/>
      <c r="L40" s="128"/>
      <c r="M40" s="130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10"/>
      <c r="AC40" s="110"/>
      <c r="AD40" s="107"/>
    </row>
    <row r="41" spans="1:30" s="106" customFormat="1" ht="15" customHeight="1" x14ac:dyDescent="0.25">
      <c r="A41" s="123"/>
      <c r="B41" s="124"/>
      <c r="C41" s="125"/>
      <c r="D41" s="126"/>
      <c r="E41" s="127"/>
      <c r="F41" s="128"/>
      <c r="G41" s="139"/>
      <c r="H41" s="128"/>
      <c r="I41" s="111"/>
      <c r="J41" s="129"/>
      <c r="K41" s="111"/>
      <c r="L41" s="128"/>
      <c r="M41" s="130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10"/>
      <c r="AC41" s="110"/>
      <c r="AD41" s="107"/>
    </row>
    <row r="42" spans="1:30" s="106" customFormat="1" ht="15" customHeight="1" x14ac:dyDescent="0.25">
      <c r="A42" s="123"/>
      <c r="B42" s="124"/>
      <c r="C42" s="125"/>
      <c r="D42" s="126"/>
      <c r="E42" s="127"/>
      <c r="F42" s="128"/>
      <c r="G42" s="139"/>
      <c r="H42" s="128"/>
      <c r="I42" s="111"/>
      <c r="J42" s="129"/>
      <c r="K42" s="111"/>
      <c r="L42" s="128"/>
      <c r="M42" s="130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10"/>
      <c r="AC42" s="110"/>
      <c r="AD42" s="107"/>
    </row>
    <row r="43" spans="1:30" s="106" customFormat="1" ht="15" customHeight="1" x14ac:dyDescent="0.25">
      <c r="A43" s="123"/>
      <c r="B43" s="124"/>
      <c r="C43" s="125"/>
      <c r="D43" s="126"/>
      <c r="E43" s="127"/>
      <c r="F43" s="128"/>
      <c r="G43" s="139"/>
      <c r="H43" s="128"/>
      <c r="I43" s="111"/>
      <c r="J43" s="129"/>
      <c r="K43" s="111"/>
      <c r="L43" s="128"/>
      <c r="M43" s="130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10"/>
      <c r="AC43" s="110"/>
      <c r="AD43" s="107"/>
    </row>
    <row r="44" spans="1:30" s="106" customFormat="1" ht="15" customHeight="1" x14ac:dyDescent="0.25">
      <c r="A44" s="123"/>
      <c r="B44" s="124"/>
      <c r="C44" s="125"/>
      <c r="D44" s="126"/>
      <c r="E44" s="127"/>
      <c r="F44" s="128"/>
      <c r="G44" s="139"/>
      <c r="H44" s="128"/>
      <c r="I44" s="111"/>
      <c r="J44" s="129"/>
      <c r="K44" s="111"/>
      <c r="L44" s="128"/>
      <c r="M44" s="130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10"/>
      <c r="AC44" s="110"/>
      <c r="AD44" s="107"/>
    </row>
    <row r="45" spans="1:30" s="106" customFormat="1" ht="15" customHeight="1" x14ac:dyDescent="0.25">
      <c r="A45" s="123"/>
      <c r="B45" s="124"/>
      <c r="C45" s="125"/>
      <c r="D45" s="126"/>
      <c r="E45" s="127"/>
      <c r="F45" s="128"/>
      <c r="G45" s="139"/>
      <c r="H45" s="128"/>
      <c r="I45" s="111"/>
      <c r="J45" s="129"/>
      <c r="K45" s="111"/>
      <c r="L45" s="128"/>
      <c r="M45" s="130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10"/>
      <c r="AC45" s="110"/>
      <c r="AD45" s="107"/>
    </row>
    <row r="46" spans="1:30" s="106" customFormat="1" ht="15" customHeight="1" x14ac:dyDescent="0.25">
      <c r="A46" s="123"/>
      <c r="B46" s="124"/>
      <c r="C46" s="125"/>
      <c r="D46" s="126"/>
      <c r="E46" s="127"/>
      <c r="F46" s="128"/>
      <c r="G46" s="139"/>
      <c r="H46" s="128"/>
      <c r="I46" s="111"/>
      <c r="J46" s="129"/>
      <c r="K46" s="111"/>
      <c r="L46" s="128"/>
      <c r="M46" s="130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10"/>
      <c r="AC46" s="110"/>
      <c r="AD46" s="107"/>
    </row>
    <row r="47" spans="1:30" s="106" customFormat="1" ht="15" customHeight="1" x14ac:dyDescent="0.25">
      <c r="A47" s="123"/>
      <c r="B47" s="124"/>
      <c r="C47" s="125"/>
      <c r="D47" s="126"/>
      <c r="E47" s="127"/>
      <c r="F47" s="128"/>
      <c r="G47" s="139"/>
      <c r="H47" s="128"/>
      <c r="I47" s="111"/>
      <c r="J47" s="129"/>
      <c r="K47" s="111"/>
      <c r="L47" s="128"/>
      <c r="M47" s="130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10"/>
      <c r="AC47" s="110"/>
      <c r="AD47" s="107"/>
    </row>
    <row r="48" spans="1:30" s="106" customFormat="1" ht="15" customHeight="1" x14ac:dyDescent="0.25">
      <c r="A48" s="123"/>
      <c r="B48" s="124"/>
      <c r="C48" s="125"/>
      <c r="D48" s="126"/>
      <c r="E48" s="127"/>
      <c r="F48" s="128"/>
      <c r="G48" s="139"/>
      <c r="H48" s="128"/>
      <c r="I48" s="111"/>
      <c r="J48" s="129"/>
      <c r="K48" s="111"/>
      <c r="L48" s="128"/>
      <c r="M48" s="130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10"/>
      <c r="AC48" s="110"/>
      <c r="AD48" s="107"/>
    </row>
    <row r="49" spans="1:30" s="106" customFormat="1" ht="15" customHeight="1" x14ac:dyDescent="0.25">
      <c r="A49" s="123"/>
      <c r="B49" s="124"/>
      <c r="C49" s="125"/>
      <c r="D49" s="126"/>
      <c r="E49" s="127"/>
      <c r="F49" s="128"/>
      <c r="G49" s="139"/>
      <c r="H49" s="128"/>
      <c r="I49" s="111"/>
      <c r="J49" s="129"/>
      <c r="K49" s="111"/>
      <c r="L49" s="128"/>
      <c r="M49" s="130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10"/>
      <c r="AC49" s="110"/>
      <c r="AD49" s="107"/>
    </row>
    <row r="50" spans="1:30" s="106" customFormat="1" ht="15" customHeight="1" x14ac:dyDescent="0.25">
      <c r="A50" s="131"/>
      <c r="B50" s="132"/>
      <c r="C50" s="133"/>
      <c r="D50" s="134"/>
      <c r="E50" s="135"/>
      <c r="F50" s="136"/>
      <c r="G50" s="140"/>
      <c r="H50" s="136"/>
      <c r="I50" s="122"/>
      <c r="J50" s="137"/>
      <c r="K50" s="122"/>
      <c r="L50" s="136"/>
      <c r="M50" s="138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10"/>
      <c r="AC50" s="110"/>
      <c r="AD50" s="107"/>
    </row>
  </sheetData>
  <mergeCells count="2">
    <mergeCell ref="A4:M4"/>
    <mergeCell ref="U5:V6"/>
  </mergeCells>
  <pageMargins left="0.51181102362204722" right="0.27559055118110237" top="0.74803149606299213" bottom="0.74803149606299213" header="0.31496062992125984" footer="0.31496062992125984"/>
  <pageSetup paperSize="9" scale="55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Лист2-ЭЛЕМЕНТ</vt:lpstr>
      <vt:lpstr>Лист4-Толщинометрия</vt:lpstr>
      <vt:lpstr>Вспомогательный лист</vt:lpstr>
      <vt:lpstr>Passport</vt:lpstr>
      <vt:lpstr>ICTE_Analysis</vt:lpstr>
      <vt:lpstr>ICTEhasCorrosionType</vt:lpstr>
      <vt:lpstr>ICTEhasUnaccountedComp</vt:lpstr>
      <vt:lpstr>ШАБЛОН</vt:lpstr>
      <vt:lpstr>ШАБЛОН!Область_печати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Andrianov.NSe</dc:creator>
  <cp:lastModifiedBy>RePack by Diakov</cp:lastModifiedBy>
  <dcterms:created xsi:type="dcterms:W3CDTF">2019-11-05T07:00:59Z</dcterms:created>
  <dcterms:modified xsi:type="dcterms:W3CDTF">2021-03-08T07:00:31Z</dcterms:modified>
</cp:coreProperties>
</file>