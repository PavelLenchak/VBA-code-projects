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LENOVO-PC\Desktop\"/>
    </mc:Choice>
  </mc:AlternateContent>
  <bookViews>
    <workbookView xWindow="0" yWindow="16650" windowWidth="19170" windowHeight="10980"/>
  </bookViews>
  <sheets>
    <sheet name="Реестр персонала" sheetId="8" r:id="rId1"/>
    <sheet name="Лист2" sheetId="10" r:id="rId2"/>
    <sheet name="Лист1" sheetId="11" r:id="rId3"/>
  </sheets>
  <functionGroups builtInGroupCount="18"/>
  <definedNames>
    <definedName name="_xlnm._FilterDatabase" localSheetId="0" hidden="1">'Реестр персонала'!$B$17:$DA$240</definedName>
    <definedName name="question">'Реестр персонала'!$C$12</definedName>
    <definedName name="дата_атт">'Реестр персонала'!$J$18:$J$200</definedName>
    <definedName name="доп_ат">'Реестр персонала'!$G$18:$G$200</definedName>
    <definedName name="Клеймо">'Реестр персонала'!$B$4:$B$10</definedName>
    <definedName name="номер_удо">'Реестр персонала'!$F$18:$F$200</definedName>
    <definedName name="сварщики">'Реестр персонала'!$A$18:$DA$200</definedName>
    <definedName name="срок_действия_продление_удо">'Реестр персонала'!$K$18:$L$200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8" l="1"/>
  <c r="E15" i="8"/>
  <c r="F15" i="8" l="1"/>
  <c r="J15" i="8"/>
  <c r="D15" i="8" a="1"/>
  <c r="I15" i="8" l="1" a="1"/>
  <c r="I15" i="8" s="1"/>
  <c r="AF15" i="8" a="1"/>
  <c r="AF15" i="8" s="1"/>
  <c r="AD15" i="8" a="1"/>
  <c r="AD15" i="8" s="1"/>
  <c r="AE15" i="8" a="1"/>
  <c r="AE15" i="8" s="1"/>
  <c r="AG15" i="8" a="1"/>
  <c r="AG15" i="8" s="1"/>
  <c r="H15" i="8" a="1"/>
  <c r="H15" i="8" s="1"/>
  <c r="D15" i="8"/>
  <c r="K15" i="8"/>
  <c r="L15" i="8"/>
  <c r="B15" i="8"/>
  <c r="R15" i="8" l="1"/>
  <c r="Q15" i="8"/>
  <c r="P15" i="8"/>
  <c r="O15" i="8"/>
  <c r="N15" i="8"/>
  <c r="M15" i="8"/>
  <c r="G15" i="8" l="1"/>
  <c r="C15" i="8"/>
  <c r="J1" i="10" l="1"/>
</calcChain>
</file>

<file path=xl/sharedStrings.xml><?xml version="1.0" encoding="utf-8"?>
<sst xmlns="http://schemas.openxmlformats.org/spreadsheetml/2006/main" count="466" uniqueCount="429">
  <si>
    <t>ФИО</t>
  </si>
  <si>
    <t>ШИФР КЛЕЙМА</t>
  </si>
  <si>
    <t>Место работы</t>
  </si>
  <si>
    <t>Должность</t>
  </si>
  <si>
    <t>Доп. Атт.</t>
  </si>
  <si>
    <t>АЦ</t>
  </si>
  <si>
    <t>АП</t>
  </si>
  <si>
    <t>Дата аттестации</t>
  </si>
  <si>
    <t>Окончание срока действия</t>
  </si>
  <si>
    <t>Срок продления</t>
  </si>
  <si>
    <t>Вид деятельности</t>
  </si>
  <si>
    <t>Номер удостоверения</t>
  </si>
  <si>
    <t>Область аттестации</t>
  </si>
  <si>
    <t>СЕРТИФИКАТ</t>
  </si>
  <si>
    <t>Клеймо</t>
  </si>
  <si>
    <t>Нет</t>
  </si>
  <si>
    <t>Создавать сертификаты в отдельном Excel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</si>
  <si>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</si>
  <si>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</si>
  <si>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</si>
  <si>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</si>
  <si>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</si>
  <si>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</si>
  <si>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</si>
  <si>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</si>
  <si>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</si>
  <si>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</si>
  <si>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</si>
  <si>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</si>
  <si>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</si>
  <si>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</si>
  <si>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</si>
  <si>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</si>
  <si>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</si>
  <si>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</si>
  <si>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</si>
  <si>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</si>
  <si>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</si>
  <si>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</si>
  <si>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</si>
  <si>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</si>
  <si>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</si>
  <si>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</si>
  <si>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Формула для написания алфавита</t>
  </si>
  <si>
    <t>1A1B</t>
  </si>
  <si>
    <t>1A1C</t>
  </si>
  <si>
    <t>1A1E</t>
  </si>
  <si>
    <t>1A1F</t>
  </si>
  <si>
    <t>1A1K</t>
  </si>
  <si>
    <t>1A1L</t>
  </si>
  <si>
    <t>1A1M</t>
  </si>
  <si>
    <t>1A1N</t>
  </si>
  <si>
    <t>1A1P</t>
  </si>
  <si>
    <t>1A1R</t>
  </si>
  <si>
    <t>1A1T</t>
  </si>
  <si>
    <t>1A1V</t>
  </si>
  <si>
    <t>1A1X</t>
  </si>
  <si>
    <t>1A1Z</t>
  </si>
  <si>
    <t>1A2A</t>
  </si>
  <si>
    <t>1B3O</t>
  </si>
  <si>
    <t>1B3P</t>
  </si>
  <si>
    <t>1B3Q</t>
  </si>
  <si>
    <t>1B3R</t>
  </si>
  <si>
    <t>1B3S</t>
  </si>
  <si>
    <t>1B3T</t>
  </si>
  <si>
    <t>1B3U</t>
  </si>
  <si>
    <t>1B3V</t>
  </si>
  <si>
    <t>1B3W</t>
  </si>
  <si>
    <t>1B3X</t>
  </si>
  <si>
    <t>1B3Y</t>
  </si>
  <si>
    <t>1B3Z</t>
  </si>
  <si>
    <t>1B4A</t>
  </si>
  <si>
    <t>1B4B</t>
  </si>
  <si>
    <t>1B4C</t>
  </si>
  <si>
    <t>1B4D</t>
  </si>
  <si>
    <t>1B4E</t>
  </si>
  <si>
    <t>1B4F</t>
  </si>
  <si>
    <t>1B4G</t>
  </si>
  <si>
    <t>1B4H</t>
  </si>
  <si>
    <t>1B4I</t>
  </si>
  <si>
    <t>1B4J</t>
  </si>
  <si>
    <t>1B4K</t>
  </si>
  <si>
    <t>1B4L</t>
  </si>
  <si>
    <t>1B4M</t>
  </si>
  <si>
    <t>1B4N</t>
  </si>
  <si>
    <t>1B4O</t>
  </si>
  <si>
    <t>1B4P</t>
  </si>
  <si>
    <t>1B4Q</t>
  </si>
  <si>
    <t>1B4R</t>
  </si>
  <si>
    <t>1B4S</t>
  </si>
  <si>
    <t>1B4T</t>
  </si>
  <si>
    <t>1B4U</t>
  </si>
  <si>
    <t>1B4V</t>
  </si>
  <si>
    <t>1B4W</t>
  </si>
  <si>
    <t>1B4X</t>
  </si>
  <si>
    <t>1B4Y</t>
  </si>
  <si>
    <t>1B4Z</t>
  </si>
  <si>
    <t>1B5A</t>
  </si>
  <si>
    <t>1B5B</t>
  </si>
  <si>
    <t>1B5C</t>
  </si>
  <si>
    <t>1B5D</t>
  </si>
  <si>
    <t>1B5E</t>
  </si>
  <si>
    <t>1B5F</t>
  </si>
  <si>
    <t>1B5G</t>
  </si>
  <si>
    <t>1B5H</t>
  </si>
  <si>
    <t>1B5I</t>
  </si>
  <si>
    <t>1B5J</t>
  </si>
  <si>
    <t>1B5K</t>
  </si>
  <si>
    <t>1B5L</t>
  </si>
  <si>
    <t>1B5M</t>
  </si>
  <si>
    <t>1B5N</t>
  </si>
  <si>
    <t>1B5O</t>
  </si>
  <si>
    <t>1B5P</t>
  </si>
  <si>
    <t>1B5Q</t>
  </si>
  <si>
    <t>1B5R</t>
  </si>
  <si>
    <t>1B5S</t>
  </si>
  <si>
    <t>1B5T</t>
  </si>
  <si>
    <t>1B5U</t>
  </si>
  <si>
    <t>1B5V</t>
  </si>
  <si>
    <t>1B5W</t>
  </si>
  <si>
    <t>1B5X</t>
  </si>
  <si>
    <t>1B5Y</t>
  </si>
  <si>
    <t>1B5Z</t>
  </si>
  <si>
    <t>1B6A</t>
  </si>
  <si>
    <t>1B6B</t>
  </si>
  <si>
    <t>1B6C</t>
  </si>
  <si>
    <t>1B6D</t>
  </si>
  <si>
    <t>1B6E</t>
  </si>
  <si>
    <t>1B6F</t>
  </si>
  <si>
    <t>1B6G</t>
  </si>
  <si>
    <t>1B6H</t>
  </si>
  <si>
    <t>1B6I</t>
  </si>
  <si>
    <t>1B6J</t>
  </si>
  <si>
    <t>1B6K</t>
  </si>
  <si>
    <t>1B6L</t>
  </si>
  <si>
    <t>1B6M</t>
  </si>
  <si>
    <t>1B6N</t>
  </si>
  <si>
    <t>1B6O</t>
  </si>
  <si>
    <t>1B6P</t>
  </si>
  <si>
    <t>1B6Q</t>
  </si>
  <si>
    <t>1B6R</t>
  </si>
  <si>
    <t>1B6S</t>
  </si>
  <si>
    <t>1B6T</t>
  </si>
  <si>
    <t>1B6U</t>
  </si>
  <si>
    <t>1B6V</t>
  </si>
  <si>
    <t>1B6W</t>
  </si>
  <si>
    <t>1B6X</t>
  </si>
  <si>
    <t>1B6Y</t>
  </si>
  <si>
    <t>1B6Z</t>
  </si>
  <si>
    <t>1B7A</t>
  </si>
  <si>
    <t>1B7B</t>
  </si>
  <si>
    <t>1B7C</t>
  </si>
  <si>
    <t>1B7D</t>
  </si>
  <si>
    <t>1B7E</t>
  </si>
  <si>
    <t>1B7F</t>
  </si>
  <si>
    <t>1B7G</t>
  </si>
  <si>
    <t>1B7H</t>
  </si>
  <si>
    <t>1B7I</t>
  </si>
  <si>
    <t>1B7J</t>
  </si>
  <si>
    <t>1B7K</t>
  </si>
  <si>
    <t>1B7L</t>
  </si>
  <si>
    <t>1B7M</t>
  </si>
  <si>
    <t>1B7N</t>
  </si>
  <si>
    <t>1B7O</t>
  </si>
  <si>
    <t>1B7P</t>
  </si>
  <si>
    <t>1B7Q</t>
  </si>
  <si>
    <t>1B7R</t>
  </si>
  <si>
    <t>1B7S</t>
  </si>
  <si>
    <t>1B7T</t>
  </si>
  <si>
    <t>1B7U</t>
  </si>
  <si>
    <t>1B7V</t>
  </si>
  <si>
    <t>1B7W</t>
  </si>
  <si>
    <t>1B7X</t>
  </si>
  <si>
    <t>1B7Y</t>
  </si>
  <si>
    <t>1B7Z</t>
  </si>
  <si>
    <t>1B8A</t>
  </si>
  <si>
    <t>1B8B</t>
  </si>
  <si>
    <t>1B8C</t>
  </si>
  <si>
    <t>1B8D</t>
  </si>
  <si>
    <t>1B8E</t>
  </si>
  <si>
    <t>1B8F</t>
  </si>
  <si>
    <t>1B8G</t>
  </si>
  <si>
    <t>1B8H</t>
  </si>
  <si>
    <t>1B8I</t>
  </si>
  <si>
    <t>1B8J</t>
  </si>
  <si>
    <t>1B8K</t>
  </si>
  <si>
    <t>1B8L</t>
  </si>
  <si>
    <t>1B8M</t>
  </si>
  <si>
    <t>1B8N</t>
  </si>
  <si>
    <t>1B8O</t>
  </si>
  <si>
    <t>1B8P</t>
  </si>
  <si>
    <t>1B8Q</t>
  </si>
  <si>
    <t>1B8R</t>
  </si>
  <si>
    <t>1B8S</t>
  </si>
  <si>
    <t>1B8T</t>
  </si>
  <si>
    <t>1B8U</t>
  </si>
  <si>
    <t>1B8V</t>
  </si>
  <si>
    <t>1B8W</t>
  </si>
  <si>
    <t>1B8X</t>
  </si>
  <si>
    <t>1B8Y</t>
  </si>
  <si>
    <t>1B8Z</t>
  </si>
  <si>
    <t>1B9A</t>
  </si>
  <si>
    <t>1B9B</t>
  </si>
  <si>
    <t>1B9C</t>
  </si>
  <si>
    <t>1B9D</t>
  </si>
  <si>
    <t>1B9E</t>
  </si>
  <si>
    <t>1B9F</t>
  </si>
  <si>
    <t>1B9G</t>
  </si>
  <si>
    <t>1B9H</t>
  </si>
  <si>
    <t>1B9I</t>
  </si>
  <si>
    <t>1B9J</t>
  </si>
  <si>
    <t>1B9K</t>
  </si>
  <si>
    <t>1B9L</t>
  </si>
  <si>
    <t>1B9M</t>
  </si>
  <si>
    <t>1B9N</t>
  </si>
  <si>
    <t>1B9O</t>
  </si>
  <si>
    <t>1B9P</t>
  </si>
  <si>
    <t>1B9Q</t>
  </si>
  <si>
    <t>1B9R</t>
  </si>
  <si>
    <t>1B9S</t>
  </si>
  <si>
    <t>1B9T</t>
  </si>
  <si>
    <t>1B9U</t>
  </si>
  <si>
    <t>1B9V</t>
  </si>
  <si>
    <t>1B9W</t>
  </si>
  <si>
    <t>1B9X</t>
  </si>
  <si>
    <t>1B9Y</t>
  </si>
  <si>
    <t>1B9Z</t>
  </si>
  <si>
    <t>1C1A</t>
  </si>
  <si>
    <t>1C1B</t>
  </si>
  <si>
    <t>1C1C</t>
  </si>
  <si>
    <t>1C1D</t>
  </si>
  <si>
    <t>1C1E</t>
  </si>
  <si>
    <t>1C1F</t>
  </si>
  <si>
    <t>1C1G</t>
  </si>
  <si>
    <t>1C1H</t>
  </si>
  <si>
    <t>1C1I</t>
  </si>
  <si>
    <t>1C1J</t>
  </si>
  <si>
    <t>1C1K</t>
  </si>
  <si>
    <t>1C1L</t>
  </si>
  <si>
    <t>1C1M</t>
  </si>
  <si>
    <t>1C1N</t>
  </si>
  <si>
    <t>1C1O</t>
  </si>
  <si>
    <t>1C1P</t>
  </si>
  <si>
    <t>1C1Q</t>
  </si>
  <si>
    <t>1C1R</t>
  </si>
  <si>
    <t>1C1S</t>
  </si>
  <si>
    <t>1C1T</t>
  </si>
  <si>
    <t>1C1U</t>
  </si>
  <si>
    <t>1C1V</t>
  </si>
  <si>
    <t>1C1W</t>
  </si>
  <si>
    <t>1C1X</t>
  </si>
  <si>
    <t>1C1Y</t>
  </si>
  <si>
    <t>1C1Z</t>
  </si>
  <si>
    <t>1C2A</t>
  </si>
  <si>
    <t>1C2B</t>
  </si>
  <si>
    <t>1C2C</t>
  </si>
  <si>
    <t>1C2D</t>
  </si>
  <si>
    <t>1C2E</t>
  </si>
  <si>
    <t>1C2F</t>
  </si>
  <si>
    <t>Вид аттестации:</t>
  </si>
  <si>
    <t>ФИО:</t>
  </si>
  <si>
    <t>Допущен к:</t>
  </si>
  <si>
    <t>Группы технических устройств опасных производственных объектов:</t>
  </si>
  <si>
    <t>Вид (способ) сварки (наплавки)</t>
  </si>
  <si>
    <t>Вид деталей</t>
  </si>
  <si>
    <t>Типы швов</t>
  </si>
  <si>
    <t>Группа свариваемого материала</t>
  </si>
  <si>
    <t>Сварочные материалы</t>
  </si>
  <si>
    <t>Толщина деталей, мм</t>
  </si>
  <si>
    <t>Наружный диаметр, мм</t>
  </si>
  <si>
    <t>Положение при сварке</t>
  </si>
  <si>
    <t>Вид соединения</t>
  </si>
  <si>
    <t>Наименование подрядной организации</t>
  </si>
  <si>
    <t>ФИО сварщика</t>
  </si>
  <si>
    <t>Вид сварки</t>
  </si>
  <si>
    <t>№ аттестационного удостоверения</t>
  </si>
  <si>
    <t>Срок действия аттестационного удостоверения</t>
  </si>
  <si>
    <t>Группы технических устройств</t>
  </si>
  <si>
    <t>Вид швов</t>
  </si>
  <si>
    <t>Группа свариваемых материалов 2)</t>
  </si>
  <si>
    <t>Сварочные маетериалы</t>
  </si>
  <si>
    <t>ГЛАВНАЯ ТАБЛИЦА</t>
  </si>
  <si>
    <t>Диаметр деталей, мм</t>
  </si>
  <si>
    <t>Диаметр стержня, мм</t>
  </si>
  <si>
    <t>Тип сварного соединения</t>
  </si>
  <si>
    <t>Положение осей стержней</t>
  </si>
  <si>
    <t>SDR</t>
  </si>
  <si>
    <t>Степень автоматизации</t>
  </si>
  <si>
    <t>Слой шва</t>
  </si>
  <si>
    <t>Сварочное оборудование</t>
  </si>
  <si>
    <t>№ ВИК</t>
  </si>
  <si>
    <t>Дата ВИК</t>
  </si>
  <si>
    <t>№ РГК</t>
  </si>
  <si>
    <t>Дата РГК</t>
  </si>
  <si>
    <t>№МХК</t>
  </si>
  <si>
    <t>Дата МХК</t>
  </si>
  <si>
    <t>№ ДЛС</t>
  </si>
  <si>
    <t>Дата ДЛС</t>
  </si>
  <si>
    <t>Описание допускных стыков</t>
  </si>
  <si>
    <t>ВИК ДС</t>
  </si>
  <si>
    <t>РК ДС</t>
  </si>
  <si>
    <t>Начальник ОТН</t>
  </si>
  <si>
    <t>Примечание</t>
  </si>
  <si>
    <t>В.Н. Шалденков</t>
  </si>
  <si>
    <t>Квалификационный разряд
(формула массива)</t>
  </si>
  <si>
    <t>Дата выдачи удостоверения
(формула массива)</t>
  </si>
  <si>
    <t>Вкладыш В1
(массив)</t>
  </si>
  <si>
    <t>Дата вкладыш В1
(массив)</t>
  </si>
  <si>
    <t>Вкладыш В2
(массив)</t>
  </si>
  <si>
    <t>Дата Вкладыш В2
(массив)</t>
  </si>
  <si>
    <t>*МИНИМАЛЬНАЯ дата, которая соответствует удостоверению (просматривает даты в 9 столбце)</t>
  </si>
  <si>
    <t>*МАКСИМАЛЬНАЯ дата, которая соответствует удостоверению (проверяет даты в 10 и 11 столбцах)</t>
  </si>
  <si>
    <t>*вставляет сокращения вместо полных значений</t>
  </si>
  <si>
    <t>*подтягивает значение даты со столбца № 9, если находит значение - "№удостоверения &amp; В1"</t>
  </si>
  <si>
    <t>*подтягивает значение даты со столбца № 9, если находит значение - "№удостоверения &amp; В2"</t>
  </si>
  <si>
    <t>*если АП не пусто - подтягиваем 8 столбец</t>
  </si>
  <si>
    <t>9HHH</t>
  </si>
  <si>
    <t>9MB8</t>
  </si>
  <si>
    <t>9LMH</t>
  </si>
  <si>
    <t>9LF5</t>
  </si>
  <si>
    <t>9KF1</t>
  </si>
  <si>
    <t>8AF7</t>
  </si>
  <si>
    <t>9LAX</t>
  </si>
  <si>
    <t>9LAS</t>
  </si>
  <si>
    <t>9LAL</t>
  </si>
  <si>
    <t>9LF1</t>
  </si>
  <si>
    <t>8H81</t>
  </si>
  <si>
    <t>№</t>
  </si>
  <si>
    <t>Абрам</t>
  </si>
  <si>
    <t>Аваз</t>
  </si>
  <si>
    <t>Август</t>
  </si>
  <si>
    <t>Авдей</t>
  </si>
  <si>
    <t>Автандил</t>
  </si>
  <si>
    <t>Адам</t>
  </si>
  <si>
    <t>Адис</t>
  </si>
  <si>
    <t>Адольф</t>
  </si>
  <si>
    <t>Адриан</t>
  </si>
  <si>
    <t>Азарий</t>
  </si>
  <si>
    <t>Аким</t>
  </si>
  <si>
    <t>Алан (Ален)</t>
  </si>
  <si>
    <t>Александр</t>
  </si>
  <si>
    <t>Алексей</t>
  </si>
  <si>
    <t>Альберт</t>
  </si>
  <si>
    <t>Альфред</t>
  </si>
  <si>
    <t>Амадей</t>
  </si>
  <si>
    <t>Амадеус</t>
  </si>
  <si>
    <t>Амаяк</t>
  </si>
  <si>
    <t>9. Морозов</t>
  </si>
  <si>
    <t>10. Петров</t>
  </si>
  <si>
    <t>11. Волков</t>
  </si>
  <si>
    <t>12. Соловьёв</t>
  </si>
  <si>
    <t>13. Васильев</t>
  </si>
  <si>
    <t>14. Зайцев</t>
  </si>
  <si>
    <t>15. Павлов</t>
  </si>
  <si>
    <t>16. Семёнов</t>
  </si>
  <si>
    <t>17. Голубев</t>
  </si>
  <si>
    <t>18. Виноградов</t>
  </si>
  <si>
    <t>Смирнов</t>
  </si>
  <si>
    <t>Иванов</t>
  </si>
  <si>
    <t>Кузнецов</t>
  </si>
  <si>
    <t>Соколов</t>
  </si>
  <si>
    <t>Попов</t>
  </si>
  <si>
    <t>Лебедев</t>
  </si>
  <si>
    <t>Козлов</t>
  </si>
  <si>
    <t>Новиков</t>
  </si>
  <si>
    <t>Абрам Смирнов</t>
  </si>
  <si>
    <t>Абрам Иванов</t>
  </si>
  <si>
    <t>Абрам Кузнецов</t>
  </si>
  <si>
    <t>Абрам Соколов</t>
  </si>
  <si>
    <t>Абрам Попов</t>
  </si>
  <si>
    <t>Абрам Лебедев</t>
  </si>
  <si>
    <t>Абрам Козлов</t>
  </si>
  <si>
    <t>Абрам Новиков</t>
  </si>
  <si>
    <t>Аваз Смирнов</t>
  </si>
  <si>
    <t>Аваз Иванов</t>
  </si>
  <si>
    <t>Аваз Кузнецов</t>
  </si>
  <si>
    <t>Аваз Соколов</t>
  </si>
  <si>
    <t>Аваз Попов</t>
  </si>
  <si>
    <t>Аваз Лебедев</t>
  </si>
  <si>
    <t>Аваз Козлов</t>
  </si>
  <si>
    <t>Аваз Новиков</t>
  </si>
  <si>
    <t>Август Смирнов</t>
  </si>
  <si>
    <t>Август Иванов</t>
  </si>
  <si>
    <t>Август Кузнецов</t>
  </si>
  <si>
    <t>Август Соколов</t>
  </si>
  <si>
    <t>Август Попов</t>
  </si>
  <si>
    <t>Август Лебедев</t>
  </si>
  <si>
    <t>Август Козлов</t>
  </si>
  <si>
    <t>Август Новиков</t>
  </si>
  <si>
    <t>Авдей Смирнов</t>
  </si>
  <si>
    <t>Авдей Иванов</t>
  </si>
  <si>
    <t>Авдей Кузнецов</t>
  </si>
  <si>
    <t>Авдей Соколов</t>
  </si>
  <si>
    <t>Авдей Попов</t>
  </si>
  <si>
    <t>Авдей Лебедев</t>
  </si>
  <si>
    <t>Авдей Козлов</t>
  </si>
  <si>
    <t>Авдей Новиков</t>
  </si>
  <si>
    <t>Автандил Смирнов</t>
  </si>
  <si>
    <t>Автандил Иванов</t>
  </si>
  <si>
    <t>Автандил Кузнецов</t>
  </si>
  <si>
    <t>Автандил Соколов</t>
  </si>
  <si>
    <t>Автандил Попов</t>
  </si>
  <si>
    <t>Автандил Лебедев</t>
  </si>
  <si>
    <t>Автандил Козлов</t>
  </si>
  <si>
    <t>Автандил Новиков</t>
  </si>
  <si>
    <t>Адам Смирнов</t>
  </si>
  <si>
    <t>Адам Иванов</t>
  </si>
  <si>
    <t>Адам Кузнецов</t>
  </si>
  <si>
    <t>Адам Соколов</t>
  </si>
  <si>
    <t>Адам Попов</t>
  </si>
  <si>
    <t>Адам Лебедев</t>
  </si>
  <si>
    <t>Адам Козлов</t>
  </si>
  <si>
    <t>Адам Новиков</t>
  </si>
  <si>
    <t>Адис Смирнов</t>
  </si>
  <si>
    <t>Адис Иванов</t>
  </si>
  <si>
    <t>Адис Кузнецов</t>
  </si>
  <si>
    <t>Адис Соколов</t>
  </si>
  <si>
    <t>Адис Попов</t>
  </si>
  <si>
    <t>Адис Лебедев</t>
  </si>
  <si>
    <t>Адис Козлов</t>
  </si>
  <si>
    <t>Адис Новиков</t>
  </si>
  <si>
    <t>Адольф Смирнов</t>
  </si>
  <si>
    <t>Адольф Иванов</t>
  </si>
  <si>
    <t>Адольф Кузнецов</t>
  </si>
  <si>
    <t>Адольф Соколов</t>
  </si>
  <si>
    <t>Адольф Попов</t>
  </si>
  <si>
    <t>Адольф Лебедев</t>
  </si>
  <si>
    <t>Адольф Козлов</t>
  </si>
  <si>
    <t>Адольф Новиков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</si>
</sst>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Fill="1" applyAlignment="1"/>
    <xf numFmtId="0" fontId="0" fillId="0" borderId="0" xfId="0" applyFill="1"/>
    <xf numFmtId="0" fontId="0" fillId="0" borderId="1" xfId="0" applyBorder="1" applyAlignment="1">
      <alignment horizontal="left" vertical="center" wrapText="1"/>
    </xf>
    <xf numFmtId="14" fontId="0" fillId="0" borderId="0" xfId="0" applyNumberFormat="1" applyAlignment="1"/>
    <xf numFmtId="0" fontId="5" fillId="0" borderId="0" xfId="0" applyFont="1" applyFill="1" applyAlignment="1">
      <alignment horizontal="center" vertical="center"/>
    </xf>
    <xf numFmtId="14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3" fillId="4" borderId="1" xfId="0" applyFont="1" applyFill="1" applyBorder="1" applyAlignment="1">
      <alignment horizontal="left" vertical="center" wrapText="1"/>
    </xf>
    <xf numFmtId="0" fontId="0" fillId="0" borderId="2" xfId="0" applyBorder="1" applyAlignment="1"/>
    <xf numFmtId="0" fontId="0" fillId="0" borderId="0" xfId="0" applyFill="1" applyAlignment="1">
      <alignment wrapText="1"/>
    </xf>
    <xf numFmtId="0" fontId="8" fillId="0" borderId="0" xfId="5" applyFont="1" applyAlignment="1"/>
    <xf numFmtId="0" fontId="8" fillId="0" borderId="0" xfId="0" applyFont="1" applyAlignment="1"/>
  </cellXfs>
  <cellStyles count="6">
    <cellStyle name="Гиперссылка" xfId="5" builtinId="8"/>
    <cellStyle name="Обычный" xfId="0" builtinId="0"/>
    <cellStyle name="Обычный 2" xfId="1"/>
    <cellStyle name="Обычный 2 2" xfId="3"/>
    <cellStyle name="Обычный 3" xfId="2"/>
    <cellStyle name="Обычный 3 2" xfId="4"/>
  </cellStyles>
  <dxfs count="4"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38100</xdr:rowOff>
        </xdr:from>
        <xdr:to>
          <xdr:col>1</xdr:col>
          <xdr:colOff>2009775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</xdr:row>
          <xdr:rowOff>19050</xdr:rowOff>
        </xdr:from>
        <xdr:to>
          <xdr:col>0</xdr:col>
          <xdr:colOff>561975</xdr:colOff>
          <xdr:row>16</xdr:row>
          <xdr:rowOff>647700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A240"/>
  <sheetViews>
    <sheetView tabSelected="1" zoomScale="70" zoomScaleNormal="70" workbookViewId="0">
      <selection activeCell="D9" sqref="D9"/>
    </sheetView>
  </sheetViews>
  <sheetFormatPr defaultRowHeight="15" x14ac:dyDescent="0.25"/>
  <cols>
    <col min="1" max="1" width="9" style="15" customWidth="1"/>
    <col min="2" max="2" width="35" style="1" customWidth="1"/>
    <col min="3" max="3" width="19.140625" style="1" customWidth="1"/>
    <col min="4" max="4" width="40" style="2" bestFit="1" customWidth="1"/>
    <col min="5" max="5" width="21" bestFit="1" customWidth="1"/>
    <col min="6" max="6" width="27.42578125" bestFit="1" customWidth="1"/>
    <col min="7" max="7" width="14.42578125" bestFit="1" customWidth="1"/>
    <col min="8" max="8" width="18.5703125" bestFit="1" customWidth="1"/>
    <col min="9" max="9" width="16.5703125" bestFit="1" customWidth="1"/>
    <col min="10" max="10" width="44.85546875" style="6" customWidth="1"/>
    <col min="11" max="11" width="26" style="6" bestFit="1" customWidth="1"/>
    <col min="12" max="12" width="16.140625" style="6" bestFit="1" customWidth="1"/>
    <col min="13" max="13" width="26.7109375" customWidth="1"/>
    <col min="14" max="14" width="49" customWidth="1"/>
    <col min="15" max="15" width="13" customWidth="1"/>
    <col min="16" max="16" width="34.85546875" style="3" customWidth="1"/>
    <col min="17" max="17" width="40.140625" style="3" customWidth="1"/>
    <col min="18" max="18" width="31.7109375" style="3" customWidth="1"/>
    <col min="19" max="19" width="46.140625" style="3" bestFit="1" customWidth="1"/>
    <col min="20" max="20" width="13.42578125" style="3" customWidth="1"/>
    <col min="21" max="21" width="18.7109375" style="3" customWidth="1"/>
    <col min="22" max="22" width="30.28515625" style="3" customWidth="1"/>
    <col min="23" max="23" width="9.140625" style="3"/>
    <col min="24" max="24" width="19.140625" style="3" customWidth="1"/>
    <col min="25" max="25" width="11.28515625" style="3" customWidth="1"/>
    <col min="26" max="26" width="10.28515625" style="3" bestFit="1" customWidth="1"/>
    <col min="27" max="27" width="16.85546875" style="3" customWidth="1"/>
    <col min="28" max="29" width="9.140625" style="3"/>
    <col min="30" max="30" width="17.85546875" style="3" customWidth="1"/>
    <col min="31" max="31" width="13" style="3" customWidth="1"/>
    <col min="32" max="32" width="14.7109375" style="3" customWidth="1"/>
    <col min="33" max="33" width="18.140625" style="3" customWidth="1"/>
    <col min="34" max="34" width="17" style="3" customWidth="1"/>
    <col min="35" max="35" width="19.5703125" style="3" customWidth="1"/>
    <col min="36" max="36" width="14.5703125" style="3" customWidth="1"/>
    <col min="37" max="37" width="22" style="3" customWidth="1"/>
    <col min="38" max="40" width="9.140625" style="3"/>
    <col min="41" max="41" width="12.5703125" style="3" customWidth="1"/>
    <col min="42" max="45" width="9.140625" style="3"/>
    <col min="46" max="46" width="11.5703125" style="3" customWidth="1"/>
    <col min="47" max="50" width="9.140625" style="3"/>
    <col min="51" max="51" width="11.42578125" style="3" customWidth="1"/>
    <col min="52" max="55" width="9.140625" style="3"/>
    <col min="56" max="56" width="11.5703125" style="3" customWidth="1"/>
    <col min="57" max="60" width="9.140625" style="3"/>
    <col min="61" max="61" width="13.28515625" style="3" customWidth="1"/>
    <col min="62" max="65" width="9.140625" style="3"/>
    <col min="66" max="66" width="11.85546875" style="3" customWidth="1"/>
    <col min="67" max="70" width="9.140625" style="3"/>
    <col min="71" max="71" width="10.85546875" style="3" customWidth="1"/>
    <col min="72" max="73" width="9.140625" style="3"/>
    <col min="76" max="76" width="12.85546875" customWidth="1"/>
    <col min="81" max="81" width="13.140625" customWidth="1"/>
    <col min="91" max="91" width="10.28515625" customWidth="1"/>
    <col min="96" max="96" width="10.140625" customWidth="1"/>
    <col min="101" max="101" width="14.5703125" customWidth="1"/>
  </cols>
  <sheetData>
    <row r="1" spans="1:105" x14ac:dyDescent="0.25">
      <c r="G1" s="6"/>
      <c r="H1" s="6"/>
      <c r="J1"/>
      <c r="K1"/>
      <c r="L1"/>
    </row>
    <row r="2" spans="1:105" x14ac:dyDescent="0.25">
      <c r="J2"/>
      <c r="K2"/>
      <c r="L2"/>
    </row>
    <row r="3" spans="1:105" x14ac:dyDescent="0.25">
      <c r="B3" s="14" t="s">
        <v>14</v>
      </c>
      <c r="C3" s="2"/>
      <c r="D3"/>
      <c r="J3"/>
      <c r="K3"/>
      <c r="L3"/>
      <c r="O3" s="3"/>
      <c r="BU3"/>
    </row>
    <row r="4" spans="1:105" x14ac:dyDescent="0.25">
      <c r="B4" s="4" t="s">
        <v>318</v>
      </c>
      <c r="D4"/>
      <c r="J4"/>
      <c r="K4"/>
      <c r="L4"/>
      <c r="O4" s="3"/>
      <c r="BU4"/>
    </row>
    <row r="5" spans="1:105" x14ac:dyDescent="0.25">
      <c r="B5" s="4" t="s">
        <v>319</v>
      </c>
      <c r="D5"/>
      <c r="J5"/>
      <c r="K5"/>
      <c r="L5"/>
      <c r="O5" s="3"/>
      <c r="BU5"/>
    </row>
    <row r="6" spans="1:105" x14ac:dyDescent="0.25">
      <c r="B6" s="4" t="s">
        <v>320</v>
      </c>
      <c r="D6"/>
      <c r="E6" s="6"/>
      <c r="J6"/>
      <c r="K6"/>
      <c r="L6"/>
      <c r="O6" s="3"/>
      <c r="BU6"/>
    </row>
    <row r="7" spans="1:105" x14ac:dyDescent="0.25">
      <c r="B7" s="4"/>
      <c r="D7"/>
      <c r="J7"/>
      <c r="K7"/>
      <c r="L7"/>
      <c r="O7" s="3"/>
      <c r="BU7"/>
    </row>
    <row r="8" spans="1:105" x14ac:dyDescent="0.25">
      <c r="B8" s="4"/>
      <c r="D8"/>
      <c r="J8"/>
      <c r="K8"/>
      <c r="L8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</row>
    <row r="9" spans="1:105" x14ac:dyDescent="0.25">
      <c r="B9" s="4"/>
      <c r="D9"/>
      <c r="J9"/>
      <c r="K9"/>
      <c r="L9"/>
      <c r="O9" s="3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</row>
    <row r="10" spans="1:105" x14ac:dyDescent="0.25">
      <c r="B10" s="4"/>
      <c r="D10"/>
      <c r="H10" s="6"/>
      <c r="J10"/>
      <c r="K10"/>
      <c r="L10"/>
      <c r="O10" s="3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</row>
    <row r="11" spans="1:105" x14ac:dyDescent="0.25">
      <c r="F11" s="6"/>
      <c r="I11" s="6"/>
      <c r="J11"/>
      <c r="K11"/>
      <c r="L11"/>
      <c r="AI11" s="11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</row>
    <row r="12" spans="1:105" ht="30.75" customHeight="1" x14ac:dyDescent="0.25">
      <c r="B12" s="28" t="s">
        <v>16</v>
      </c>
      <c r="C12" s="5" t="s">
        <v>15</v>
      </c>
      <c r="J12"/>
      <c r="K12"/>
      <c r="L12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</row>
    <row r="13" spans="1:105" x14ac:dyDescent="0.25">
      <c r="H13" t="s">
        <v>310</v>
      </c>
      <c r="I13" t="s">
        <v>311</v>
      </c>
      <c r="J13" t="s">
        <v>312</v>
      </c>
      <c r="K13"/>
      <c r="L13"/>
      <c r="AD13" s="29"/>
      <c r="AE13" s="29" t="s">
        <v>313</v>
      </c>
      <c r="AF13" s="29"/>
      <c r="AG13" s="29" t="s">
        <v>314</v>
      </c>
      <c r="AI13" s="3" t="s">
        <v>315</v>
      </c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1"/>
      <c r="BW13" s="21"/>
      <c r="BX13" s="21"/>
      <c r="BY13" s="21"/>
      <c r="BZ13" s="21"/>
      <c r="CA13" s="21"/>
      <c r="CB13" s="21"/>
      <c r="CC13" s="21"/>
      <c r="CD13" s="20"/>
      <c r="CE13" s="20"/>
      <c r="CF13" s="20"/>
      <c r="CG13" s="20"/>
      <c r="CH13" s="20"/>
      <c r="CI13" s="20"/>
      <c r="CJ13" s="20"/>
      <c r="CK13" s="20"/>
      <c r="CL13" s="21"/>
    </row>
    <row r="14" spans="1:105" s="11" customFormat="1" ht="45" x14ac:dyDescent="0.25">
      <c r="A14" s="16"/>
      <c r="B14" s="14" t="s">
        <v>272</v>
      </c>
      <c r="C14" s="14" t="s">
        <v>273</v>
      </c>
      <c r="D14" s="14" t="s">
        <v>304</v>
      </c>
      <c r="E14" s="14" t="s">
        <v>274</v>
      </c>
      <c r="F14" s="14" t="s">
        <v>275</v>
      </c>
      <c r="G14" s="14" t="s">
        <v>14</v>
      </c>
      <c r="H14" s="14" t="s">
        <v>305</v>
      </c>
      <c r="I14" s="14" t="s">
        <v>276</v>
      </c>
      <c r="J14" s="14" t="s">
        <v>277</v>
      </c>
      <c r="K14" s="14" t="s">
        <v>264</v>
      </c>
      <c r="L14" s="14" t="s">
        <v>278</v>
      </c>
      <c r="M14" s="14" t="s">
        <v>279</v>
      </c>
      <c r="N14" s="14" t="s">
        <v>268</v>
      </c>
      <c r="O14" s="14" t="s">
        <v>269</v>
      </c>
      <c r="P14" s="14" t="s">
        <v>270</v>
      </c>
      <c r="Q14" s="14" t="s">
        <v>280</v>
      </c>
      <c r="R14" s="14" t="s">
        <v>271</v>
      </c>
      <c r="S14" s="14" t="s">
        <v>290</v>
      </c>
      <c r="T14" s="14" t="s">
        <v>291</v>
      </c>
      <c r="U14" s="14" t="s">
        <v>292</v>
      </c>
      <c r="V14" s="14" t="s">
        <v>293</v>
      </c>
      <c r="W14" s="14" t="s">
        <v>294</v>
      </c>
      <c r="X14" s="14" t="s">
        <v>295</v>
      </c>
      <c r="Y14" s="14" t="s">
        <v>296</v>
      </c>
      <c r="Z14" s="14" t="s">
        <v>297</v>
      </c>
      <c r="AA14" s="14" t="s">
        <v>298</v>
      </c>
      <c r="AB14" s="14" t="s">
        <v>299</v>
      </c>
      <c r="AC14" s="14" t="s">
        <v>300</v>
      </c>
      <c r="AD14" s="14" t="s">
        <v>306</v>
      </c>
      <c r="AE14" s="14" t="s">
        <v>307</v>
      </c>
      <c r="AF14" s="14" t="s">
        <v>308</v>
      </c>
      <c r="AG14" s="14" t="s">
        <v>309</v>
      </c>
      <c r="AH14" s="14" t="s">
        <v>301</v>
      </c>
      <c r="AI14" s="14" t="s">
        <v>302</v>
      </c>
    </row>
    <row r="15" spans="1:105" s="11" customFormat="1" x14ac:dyDescent="0.25">
      <c r="A15" s="16"/>
      <c r="B15" s="12">
        <f>VLOOKUP("X",сварщики,4,FALSE)</f>
        <v>0</v>
      </c>
      <c r="C15" s="12">
        <f>VLOOKUP("X",сварщики,2,FALSE)</f>
        <v>0</v>
      </c>
      <c r="D15" s="12" t="e">
        <f t="array" aca="1" ref="D15" ca="1">MID(VLOOKUP("X",сварщики,5,FALSE),
  MATCH(TRUE,ISNUMBER(MID(VLOOKUP("X",сварщики,5,FALSE),ROW(INDIRECT("1:"&amp;LEN(VLOOKUP("X",сварщики,5,FALSE)))),1)*1),0),
  SUM(ISNUMBER(MID(VLOOKUP("X",сварщики,5,FALSE),ROW(INDIRECT("1:"&amp;LEN(VLOOKUP("X",сварщики,5,FALSE)))),1)*1)*1))</f>
        <v>#N/A</v>
      </c>
      <c r="E15" s="12">
        <f>VLOOKUP("X",сварщики,13,FALSE)</f>
        <v>0</v>
      </c>
      <c r="F15" s="12">
        <f>VLOOKUP("X",сварщики,6,FALSE)</f>
        <v>0</v>
      </c>
      <c r="G15" s="12">
        <f>VLOOKUP("X",сварщики,3,FALSE)</f>
        <v>0</v>
      </c>
      <c r="H15" s="13">
        <f t="array" ref="H15">MIN(IF(номер_удо=F15,дата_атт))</f>
        <v>0</v>
      </c>
      <c r="I15" s="13">
        <f t="array" ref="I15">MAX(IF(номер_удо=F15,срок_действия_продление_удо))</f>
        <v>0</v>
      </c>
      <c r="J15" s="22" t="str">
        <f>SUBSTITUTE(SUBSTITUTE(SUBSTITUTE(SUBSTITUTE(SUBSTITUTE(SUBSTITUTE(SUBSTITUTE(VLOOKUP("X",сварщики,23,FALSE),
  "Котельное оборудование","КО"),
  "Оборудование химических, нефтехимических, нефтеперерабатывающих и взрывопожароопасных производств","ОХНВП"),
  "Строительные конструкции","СК"),
  "Газовое оборудование","ГО"),
  "Нефтегазодобывающее оборудование","НГДО"),
  "Металлургическое оборудование","МО"),
  "Подъемно-транспортное оборудование","ПТО")</f>
        <v/>
      </c>
      <c r="K15" s="12" t="str">
        <f>TRIM(CONCATENATE(
VLOOKUP("X",сварщики,27,FALSE),
IF(VLOOKUP("X",сварщики,28,FALSE)&lt;&gt;"",";" &amp; CHAR(10) &amp; VLOOKUP("X",сварщики,28,FALSE),""),
IF(VLOOKUP("X",сварщики,29,FALSE)&lt;&gt;"",";" &amp; CHAR(10) &amp; VLOOKUP("X",сварщики,29,FALSE),""),
IF(VLOOKUP("X",сварщики,30,FALSE)&lt;&gt;"",";" &amp; CHAR(10) &amp; VLOOKUP("X",сварщики,30,FALSE),""),
))</f>
        <v/>
      </c>
      <c r="L15" s="12" t="str">
        <f>TRIM(CONCATENATE(
VLOOKUP("X",сварщики,32,FALSE),
IF(VLOOKUP("X",сварщики,33,FALSE)&lt;&gt;"",";" &amp; CHAR(10) &amp; VLOOKUP("X",сварщики,33,FALSE),""),
IF(VLOOKUP("X",сварщики,34,FALSE)&lt;&gt;"",";" &amp; CHAR(10) &amp; VLOOKUP("X",сварщики,34,FALSE),""),
IF(VLOOKUP("X",сварщики,35,FALSE)&lt;&gt;"",";" &amp; CHAR(10) &amp; VLOOKUP("X",сварщики,35,FALSE),""),
))</f>
        <v/>
      </c>
      <c r="M15" s="12" t="str">
        <f>TRIM(CONCATENATE(
VLOOKUP("X",сварщики,37,FALSE),
IF(VLOOKUP("X",сварщики,38,FALSE)&lt;&gt;"",";" &amp; CHAR(10) &amp; VLOOKUP("X",сварщики,38,FALSE),""),
IF(VLOOKUP("X",сварщики,39,FALSE)&lt;&gt;"",";" &amp; CHAR(10) &amp; VLOOKUP("X",сварщики,39,FALSE),""),
IF(VLOOKUP("X",сварщики,40,FALSE)&lt;&gt;"",";" &amp; CHAR(10) &amp; VLOOKUP("X",сварщики,40,FALSE),""),
))</f>
        <v/>
      </c>
      <c r="N15" s="12" t="str">
        <f>TRIM(CONCATENATE(
VLOOKUP("X",сварщики,47,FALSE),
IF(VLOOKUP("X",сварщики,48,FALSE)&lt;&gt;"",";" &amp; CHAR(10) &amp; VLOOKUP("X",сварщики,48,FALSE),""),
IF(VLOOKUP("X",сварщики,49,FALSE)&lt;&gt;"",";" &amp; CHAR(10) &amp; VLOOKUP("X",сварщики,49,FALSE),""),
IF(VLOOKUP("X",сварщики,50,FALSE)&lt;&gt;"",";" &amp; CHAR(10) &amp; VLOOKUP("X",сварщики,50,FALSE),""),
))</f>
        <v/>
      </c>
      <c r="O15" s="12" t="str">
        <f>TRIM(CONCATENATE(
VLOOKUP("X",сварщики,52,FALSE),
IF(VLOOKUP("X",сварщики,53,FALSE)&lt;&gt;"",";" &amp; CHAR(10) &amp; VLOOKUP("X",сварщики,53,FALSE),""),
IF(VLOOKUP("X",сварщики,54,FALSE)&lt;&gt;"",";" &amp; CHAR(10) &amp; VLOOKUP("X",сварщики,54,FALSE),""),
IF(VLOOKUP("X",сварщики,55,FALSE)&lt;&gt;"",";" &amp; CHAR(10) &amp; VLOOKUP("X",сварщики,55,FALSE),""),
))</f>
        <v/>
      </c>
      <c r="P15" s="12" t="str">
        <f>TRIM(CONCATENATE(
VLOOKUP("X",сварщики,57,FALSE),
IF(VLOOKUP("X",сварщики,58,FALSE)&lt;&gt;"",";" &amp; CHAR(10) &amp; VLOOKUP("X",сварщики,58,FALSE),""),
IF(VLOOKUP("X",сварщики,59,FALSE)&lt;&gt;"",";" &amp; CHAR(10) &amp; VLOOKUP("X",сварщики,59,FALSE),""),
IF(VLOOKUP("X",сварщики,60,FALSE)&lt;&gt;"",";" &amp; CHAR(10) &amp; VLOOKUP("X",сварщики,60,FALSE),""),
))</f>
        <v/>
      </c>
      <c r="Q15" s="12" t="str">
        <f>TRIM(CONCATENATE(
VLOOKUP("X",сварщики,42,FALSE),
IF(VLOOKUP("X",сварщики,43,FALSE)&lt;&gt;"",";" &amp; CHAR(10) &amp; VLOOKUP("X",сварщики,43,FALSE),""),
IF(VLOOKUP("X",сварщики,44,FALSE)&lt;&gt;"",";" &amp; CHAR(10) &amp; VLOOKUP("X",сварщики,44,FALSE),""),
IF(VLOOKUP("X",сварщики,45,FALSE)&lt;&gt;"",";" &amp; CHAR(10) &amp; VLOOKUP("X",сварщики,45,FALSE),""),
))</f>
        <v/>
      </c>
      <c r="R15" s="12" t="str">
        <f>TRIM(CONCATENATE(
VLOOKUP("X",сварщики,62,FALSE),
IF(VLOOKUP("X",сварщики,63,FALSE)&lt;&gt;"",";" &amp; CHAR(10) &amp; VLOOKUP("X",сварщики,63,FALSE),""),
IF(VLOOKUP("X",сварщики,64,FALSE)&lt;&gt;"",";" &amp; CHAR(10) &amp; VLOOKUP("X",сварщики,64,FALSE),""),
IF(VLOOKUP("X",сварщики,65,FALSE)&lt;&gt;"",";" &amp; CHAR(10) &amp; VLOOKUP("X",сварщики,65,FALSE),""),
))</f>
        <v/>
      </c>
      <c r="S15" s="12"/>
      <c r="T15" s="13"/>
      <c r="U15" s="12"/>
      <c r="V15" s="13"/>
      <c r="W15" s="12"/>
      <c r="X15" s="13"/>
      <c r="Y15" s="12"/>
      <c r="Z15" s="13"/>
      <c r="AA15" s="12"/>
      <c r="AB15" s="12"/>
      <c r="AC15" s="12"/>
      <c r="AD15" s="12" t="str">
        <f t="array" ref="AD15">IFERROR(INDEX(номер_удо,MATCH(F15&amp;"В1",номер_удо&amp;доп_ат,0)),"")</f>
        <v/>
      </c>
      <c r="AE15" s="13" t="str">
        <f t="array" ref="AE15">IFERROR(INDEX(дата_атт,MATCH(F15&amp;"В1",номер_удо&amp;доп_ат,0)),"")</f>
        <v/>
      </c>
      <c r="AF15" s="12" t="str">
        <f t="array" ref="AF15">IFERROR(INDEX(номер_удо,MATCH(F15&amp;"В2",номер_удо&amp;доп_ат,0)),"")</f>
        <v/>
      </c>
      <c r="AG15" s="13" t="str">
        <f t="array" ref="AG15">IFERROR(INDEX(дата_атт,MATCH(F15&amp;"В2",номер_удо&amp;доп_ат,0)),"")</f>
        <v/>
      </c>
      <c r="AH15" s="12" t="s">
        <v>303</v>
      </c>
      <c r="AI15" s="12" t="str">
        <f>IF(VLOOKUP("X",сварщики,9,FALSE)&lt;&gt;"",VLOOKUP("X",сварщики,9,FALSE),"")</f>
        <v/>
      </c>
    </row>
    <row r="16" spans="1:105" s="1" customFormat="1" x14ac:dyDescent="0.25">
      <c r="A16" s="15"/>
      <c r="B16" s="1" t="s">
        <v>281</v>
      </c>
      <c r="C16" s="1">
        <v>2</v>
      </c>
      <c r="D16" s="1">
        <v>3</v>
      </c>
      <c r="E16" s="1">
        <v>4</v>
      </c>
      <c r="F16" s="1">
        <v>5</v>
      </c>
      <c r="G16" s="1">
        <v>6</v>
      </c>
      <c r="H16" s="1">
        <v>7</v>
      </c>
      <c r="I16" s="1">
        <v>8</v>
      </c>
      <c r="J16" s="1">
        <v>9</v>
      </c>
      <c r="K16" s="1">
        <v>10</v>
      </c>
      <c r="L16" s="1">
        <v>11</v>
      </c>
      <c r="M16" s="1">
        <v>12</v>
      </c>
      <c r="N16" s="1">
        <v>13</v>
      </c>
      <c r="O16" s="1">
        <v>14</v>
      </c>
      <c r="P16" s="1" t="s">
        <v>13</v>
      </c>
      <c r="Q16" s="1">
        <v>16</v>
      </c>
      <c r="R16" s="1">
        <v>17</v>
      </c>
      <c r="S16" s="1">
        <v>18</v>
      </c>
      <c r="T16" s="1">
        <v>19</v>
      </c>
      <c r="U16" s="1">
        <v>20</v>
      </c>
      <c r="V16" s="1">
        <v>21</v>
      </c>
      <c r="W16" s="1">
        <v>22</v>
      </c>
      <c r="X16" s="1">
        <v>23</v>
      </c>
      <c r="Y16" s="1">
        <v>24</v>
      </c>
      <c r="Z16" s="1">
        <v>25</v>
      </c>
      <c r="AA16" s="1">
        <v>26</v>
      </c>
      <c r="AB16" s="1">
        <v>27</v>
      </c>
      <c r="AC16" s="1">
        <v>28</v>
      </c>
      <c r="AD16" s="1">
        <v>29</v>
      </c>
      <c r="AE16" s="1">
        <v>30</v>
      </c>
      <c r="AF16" s="1">
        <v>31</v>
      </c>
      <c r="AG16" s="1">
        <v>32</v>
      </c>
      <c r="AH16" s="1">
        <v>33</v>
      </c>
      <c r="AI16" s="1">
        <v>34</v>
      </c>
      <c r="AJ16" s="1">
        <v>35</v>
      </c>
      <c r="AK16" s="1">
        <v>36</v>
      </c>
      <c r="AL16" s="1">
        <v>37</v>
      </c>
      <c r="AM16" s="1">
        <v>38</v>
      </c>
      <c r="AN16" s="1">
        <v>39</v>
      </c>
      <c r="AO16" s="1">
        <v>40</v>
      </c>
      <c r="AP16" s="1">
        <v>41</v>
      </c>
      <c r="AQ16" s="1">
        <v>42</v>
      </c>
      <c r="AR16" s="1">
        <v>43</v>
      </c>
      <c r="AS16" s="1">
        <v>44</v>
      </c>
      <c r="AT16" s="1">
        <v>45</v>
      </c>
      <c r="AU16" s="1">
        <v>46</v>
      </c>
      <c r="AV16" s="1">
        <v>47</v>
      </c>
      <c r="AW16" s="1">
        <v>48</v>
      </c>
      <c r="AX16" s="1">
        <v>49</v>
      </c>
      <c r="AY16" s="1">
        <v>50</v>
      </c>
      <c r="AZ16" s="1">
        <v>51</v>
      </c>
      <c r="BA16" s="1">
        <v>52</v>
      </c>
      <c r="BB16" s="1">
        <v>53</v>
      </c>
      <c r="BC16" s="1">
        <v>54</v>
      </c>
      <c r="BD16" s="1">
        <v>55</v>
      </c>
      <c r="BE16" s="1">
        <v>56</v>
      </c>
      <c r="BF16" s="1">
        <v>57</v>
      </c>
      <c r="BG16" s="1">
        <v>58</v>
      </c>
      <c r="BH16" s="1">
        <v>59</v>
      </c>
      <c r="BI16" s="1">
        <v>60</v>
      </c>
      <c r="BJ16" s="1">
        <v>61</v>
      </c>
      <c r="BK16" s="1">
        <v>62</v>
      </c>
      <c r="BL16" s="1">
        <v>63</v>
      </c>
      <c r="BM16" s="1">
        <v>64</v>
      </c>
      <c r="BN16" s="1">
        <v>65</v>
      </c>
      <c r="BO16" s="1">
        <v>66</v>
      </c>
      <c r="BP16" s="1">
        <v>67</v>
      </c>
      <c r="BQ16" s="1">
        <v>68</v>
      </c>
      <c r="BR16" s="1">
        <v>69</v>
      </c>
      <c r="BS16" s="1">
        <v>70</v>
      </c>
      <c r="BT16" s="1">
        <v>71</v>
      </c>
      <c r="BU16" s="1">
        <v>72</v>
      </c>
      <c r="BV16" s="1">
        <v>73</v>
      </c>
      <c r="BW16" s="1">
        <v>74</v>
      </c>
      <c r="BX16" s="1">
        <v>75</v>
      </c>
      <c r="BY16" s="1">
        <v>76</v>
      </c>
      <c r="BZ16" s="1">
        <v>77</v>
      </c>
      <c r="CA16" s="1">
        <v>78</v>
      </c>
      <c r="CB16" s="1">
        <v>79</v>
      </c>
      <c r="CC16" s="1">
        <v>80</v>
      </c>
      <c r="CD16" s="1">
        <v>81</v>
      </c>
      <c r="CE16" s="1">
        <v>82</v>
      </c>
      <c r="CF16" s="1">
        <v>83</v>
      </c>
      <c r="CG16" s="1">
        <v>84</v>
      </c>
      <c r="CH16" s="1">
        <v>85</v>
      </c>
      <c r="CI16" s="1">
        <v>86</v>
      </c>
      <c r="CJ16" s="1">
        <v>87</v>
      </c>
      <c r="CK16" s="1">
        <v>88</v>
      </c>
      <c r="CL16" s="1">
        <v>89</v>
      </c>
      <c r="CM16" s="1">
        <v>90</v>
      </c>
      <c r="CN16" s="1">
        <v>91</v>
      </c>
      <c r="CO16" s="1">
        <v>92</v>
      </c>
      <c r="CP16" s="1">
        <v>93</v>
      </c>
      <c r="CQ16" s="1">
        <v>94</v>
      </c>
      <c r="CR16" s="1">
        <v>95</v>
      </c>
      <c r="CS16" s="1">
        <v>96</v>
      </c>
      <c r="CT16" s="1">
        <v>97</v>
      </c>
      <c r="CU16" s="1">
        <v>98</v>
      </c>
      <c r="CV16" s="1">
        <v>99</v>
      </c>
      <c r="CW16" s="1">
        <v>100</v>
      </c>
      <c r="CX16" s="1">
        <v>101</v>
      </c>
      <c r="CY16" s="1">
        <v>102</v>
      </c>
      <c r="CZ16" s="1">
        <v>103</v>
      </c>
      <c r="DA16" s="1">
        <v>104</v>
      </c>
    </row>
    <row r="17" spans="1:105" s="18" customFormat="1" ht="53.25" customHeight="1" x14ac:dyDescent="0.25">
      <c r="A17" s="16"/>
      <c r="B17" s="14" t="s">
        <v>0</v>
      </c>
      <c r="C17" s="17" t="s">
        <v>1</v>
      </c>
      <c r="D17" s="17" t="s">
        <v>2</v>
      </c>
      <c r="E17" s="17" t="s">
        <v>3</v>
      </c>
      <c r="F17" s="17" t="s">
        <v>11</v>
      </c>
      <c r="G17" s="17" t="s">
        <v>4</v>
      </c>
      <c r="H17" s="17" t="s">
        <v>5</v>
      </c>
      <c r="I17" s="17" t="s">
        <v>6</v>
      </c>
      <c r="J17" s="17" t="s">
        <v>7</v>
      </c>
      <c r="K17" s="17" t="s">
        <v>8</v>
      </c>
      <c r="L17" s="17" t="s">
        <v>9</v>
      </c>
      <c r="M17" s="17" t="s">
        <v>10</v>
      </c>
      <c r="N17" s="17" t="s">
        <v>12</v>
      </c>
      <c r="O17" s="18" t="s">
        <v>327</v>
      </c>
      <c r="P17" s="14" t="s">
        <v>259</v>
      </c>
      <c r="Q17" s="17"/>
      <c r="R17" s="14" t="s">
        <v>260</v>
      </c>
      <c r="S17" s="17"/>
      <c r="T17" s="14" t="s">
        <v>261</v>
      </c>
      <c r="U17" s="17"/>
      <c r="V17" s="14" t="s">
        <v>262</v>
      </c>
      <c r="W17" s="17"/>
      <c r="X17" s="14" t="s">
        <v>263</v>
      </c>
      <c r="Y17" s="17"/>
      <c r="Z17" s="19" t="s">
        <v>264</v>
      </c>
      <c r="AA17" s="17"/>
      <c r="AB17" s="14"/>
      <c r="AC17" s="17"/>
      <c r="AD17" s="14"/>
      <c r="AE17" s="19" t="s">
        <v>265</v>
      </c>
      <c r="AF17" s="14"/>
      <c r="AG17" s="17"/>
      <c r="AH17" s="14"/>
      <c r="AI17" s="17"/>
      <c r="AJ17" s="19" t="s">
        <v>266</v>
      </c>
      <c r="AK17" s="17"/>
      <c r="AL17" s="14"/>
      <c r="AM17" s="17"/>
      <c r="AN17" s="14"/>
      <c r="AO17" s="19" t="s">
        <v>267</v>
      </c>
      <c r="AP17" s="17"/>
      <c r="AQ17" s="17"/>
      <c r="AR17" s="17"/>
      <c r="AS17" s="17"/>
      <c r="AT17" s="19" t="s">
        <v>268</v>
      </c>
      <c r="AU17" s="17"/>
      <c r="AV17" s="17"/>
      <c r="AW17" s="17"/>
      <c r="AX17" s="17"/>
      <c r="AY17" s="19" t="s">
        <v>269</v>
      </c>
      <c r="AZ17" s="17"/>
      <c r="BA17" s="17"/>
      <c r="BB17" s="17"/>
      <c r="BC17" s="17"/>
      <c r="BD17" s="19" t="s">
        <v>270</v>
      </c>
      <c r="BE17" s="17"/>
      <c r="BF17" s="17"/>
      <c r="BG17" s="17"/>
      <c r="BH17" s="17"/>
      <c r="BI17" s="19" t="s">
        <v>271</v>
      </c>
      <c r="BJ17" s="17"/>
      <c r="BK17" s="17"/>
      <c r="BL17" s="17"/>
      <c r="BM17" s="17"/>
      <c r="BN17" s="19" t="s">
        <v>282</v>
      </c>
      <c r="BO17" s="17"/>
      <c r="BP17" s="17"/>
      <c r="BQ17" s="17"/>
      <c r="BR17" s="17"/>
      <c r="BS17" s="19" t="s">
        <v>283</v>
      </c>
      <c r="BT17" s="17"/>
      <c r="BU17" s="17"/>
      <c r="BV17" s="17"/>
      <c r="BW17" s="17"/>
      <c r="BX17" s="19" t="s">
        <v>284</v>
      </c>
      <c r="BY17" s="17"/>
      <c r="BZ17" s="17"/>
      <c r="CA17" s="17"/>
      <c r="CB17" s="17"/>
      <c r="CC17" s="19" t="s">
        <v>285</v>
      </c>
      <c r="CD17" s="17"/>
      <c r="CE17" s="17"/>
      <c r="CF17" s="17"/>
      <c r="CG17" s="17"/>
      <c r="CH17" s="19" t="s">
        <v>286</v>
      </c>
      <c r="CI17" s="17"/>
      <c r="CJ17" s="17"/>
      <c r="CK17" s="17"/>
      <c r="CL17" s="17"/>
      <c r="CM17" s="19" t="s">
        <v>287</v>
      </c>
      <c r="CN17" s="17"/>
      <c r="CO17" s="17"/>
      <c r="CP17" s="17"/>
      <c r="CQ17" s="17"/>
      <c r="CR17" s="19" t="s">
        <v>288</v>
      </c>
      <c r="CS17" s="17"/>
      <c r="CT17" s="17"/>
      <c r="CU17" s="17"/>
      <c r="CV17" s="17"/>
      <c r="CW17" s="19" t="s">
        <v>289</v>
      </c>
      <c r="CX17" s="17"/>
      <c r="CY17" s="17"/>
      <c r="CZ17" s="17"/>
      <c r="DA17" s="17"/>
    </row>
    <row r="18" spans="1:105" s="30" customFormat="1" x14ac:dyDescent="0.25">
      <c r="A18" s="15" t="s">
        <v>40</v>
      </c>
      <c r="B18" s="3"/>
      <c r="C18" s="3"/>
      <c r="D18" s="3"/>
      <c r="E18" s="3"/>
      <c r="F18" s="3"/>
      <c r="G18" s="3"/>
      <c r="H18" s="3"/>
      <c r="I18" s="3"/>
      <c r="J18" s="23"/>
      <c r="K18" s="23"/>
      <c r="L18" s="23"/>
      <c r="M18" s="3"/>
      <c r="N18" s="31"/>
      <c r="O18" s="3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</row>
    <row r="19" spans="1:105" s="20" customFormat="1" x14ac:dyDescent="0.25">
      <c r="A19" s="15"/>
      <c r="B19" s="3"/>
      <c r="C19" s="3"/>
      <c r="D19" s="3"/>
      <c r="E19" s="3"/>
      <c r="F19" s="3"/>
      <c r="G19" s="3"/>
      <c r="H19" s="3"/>
      <c r="I19" s="3"/>
      <c r="J19" s="23"/>
      <c r="K19" s="23"/>
      <c r="L19" s="23"/>
      <c r="M19" s="3"/>
      <c r="N19" s="31"/>
      <c r="O19" s="3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</row>
    <row r="20" spans="1:105" s="20" customFormat="1" x14ac:dyDescent="0.25">
      <c r="A20" s="15"/>
      <c r="B20" s="3"/>
      <c r="C20" s="3"/>
      <c r="D20" s="3"/>
      <c r="E20" s="3"/>
      <c r="F20" s="3"/>
      <c r="G20" s="3"/>
      <c r="H20" s="3"/>
      <c r="I20" s="3"/>
      <c r="J20" s="23"/>
      <c r="K20" s="23"/>
      <c r="L20" s="23"/>
      <c r="M20" s="3"/>
      <c r="N20" s="31"/>
      <c r="O20" s="3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</row>
    <row r="21" spans="1:105" s="20" customFormat="1" x14ac:dyDescent="0.25">
      <c r="A21" s="15"/>
      <c r="B21" s="3"/>
      <c r="C21" s="3"/>
      <c r="D21" s="3"/>
      <c r="E21" s="3"/>
      <c r="F21" s="3"/>
      <c r="G21" s="3"/>
      <c r="H21" s="3"/>
      <c r="I21" s="3"/>
      <c r="J21" s="23"/>
      <c r="K21" s="23"/>
      <c r="L21" s="3"/>
      <c r="M21" s="3"/>
      <c r="N21" s="31"/>
      <c r="O21" s="3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</row>
    <row r="22" spans="1:105" s="20" customFormat="1" x14ac:dyDescent="0.25">
      <c r="A22" s="15"/>
      <c r="B22" s="3"/>
      <c r="C22" s="3"/>
      <c r="D22" s="3"/>
      <c r="E22" s="3"/>
      <c r="F22" s="3"/>
      <c r="G22" s="3"/>
      <c r="H22" s="3"/>
      <c r="I22" s="3"/>
      <c r="J22" s="23"/>
      <c r="K22" s="23"/>
      <c r="L22" s="23"/>
      <c r="M22" s="3"/>
      <c r="N22" s="31"/>
      <c r="O22" s="3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</row>
    <row r="23" spans="1:105" s="3" customFormat="1" x14ac:dyDescent="0.25">
      <c r="A23" s="15"/>
      <c r="J23" s="23"/>
      <c r="K23" s="23"/>
      <c r="N23" s="31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</row>
    <row r="24" spans="1:105" s="3" customFormat="1" x14ac:dyDescent="0.25">
      <c r="A24" s="15"/>
      <c r="J24" s="23"/>
      <c r="K24" s="23"/>
      <c r="L24" s="23"/>
      <c r="N24" s="31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</row>
    <row r="25" spans="1:105" s="3" customFormat="1" x14ac:dyDescent="0.25">
      <c r="A25" s="15"/>
      <c r="J25" s="23"/>
      <c r="K25" s="23"/>
      <c r="L25" s="23"/>
      <c r="N25" s="31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</row>
    <row r="26" spans="1:105" s="3" customFormat="1" x14ac:dyDescent="0.25">
      <c r="A26" s="15"/>
      <c r="J26" s="23"/>
      <c r="K26" s="23"/>
      <c r="L26" s="23"/>
      <c r="N26" s="31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</row>
    <row r="27" spans="1:105" s="3" customFormat="1" x14ac:dyDescent="0.25">
      <c r="A27" s="15"/>
      <c r="J27" s="23"/>
      <c r="K27" s="23"/>
      <c r="L27" s="23"/>
      <c r="N27" s="31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</row>
    <row r="28" spans="1:105" s="3" customFormat="1" x14ac:dyDescent="0.25">
      <c r="A28" s="15"/>
      <c r="J28" s="23"/>
      <c r="K28" s="23"/>
      <c r="N28" s="31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</row>
    <row r="29" spans="1:105" s="3" customFormat="1" x14ac:dyDescent="0.25">
      <c r="A29" s="15"/>
      <c r="J29" s="23"/>
      <c r="K29" s="23"/>
      <c r="L29" s="23"/>
      <c r="N29" s="31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</row>
    <row r="30" spans="1:105" s="3" customFormat="1" x14ac:dyDescent="0.25">
      <c r="A30" s="15"/>
      <c r="J30" s="23"/>
      <c r="K30" s="23"/>
      <c r="N30" s="31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</row>
    <row r="31" spans="1:105" s="3" customFormat="1" x14ac:dyDescent="0.25">
      <c r="A31" s="15"/>
      <c r="J31" s="23"/>
      <c r="K31" s="23"/>
      <c r="N31" s="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</row>
    <row r="32" spans="1:105" s="3" customFormat="1" x14ac:dyDescent="0.25">
      <c r="A32" s="15"/>
      <c r="J32" s="23"/>
      <c r="K32" s="23"/>
      <c r="N32" s="31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</row>
    <row r="33" spans="1:105" s="3" customFormat="1" x14ac:dyDescent="0.25">
      <c r="A33" s="15"/>
      <c r="J33" s="23"/>
      <c r="K33" s="23"/>
      <c r="L33" s="23"/>
      <c r="N33" s="31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</row>
    <row r="34" spans="1:105" s="3" customFormat="1" x14ac:dyDescent="0.25">
      <c r="A34" s="15"/>
      <c r="J34" s="23"/>
      <c r="K34" s="23"/>
      <c r="L34" s="23"/>
      <c r="N34" s="31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</row>
    <row r="35" spans="1:105" s="3" customFormat="1" x14ac:dyDescent="0.25">
      <c r="A35" s="15"/>
      <c r="J35" s="23"/>
      <c r="K35" s="23"/>
      <c r="L35" s="23"/>
      <c r="N35" s="31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</row>
    <row r="36" spans="1:105" s="3" customFormat="1" x14ac:dyDescent="0.25">
      <c r="A36" s="15"/>
      <c r="J36" s="23"/>
      <c r="K36" s="23"/>
      <c r="L36" s="23"/>
      <c r="N36" s="31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</row>
    <row r="37" spans="1:105" s="3" customFormat="1" x14ac:dyDescent="0.25">
      <c r="A37" s="15"/>
      <c r="J37" s="23"/>
      <c r="K37" s="23"/>
      <c r="L37" s="23"/>
      <c r="N37" s="31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</row>
    <row r="38" spans="1:105" s="3" customFormat="1" x14ac:dyDescent="0.25">
      <c r="A38" s="15"/>
      <c r="J38" s="23"/>
      <c r="K38" s="23"/>
      <c r="L38" s="23"/>
      <c r="N38" s="31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</row>
    <row r="39" spans="1:105" s="3" customFormat="1" x14ac:dyDescent="0.25">
      <c r="A39" s="15"/>
      <c r="J39" s="23"/>
      <c r="K39" s="23"/>
      <c r="N39" s="31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</row>
    <row r="40" spans="1:105" s="3" customFormat="1" x14ac:dyDescent="0.25">
      <c r="A40" s="15"/>
      <c r="J40" s="23"/>
      <c r="K40" s="23"/>
      <c r="L40" s="23"/>
      <c r="N40" s="31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</row>
    <row r="41" spans="1:105" s="3" customFormat="1" x14ac:dyDescent="0.25">
      <c r="A41" s="15"/>
      <c r="J41" s="23"/>
      <c r="K41" s="23"/>
      <c r="L41" s="23"/>
      <c r="N41" s="3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</row>
    <row r="42" spans="1:105" s="3" customFormat="1" x14ac:dyDescent="0.25">
      <c r="A42" s="15"/>
      <c r="J42" s="23"/>
      <c r="K42" s="23"/>
      <c r="L42" s="23"/>
      <c r="N42" s="31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</row>
    <row r="43" spans="1:105" s="3" customFormat="1" x14ac:dyDescent="0.25">
      <c r="A43" s="15"/>
      <c r="J43" s="23"/>
      <c r="K43" s="23"/>
      <c r="L43" s="23"/>
      <c r="N43" s="31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</row>
    <row r="44" spans="1:105" s="3" customFormat="1" x14ac:dyDescent="0.25">
      <c r="A44" s="15"/>
      <c r="J44" s="23"/>
      <c r="K44" s="23"/>
      <c r="L44" s="23"/>
      <c r="N44" s="31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</row>
    <row r="45" spans="1:105" s="3" customFormat="1" x14ac:dyDescent="0.25">
      <c r="A45" s="15"/>
      <c r="J45" s="23"/>
      <c r="K45" s="23"/>
      <c r="L45" s="23"/>
      <c r="N45" s="31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</row>
    <row r="46" spans="1:105" s="3" customFormat="1" x14ac:dyDescent="0.25">
      <c r="A46" s="15"/>
      <c r="J46" s="23"/>
      <c r="K46" s="23"/>
      <c r="N46" s="31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</row>
    <row r="47" spans="1:105" s="3" customFormat="1" x14ac:dyDescent="0.25">
      <c r="A47" s="15"/>
      <c r="J47" s="23"/>
      <c r="K47" s="23"/>
      <c r="N47" s="31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</row>
    <row r="48" spans="1:105" s="3" customFormat="1" x14ac:dyDescent="0.25">
      <c r="A48" s="15"/>
      <c r="J48" s="23"/>
      <c r="K48" s="23"/>
      <c r="L48" s="23"/>
      <c r="N48" s="31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</row>
    <row r="49" spans="1:105" s="3" customFormat="1" x14ac:dyDescent="0.25">
      <c r="A49" s="15"/>
      <c r="J49" s="23"/>
      <c r="K49" s="23"/>
      <c r="L49" s="23"/>
      <c r="N49" s="31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</row>
    <row r="50" spans="1:105" s="20" customFormat="1" x14ac:dyDescent="0.25">
      <c r="A50" s="24"/>
      <c r="B50" s="3"/>
      <c r="C50" s="3"/>
      <c r="D50" s="3"/>
      <c r="E50" s="3"/>
      <c r="F50" s="3"/>
      <c r="G50" s="3"/>
      <c r="H50" s="3"/>
      <c r="I50" s="3"/>
      <c r="J50" s="23"/>
      <c r="K50" s="23"/>
      <c r="L50" s="3"/>
      <c r="M50" s="3"/>
      <c r="N50" s="31"/>
      <c r="O50" s="3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</row>
    <row r="51" spans="1:105" s="20" customFormat="1" x14ac:dyDescent="0.25">
      <c r="A51" s="24"/>
      <c r="B51" s="3"/>
      <c r="C51" s="3"/>
      <c r="D51" s="3"/>
      <c r="E51" s="3"/>
      <c r="F51" s="3"/>
      <c r="G51" s="3"/>
      <c r="H51" s="3"/>
      <c r="I51" s="3"/>
      <c r="J51" s="23"/>
      <c r="K51" s="23"/>
      <c r="L51" s="23"/>
      <c r="M51" s="3"/>
      <c r="N51" s="31"/>
      <c r="O51" s="3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</row>
    <row r="52" spans="1:105" s="20" customFormat="1" x14ac:dyDescent="0.25">
      <c r="A52" s="24"/>
      <c r="B52" s="3"/>
      <c r="C52" s="3"/>
      <c r="D52" s="3"/>
      <c r="E52" s="3"/>
      <c r="F52" s="3"/>
      <c r="G52" s="3"/>
      <c r="H52" s="3"/>
      <c r="I52" s="3"/>
      <c r="J52" s="23"/>
      <c r="K52" s="23"/>
      <c r="L52" s="23"/>
      <c r="M52" s="3"/>
      <c r="N52" s="32"/>
      <c r="O52" s="3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</row>
    <row r="53" spans="1:105" s="20" customFormat="1" x14ac:dyDescent="0.25">
      <c r="A53" s="24"/>
      <c r="B53" s="3"/>
      <c r="C53" s="3"/>
      <c r="D53" s="3"/>
      <c r="E53" s="3"/>
      <c r="F53" s="3"/>
      <c r="G53" s="3"/>
      <c r="H53" s="3"/>
      <c r="I53" s="3"/>
      <c r="J53" s="23"/>
      <c r="K53" s="23"/>
      <c r="L53" s="3"/>
      <c r="M53" s="3"/>
      <c r="N53" s="32"/>
      <c r="O53" s="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</row>
    <row r="54" spans="1:105" s="20" customFormat="1" x14ac:dyDescent="0.25">
      <c r="A54" s="24"/>
      <c r="B54" s="3"/>
      <c r="C54" s="3"/>
      <c r="D54" s="3"/>
      <c r="E54" s="3"/>
      <c r="F54" s="3"/>
      <c r="G54" s="3"/>
      <c r="H54" s="3"/>
      <c r="I54" s="3"/>
      <c r="J54" s="23"/>
      <c r="K54" s="23"/>
      <c r="L54" s="3"/>
      <c r="M54" s="3"/>
      <c r="N54" s="32"/>
      <c r="O54" s="3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</row>
    <row r="55" spans="1:105" s="20" customFormat="1" x14ac:dyDescent="0.25">
      <c r="A55" s="24"/>
      <c r="B55" s="3"/>
      <c r="C55" s="3"/>
      <c r="D55" s="3"/>
      <c r="E55" s="3"/>
      <c r="F55" s="3"/>
      <c r="G55" s="3"/>
      <c r="H55" s="3"/>
      <c r="I55" s="3"/>
      <c r="J55" s="23"/>
      <c r="K55" s="23"/>
      <c r="L55" s="3"/>
      <c r="M55" s="3"/>
      <c r="N55" s="3"/>
      <c r="O55" s="3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</row>
    <row r="56" spans="1:105" s="20" customFormat="1" x14ac:dyDescent="0.25">
      <c r="A56" s="24"/>
      <c r="B56" s="3"/>
      <c r="C56" s="3"/>
      <c r="D56" s="3"/>
      <c r="E56" s="3"/>
      <c r="F56" s="3"/>
      <c r="G56" s="3"/>
      <c r="H56" s="3"/>
      <c r="I56" s="3"/>
      <c r="J56" s="23"/>
      <c r="K56" s="23"/>
      <c r="L56" s="3"/>
      <c r="M56" s="3"/>
      <c r="N56" s="3"/>
      <c r="O56" s="3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</row>
    <row r="57" spans="1:105" s="20" customFormat="1" x14ac:dyDescent="0.25">
      <c r="A57" s="24"/>
      <c r="B57" s="3"/>
      <c r="C57" s="3"/>
      <c r="D57" s="3"/>
      <c r="E57" s="3"/>
      <c r="F57" s="3"/>
      <c r="G57" s="3"/>
      <c r="H57" s="3"/>
      <c r="I57" s="3"/>
      <c r="J57" s="23"/>
      <c r="K57" s="23"/>
      <c r="L57" s="3"/>
      <c r="M57" s="3"/>
      <c r="N57" s="3"/>
      <c r="O57" s="3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</row>
    <row r="58" spans="1:105" s="20" customFormat="1" x14ac:dyDescent="0.25">
      <c r="A58" s="24"/>
      <c r="B58" s="3"/>
      <c r="C58" s="3"/>
      <c r="D58" s="3"/>
      <c r="E58" s="3"/>
      <c r="F58" s="3"/>
      <c r="G58" s="3"/>
      <c r="H58" s="3"/>
      <c r="I58" s="3"/>
      <c r="J58" s="23"/>
      <c r="K58" s="23"/>
      <c r="L58" s="3"/>
      <c r="M58" s="3"/>
      <c r="N58" s="3"/>
      <c r="O58" s="3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</row>
    <row r="59" spans="1:105" s="20" customFormat="1" x14ac:dyDescent="0.25">
      <c r="A59" s="24"/>
      <c r="B59" s="3"/>
      <c r="C59" s="3"/>
      <c r="D59" s="3"/>
      <c r="E59" s="3"/>
      <c r="F59" s="3"/>
      <c r="G59" s="3"/>
      <c r="H59" s="3"/>
      <c r="I59" s="3"/>
      <c r="J59" s="23"/>
      <c r="K59" s="23"/>
      <c r="L59" s="3"/>
      <c r="M59" s="3"/>
      <c r="N59" s="3"/>
      <c r="O59" s="3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</row>
    <row r="60" spans="1:105" s="20" customFormat="1" x14ac:dyDescent="0.25">
      <c r="A60" s="24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</row>
    <row r="61" spans="1:105" s="20" customFormat="1" x14ac:dyDescent="0.25">
      <c r="A61" s="2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</row>
    <row r="62" spans="1:105" s="20" customFormat="1" x14ac:dyDescent="0.25">
      <c r="A62" s="24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</row>
    <row r="63" spans="1:105" s="20" customFormat="1" x14ac:dyDescent="0.25">
      <c r="A63" s="2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</row>
    <row r="64" spans="1:105" s="20" customFormat="1" x14ac:dyDescent="0.25">
      <c r="A64" s="2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</row>
    <row r="65" spans="1:105" s="20" customFormat="1" x14ac:dyDescent="0.25">
      <c r="A65" s="2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</row>
    <row r="66" spans="1:105" s="20" customFormat="1" x14ac:dyDescent="0.25">
      <c r="A66" s="2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</row>
    <row r="67" spans="1:105" s="20" customFormat="1" x14ac:dyDescent="0.25">
      <c r="A67" s="2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</row>
    <row r="68" spans="1:105" s="20" customFormat="1" x14ac:dyDescent="0.25">
      <c r="A68" s="2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</row>
    <row r="69" spans="1:105" s="20" customFormat="1" x14ac:dyDescent="0.25">
      <c r="A69" s="2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</row>
    <row r="70" spans="1:105" s="20" customFormat="1" x14ac:dyDescent="0.25">
      <c r="A70" s="2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</row>
    <row r="71" spans="1:105" s="20" customFormat="1" x14ac:dyDescent="0.25">
      <c r="A71" s="2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</row>
    <row r="72" spans="1:105" s="20" customFormat="1" x14ac:dyDescent="0.25">
      <c r="A72" s="2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</row>
    <row r="73" spans="1:105" s="20" customFormat="1" x14ac:dyDescent="0.25">
      <c r="A73" s="2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</row>
    <row r="74" spans="1:105" s="20" customFormat="1" x14ac:dyDescent="0.25">
      <c r="A74" s="2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</row>
    <row r="75" spans="1:105" s="20" customFormat="1" x14ac:dyDescent="0.25">
      <c r="A75" s="2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</row>
    <row r="76" spans="1:105" s="20" customFormat="1" x14ac:dyDescent="0.25">
      <c r="A76" s="2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</row>
    <row r="77" spans="1:105" s="20" customFormat="1" x14ac:dyDescent="0.25">
      <c r="A77" s="2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</row>
    <row r="78" spans="1:105" s="20" customFormat="1" x14ac:dyDescent="0.25">
      <c r="A78" s="2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</row>
    <row r="79" spans="1:105" s="20" customFormat="1" x14ac:dyDescent="0.25">
      <c r="A79" s="2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</row>
    <row r="80" spans="1:105" s="20" customFormat="1" x14ac:dyDescent="0.25">
      <c r="A80" s="2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</row>
    <row r="81" spans="1:105" s="20" customFormat="1" x14ac:dyDescent="0.25">
      <c r="A81" s="2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</row>
    <row r="82" spans="1:105" s="20" customFormat="1" x14ac:dyDescent="0.25">
      <c r="A82" s="2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</row>
    <row r="83" spans="1:105" s="20" customFormat="1" x14ac:dyDescent="0.25">
      <c r="A83" s="2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</row>
    <row r="84" spans="1:105" s="20" customFormat="1" x14ac:dyDescent="0.25">
      <c r="A84" s="2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</row>
    <row r="85" spans="1:105" s="20" customFormat="1" x14ac:dyDescent="0.25">
      <c r="A85" s="2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</row>
    <row r="86" spans="1:105" s="20" customFormat="1" x14ac:dyDescent="0.25">
      <c r="A86" s="2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</row>
    <row r="87" spans="1:105" s="20" customFormat="1" x14ac:dyDescent="0.25">
      <c r="A87" s="2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</row>
    <row r="88" spans="1:105" s="20" customFormat="1" x14ac:dyDescent="0.25">
      <c r="A88" s="2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</row>
    <row r="89" spans="1:105" s="20" customFormat="1" x14ac:dyDescent="0.25">
      <c r="A89" s="2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</row>
    <row r="90" spans="1:105" s="20" customFormat="1" x14ac:dyDescent="0.25">
      <c r="A90" s="2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</row>
    <row r="91" spans="1:105" s="20" customFormat="1" x14ac:dyDescent="0.25">
      <c r="A91" s="2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</row>
    <row r="92" spans="1:105" s="20" customFormat="1" x14ac:dyDescent="0.25">
      <c r="A92" s="2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</row>
    <row r="93" spans="1:105" s="20" customFormat="1" x14ac:dyDescent="0.25">
      <c r="A93" s="2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</row>
    <row r="94" spans="1:105" s="20" customFormat="1" x14ac:dyDescent="0.25">
      <c r="A94" s="2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</row>
    <row r="95" spans="1:105" s="20" customFormat="1" x14ac:dyDescent="0.25">
      <c r="A95" s="2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</row>
    <row r="96" spans="1:105" s="20" customFormat="1" x14ac:dyDescent="0.25">
      <c r="A96" s="2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</row>
    <row r="97" spans="1:105" s="20" customFormat="1" x14ac:dyDescent="0.25">
      <c r="A97" s="2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</row>
    <row r="98" spans="1:105" s="20" customFormat="1" x14ac:dyDescent="0.25">
      <c r="A98" s="2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</row>
    <row r="99" spans="1:105" s="20" customFormat="1" x14ac:dyDescent="0.25">
      <c r="A99" s="2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</row>
    <row r="100" spans="1:105" s="20" customFormat="1" x14ac:dyDescent="0.25">
      <c r="A100" s="24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</row>
    <row r="101" spans="1:105" s="20" customFormat="1" x14ac:dyDescent="0.25">
      <c r="A101" s="2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</row>
    <row r="102" spans="1:105" s="20" customFormat="1" x14ac:dyDescent="0.25">
      <c r="A102" s="24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</row>
    <row r="103" spans="1:105" s="20" customFormat="1" x14ac:dyDescent="0.25">
      <c r="A103" s="2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</row>
    <row r="104" spans="1:105" s="20" customFormat="1" x14ac:dyDescent="0.25">
      <c r="A104" s="24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</row>
    <row r="105" spans="1:105" s="20" customFormat="1" x14ac:dyDescent="0.25">
      <c r="A105" s="2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</row>
    <row r="106" spans="1:105" s="20" customFormat="1" x14ac:dyDescent="0.25">
      <c r="A106" s="24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</row>
    <row r="107" spans="1:105" s="20" customFormat="1" x14ac:dyDescent="0.25">
      <c r="A107" s="2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</row>
    <row r="108" spans="1:105" s="20" customFormat="1" x14ac:dyDescent="0.25">
      <c r="A108" s="24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</row>
    <row r="109" spans="1:105" s="20" customFormat="1" x14ac:dyDescent="0.25">
      <c r="A109" s="2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</row>
    <row r="110" spans="1:105" s="20" customFormat="1" x14ac:dyDescent="0.25">
      <c r="A110" s="24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</row>
    <row r="111" spans="1:105" s="20" customFormat="1" x14ac:dyDescent="0.25">
      <c r="A111" s="2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</row>
    <row r="112" spans="1:105" s="20" customFormat="1" x14ac:dyDescent="0.25">
      <c r="A112" s="24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</row>
    <row r="113" spans="1:105" s="20" customFormat="1" x14ac:dyDescent="0.25">
      <c r="A113" s="2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</row>
    <row r="114" spans="1:105" s="20" customFormat="1" x14ac:dyDescent="0.25">
      <c r="A114" s="24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</row>
    <row r="115" spans="1:105" s="20" customFormat="1" x14ac:dyDescent="0.25">
      <c r="A115" s="2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</row>
    <row r="116" spans="1:105" s="20" customFormat="1" x14ac:dyDescent="0.25">
      <c r="A116" s="24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</row>
    <row r="117" spans="1:105" s="20" customFormat="1" x14ac:dyDescent="0.25">
      <c r="A117" s="2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</row>
    <row r="118" spans="1:105" s="20" customFormat="1" x14ac:dyDescent="0.25">
      <c r="A118" s="24"/>
      <c r="B118" s="26"/>
      <c r="C118" s="26"/>
      <c r="D118" s="27"/>
      <c r="J118" s="25"/>
      <c r="K118" s="25"/>
      <c r="L118" s="25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</row>
    <row r="119" spans="1:105" s="20" customFormat="1" x14ac:dyDescent="0.25">
      <c r="A119" s="24"/>
      <c r="B119" s="26"/>
      <c r="C119" s="26"/>
      <c r="D119" s="27"/>
      <c r="J119" s="25"/>
      <c r="K119" s="25"/>
      <c r="L119" s="25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</row>
    <row r="120" spans="1:105" s="20" customFormat="1" x14ac:dyDescent="0.25">
      <c r="A120" s="24"/>
      <c r="B120" s="26"/>
      <c r="C120" s="26"/>
      <c r="D120" s="27"/>
      <c r="J120" s="25"/>
      <c r="K120" s="25"/>
      <c r="L120" s="25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</row>
    <row r="121" spans="1:105" s="20" customFormat="1" x14ac:dyDescent="0.25">
      <c r="A121" s="24"/>
      <c r="B121" s="26"/>
      <c r="C121" s="26"/>
      <c r="D121" s="27"/>
      <c r="J121" s="25"/>
      <c r="K121" s="25"/>
      <c r="L121" s="25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</row>
    <row r="122" spans="1:105" s="20" customFormat="1" x14ac:dyDescent="0.25">
      <c r="A122" s="24"/>
      <c r="B122" s="26"/>
      <c r="C122" s="26"/>
      <c r="D122" s="27"/>
      <c r="J122" s="25"/>
      <c r="K122" s="25"/>
      <c r="L122" s="25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</row>
    <row r="123" spans="1:105" s="20" customFormat="1" x14ac:dyDescent="0.25">
      <c r="A123" s="24"/>
      <c r="B123" s="26"/>
      <c r="C123" s="26"/>
      <c r="D123" s="27"/>
      <c r="J123" s="25"/>
      <c r="K123" s="25"/>
      <c r="L123" s="25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</row>
    <row r="124" spans="1:105" s="20" customFormat="1" x14ac:dyDescent="0.25">
      <c r="A124" s="24"/>
      <c r="B124" s="26"/>
      <c r="C124" s="26"/>
      <c r="D124" s="27"/>
      <c r="J124" s="25"/>
      <c r="K124" s="25"/>
      <c r="L124" s="25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</row>
    <row r="125" spans="1:105" s="20" customFormat="1" x14ac:dyDescent="0.25">
      <c r="A125" s="24"/>
      <c r="B125" s="26"/>
      <c r="C125" s="26"/>
      <c r="D125" s="27"/>
      <c r="J125" s="25"/>
      <c r="K125" s="25"/>
      <c r="L125" s="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</row>
    <row r="126" spans="1:105" s="20" customFormat="1" x14ac:dyDescent="0.25">
      <c r="A126" s="24"/>
      <c r="B126" s="26"/>
      <c r="C126" s="26"/>
      <c r="D126" s="27"/>
      <c r="J126" s="25"/>
      <c r="K126" s="25"/>
      <c r="L126" s="25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</row>
    <row r="127" spans="1:105" s="20" customFormat="1" x14ac:dyDescent="0.25">
      <c r="A127" s="24"/>
      <c r="B127" s="26"/>
      <c r="C127" s="26"/>
      <c r="D127" s="27"/>
      <c r="J127" s="25"/>
      <c r="K127" s="25"/>
      <c r="L127" s="25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</row>
    <row r="128" spans="1:105" s="20" customFormat="1" x14ac:dyDescent="0.25">
      <c r="A128" s="24"/>
      <c r="B128" s="26"/>
      <c r="C128" s="26"/>
      <c r="D128" s="27"/>
      <c r="J128" s="25"/>
      <c r="K128" s="25"/>
      <c r="L128" s="25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</row>
    <row r="129" spans="1:105" s="20" customFormat="1" x14ac:dyDescent="0.25">
      <c r="A129" s="24"/>
      <c r="B129" s="26"/>
      <c r="C129" s="26"/>
      <c r="D129" s="27"/>
      <c r="J129" s="25"/>
      <c r="K129" s="25"/>
      <c r="L129" s="25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</row>
    <row r="130" spans="1:105" s="20" customFormat="1" x14ac:dyDescent="0.25">
      <c r="A130" s="24"/>
      <c r="B130" s="26"/>
      <c r="C130" s="26"/>
      <c r="D130" s="27"/>
      <c r="J130" s="25"/>
      <c r="K130" s="25"/>
      <c r="L130" s="25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</row>
    <row r="131" spans="1:105" s="20" customFormat="1" x14ac:dyDescent="0.25">
      <c r="A131" s="24"/>
      <c r="B131" s="26"/>
      <c r="C131" s="26"/>
      <c r="D131" s="27"/>
      <c r="J131" s="25"/>
      <c r="K131" s="25"/>
      <c r="L131" s="25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</row>
    <row r="132" spans="1:105" s="20" customFormat="1" x14ac:dyDescent="0.25">
      <c r="A132" s="24"/>
      <c r="B132" s="26"/>
      <c r="C132" s="26"/>
      <c r="D132" s="27"/>
      <c r="J132" s="25"/>
      <c r="K132" s="25"/>
      <c r="L132" s="25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</row>
    <row r="133" spans="1:105" s="20" customFormat="1" x14ac:dyDescent="0.25">
      <c r="A133" s="24"/>
      <c r="B133" s="26"/>
      <c r="C133" s="26"/>
      <c r="D133" s="27"/>
      <c r="J133" s="25"/>
      <c r="K133" s="25"/>
      <c r="L133" s="25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</row>
    <row r="134" spans="1:105" s="20" customFormat="1" x14ac:dyDescent="0.25">
      <c r="A134" s="24"/>
      <c r="B134" s="26"/>
      <c r="C134" s="26"/>
      <c r="D134" s="27"/>
      <c r="J134" s="25"/>
      <c r="K134" s="25"/>
      <c r="L134" s="25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</row>
    <row r="135" spans="1:105" s="20" customFormat="1" x14ac:dyDescent="0.25">
      <c r="A135" s="24"/>
      <c r="B135" s="26"/>
      <c r="C135" s="26"/>
      <c r="D135" s="27"/>
      <c r="J135" s="25"/>
      <c r="K135" s="25"/>
      <c r="L135" s="2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</row>
    <row r="136" spans="1:105" s="20" customFormat="1" x14ac:dyDescent="0.25">
      <c r="A136" s="24"/>
      <c r="B136" s="26"/>
      <c r="C136" s="26"/>
      <c r="D136" s="27"/>
      <c r="J136" s="25"/>
      <c r="K136" s="25"/>
      <c r="L136" s="25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</row>
    <row r="137" spans="1:105" s="20" customFormat="1" x14ac:dyDescent="0.25">
      <c r="A137" s="24"/>
      <c r="B137" s="26"/>
      <c r="C137" s="26"/>
      <c r="D137" s="27"/>
      <c r="J137" s="25"/>
      <c r="K137" s="25"/>
      <c r="L137" s="25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</row>
    <row r="138" spans="1:105" s="20" customFormat="1" x14ac:dyDescent="0.25">
      <c r="A138" s="24"/>
      <c r="B138" s="26"/>
      <c r="C138" s="26"/>
      <c r="D138" s="27"/>
      <c r="J138" s="25"/>
      <c r="K138" s="25"/>
      <c r="L138" s="25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</row>
    <row r="139" spans="1:105" s="20" customFormat="1" x14ac:dyDescent="0.25">
      <c r="A139" s="24"/>
      <c r="B139" s="26"/>
      <c r="C139" s="26"/>
      <c r="D139" s="27"/>
      <c r="J139" s="25"/>
      <c r="K139" s="25"/>
      <c r="L139" s="25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</row>
    <row r="140" spans="1:105" s="20" customFormat="1" x14ac:dyDescent="0.25">
      <c r="A140" s="24"/>
      <c r="B140" s="26"/>
      <c r="C140" s="26"/>
      <c r="D140" s="27"/>
      <c r="J140" s="25"/>
      <c r="K140" s="25"/>
      <c r="L140" s="25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</row>
    <row r="141" spans="1:105" s="20" customFormat="1" x14ac:dyDescent="0.25">
      <c r="A141" s="24"/>
      <c r="B141" s="26"/>
      <c r="C141" s="26"/>
      <c r="D141" s="27"/>
      <c r="J141" s="25"/>
      <c r="K141" s="25"/>
      <c r="L141" s="25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</row>
    <row r="142" spans="1:105" s="20" customFormat="1" x14ac:dyDescent="0.25">
      <c r="A142" s="24"/>
      <c r="B142" s="26"/>
      <c r="C142" s="26"/>
      <c r="D142" s="27"/>
      <c r="J142" s="25"/>
      <c r="K142" s="25"/>
      <c r="L142" s="25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</row>
    <row r="143" spans="1:105" s="20" customFormat="1" x14ac:dyDescent="0.25">
      <c r="A143" s="24"/>
      <c r="B143" s="26"/>
      <c r="C143" s="26"/>
      <c r="D143" s="27"/>
      <c r="J143" s="25"/>
      <c r="K143" s="25"/>
      <c r="L143" s="25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</row>
    <row r="144" spans="1:105" s="20" customFormat="1" x14ac:dyDescent="0.25">
      <c r="A144" s="24"/>
      <c r="B144" s="26"/>
      <c r="C144" s="26"/>
      <c r="D144" s="27"/>
      <c r="J144" s="25"/>
      <c r="K144" s="25"/>
      <c r="L144" s="25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</row>
    <row r="145" spans="1:105" s="20" customFormat="1" x14ac:dyDescent="0.25">
      <c r="A145" s="24"/>
      <c r="B145" s="26"/>
      <c r="C145" s="26"/>
      <c r="D145" s="27"/>
      <c r="J145" s="25"/>
      <c r="K145" s="25"/>
      <c r="L145" s="2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</row>
    <row r="146" spans="1:105" s="20" customFormat="1" x14ac:dyDescent="0.25">
      <c r="A146" s="24"/>
      <c r="B146" s="26"/>
      <c r="C146" s="26"/>
      <c r="D146" s="27"/>
      <c r="J146" s="25"/>
      <c r="K146" s="25"/>
      <c r="L146" s="25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</row>
    <row r="147" spans="1:105" s="20" customFormat="1" x14ac:dyDescent="0.25">
      <c r="A147" s="24"/>
      <c r="B147" s="26"/>
      <c r="C147" s="26"/>
      <c r="D147" s="27"/>
      <c r="J147" s="25"/>
      <c r="K147" s="25"/>
      <c r="L147" s="25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</row>
    <row r="148" spans="1:105" s="20" customFormat="1" x14ac:dyDescent="0.25">
      <c r="A148" s="24"/>
      <c r="B148" s="26"/>
      <c r="C148" s="26"/>
      <c r="D148" s="27"/>
      <c r="J148" s="25"/>
      <c r="K148" s="25"/>
      <c r="L148" s="25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</row>
    <row r="149" spans="1:105" s="20" customFormat="1" x14ac:dyDescent="0.25">
      <c r="A149" s="24"/>
      <c r="B149" s="26"/>
      <c r="C149" s="26"/>
      <c r="D149" s="27"/>
      <c r="J149" s="25"/>
      <c r="K149" s="25"/>
      <c r="L149" s="25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</row>
    <row r="150" spans="1:105" s="20" customFormat="1" x14ac:dyDescent="0.25">
      <c r="A150" s="24"/>
      <c r="B150" s="26"/>
      <c r="C150" s="26"/>
      <c r="D150" s="27"/>
      <c r="J150" s="25"/>
      <c r="K150" s="25"/>
      <c r="L150" s="25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</row>
    <row r="151" spans="1:105" s="20" customFormat="1" x14ac:dyDescent="0.25">
      <c r="A151" s="24"/>
      <c r="B151" s="26"/>
      <c r="C151" s="26"/>
      <c r="D151" s="27"/>
      <c r="J151" s="25"/>
      <c r="K151" s="25"/>
      <c r="L151" s="25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</row>
    <row r="152" spans="1:105" s="20" customFormat="1" x14ac:dyDescent="0.25">
      <c r="A152" s="24"/>
      <c r="B152" s="26"/>
      <c r="C152" s="26"/>
      <c r="D152" s="27"/>
      <c r="J152" s="25"/>
      <c r="K152" s="25"/>
      <c r="L152" s="25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</row>
    <row r="153" spans="1:105" s="20" customFormat="1" x14ac:dyDescent="0.25">
      <c r="A153" s="24"/>
      <c r="B153" s="26"/>
      <c r="C153" s="26"/>
      <c r="D153" s="27"/>
      <c r="J153" s="25"/>
      <c r="K153" s="25"/>
      <c r="L153" s="25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</row>
    <row r="154" spans="1:105" s="20" customFormat="1" x14ac:dyDescent="0.25">
      <c r="A154" s="24"/>
      <c r="B154" s="26"/>
      <c r="C154" s="26"/>
      <c r="D154" s="27"/>
      <c r="J154" s="25"/>
      <c r="K154" s="25"/>
      <c r="L154" s="25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</row>
    <row r="155" spans="1:105" s="20" customFormat="1" x14ac:dyDescent="0.25">
      <c r="A155" s="24"/>
      <c r="B155" s="26"/>
      <c r="C155" s="26"/>
      <c r="D155" s="27"/>
      <c r="J155" s="25"/>
      <c r="K155" s="25"/>
      <c r="L155" s="2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</row>
    <row r="156" spans="1:105" s="20" customFormat="1" x14ac:dyDescent="0.25">
      <c r="A156" s="24"/>
      <c r="B156" s="26"/>
      <c r="C156" s="26"/>
      <c r="D156" s="27"/>
      <c r="J156" s="25"/>
      <c r="K156" s="25"/>
      <c r="L156" s="25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</row>
    <row r="157" spans="1:105" s="20" customFormat="1" x14ac:dyDescent="0.25">
      <c r="A157" s="24"/>
      <c r="B157" s="26"/>
      <c r="C157" s="26"/>
      <c r="D157" s="27"/>
      <c r="J157" s="25"/>
      <c r="K157" s="25"/>
      <c r="L157" s="25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</row>
    <row r="158" spans="1:105" s="20" customFormat="1" x14ac:dyDescent="0.25">
      <c r="A158" s="24"/>
      <c r="B158" s="26"/>
      <c r="C158" s="26"/>
      <c r="D158" s="27"/>
      <c r="J158" s="25"/>
      <c r="K158" s="25"/>
      <c r="L158" s="25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</row>
    <row r="159" spans="1:105" s="20" customFormat="1" x14ac:dyDescent="0.25">
      <c r="A159" s="24"/>
      <c r="B159" s="26"/>
      <c r="C159" s="26"/>
      <c r="D159" s="27"/>
      <c r="J159" s="25"/>
      <c r="K159" s="25"/>
      <c r="L159" s="25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</row>
    <row r="160" spans="1:105" s="20" customFormat="1" x14ac:dyDescent="0.25">
      <c r="A160" s="24"/>
      <c r="B160" s="26"/>
      <c r="C160" s="26"/>
      <c r="D160" s="27"/>
      <c r="J160" s="25"/>
      <c r="K160" s="25"/>
      <c r="L160" s="25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</row>
    <row r="161" spans="1:105" s="20" customFormat="1" x14ac:dyDescent="0.25">
      <c r="A161" s="24"/>
      <c r="B161" s="26"/>
      <c r="C161" s="26"/>
      <c r="D161" s="27"/>
      <c r="J161" s="25"/>
      <c r="K161" s="25"/>
      <c r="L161" s="25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</row>
    <row r="162" spans="1:105" s="20" customFormat="1" x14ac:dyDescent="0.25">
      <c r="A162" s="24"/>
      <c r="B162" s="26"/>
      <c r="C162" s="26"/>
      <c r="D162" s="27"/>
      <c r="J162" s="25"/>
      <c r="K162" s="25"/>
      <c r="L162" s="25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</row>
    <row r="163" spans="1:105" s="20" customFormat="1" x14ac:dyDescent="0.25">
      <c r="A163" s="24"/>
      <c r="B163" s="26"/>
      <c r="C163" s="26"/>
      <c r="D163" s="27"/>
      <c r="J163" s="25"/>
      <c r="K163" s="25"/>
      <c r="L163" s="25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</row>
    <row r="164" spans="1:105" s="20" customFormat="1" x14ac:dyDescent="0.25">
      <c r="A164" s="24"/>
      <c r="B164" s="26"/>
      <c r="C164" s="26"/>
      <c r="D164" s="27"/>
      <c r="J164" s="25"/>
      <c r="K164" s="25"/>
      <c r="L164" s="25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</row>
    <row r="165" spans="1:105" s="20" customFormat="1" x14ac:dyDescent="0.25">
      <c r="A165" s="24"/>
      <c r="B165" s="26"/>
      <c r="C165" s="26"/>
      <c r="D165" s="27"/>
      <c r="J165" s="25"/>
      <c r="K165" s="25"/>
      <c r="L165" s="2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</row>
    <row r="166" spans="1:105" s="20" customFormat="1" x14ac:dyDescent="0.25">
      <c r="A166" s="24"/>
      <c r="B166" s="26"/>
      <c r="C166" s="26"/>
      <c r="D166" s="27"/>
      <c r="J166" s="25"/>
      <c r="K166" s="25"/>
      <c r="L166" s="25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</row>
    <row r="167" spans="1:105" s="20" customFormat="1" x14ac:dyDescent="0.25">
      <c r="A167" s="24"/>
      <c r="B167" s="26"/>
      <c r="C167" s="26"/>
      <c r="D167" s="27"/>
      <c r="J167" s="25"/>
      <c r="K167" s="25"/>
      <c r="L167" s="25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</row>
    <row r="168" spans="1:105" s="20" customFormat="1" x14ac:dyDescent="0.25">
      <c r="A168" s="24"/>
      <c r="B168" s="26"/>
      <c r="C168" s="26"/>
      <c r="D168" s="27"/>
      <c r="J168" s="25"/>
      <c r="K168" s="25"/>
      <c r="L168" s="25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</row>
    <row r="169" spans="1:105" s="20" customFormat="1" x14ac:dyDescent="0.25">
      <c r="A169" s="24"/>
      <c r="B169" s="26"/>
      <c r="C169" s="26"/>
      <c r="D169" s="27"/>
      <c r="J169" s="25"/>
      <c r="K169" s="25"/>
      <c r="L169" s="25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</row>
    <row r="170" spans="1:105" s="20" customFormat="1" x14ac:dyDescent="0.25">
      <c r="A170" s="24"/>
      <c r="B170" s="26"/>
      <c r="C170" s="26"/>
      <c r="D170" s="27"/>
      <c r="J170" s="25"/>
      <c r="K170" s="25"/>
      <c r="L170" s="25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</row>
    <row r="171" spans="1:105" s="20" customFormat="1" x14ac:dyDescent="0.25">
      <c r="A171" s="24"/>
      <c r="B171" s="26"/>
      <c r="C171" s="26"/>
      <c r="D171" s="27"/>
      <c r="J171" s="25"/>
      <c r="K171" s="25"/>
      <c r="L171" s="25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</row>
    <row r="172" spans="1:105" s="20" customFormat="1" x14ac:dyDescent="0.25">
      <c r="A172" s="24"/>
      <c r="B172" s="26"/>
      <c r="C172" s="26"/>
      <c r="D172" s="27"/>
      <c r="J172" s="25"/>
      <c r="K172" s="25"/>
      <c r="L172" s="25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</row>
    <row r="173" spans="1:105" s="20" customFormat="1" x14ac:dyDescent="0.25">
      <c r="A173" s="24"/>
      <c r="B173" s="26"/>
      <c r="C173" s="26"/>
      <c r="D173" s="27"/>
      <c r="J173" s="25"/>
      <c r="K173" s="25"/>
      <c r="L173" s="25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</row>
    <row r="174" spans="1:105" s="20" customFormat="1" x14ac:dyDescent="0.25">
      <c r="A174" s="24"/>
      <c r="B174" s="26"/>
      <c r="C174" s="26"/>
      <c r="D174" s="27"/>
      <c r="J174" s="25"/>
      <c r="K174" s="25"/>
      <c r="L174" s="25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</row>
    <row r="175" spans="1:105" s="20" customFormat="1" x14ac:dyDescent="0.25">
      <c r="A175" s="24"/>
      <c r="B175" s="26"/>
      <c r="C175" s="26"/>
      <c r="D175" s="27"/>
      <c r="J175" s="25"/>
      <c r="K175" s="25"/>
      <c r="L175" s="2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</row>
    <row r="176" spans="1:105" s="20" customFormat="1" x14ac:dyDescent="0.25">
      <c r="A176" s="24"/>
      <c r="B176" s="26"/>
      <c r="C176" s="26"/>
      <c r="D176" s="27"/>
      <c r="J176" s="25"/>
      <c r="K176" s="25"/>
      <c r="L176" s="25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</row>
    <row r="177" spans="1:105" s="20" customFormat="1" x14ac:dyDescent="0.25">
      <c r="A177" s="24"/>
      <c r="B177" s="26"/>
      <c r="C177" s="26"/>
      <c r="D177" s="27"/>
      <c r="J177" s="25"/>
      <c r="K177" s="25"/>
      <c r="L177" s="25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</row>
    <row r="178" spans="1:105" s="20" customFormat="1" x14ac:dyDescent="0.25">
      <c r="A178" s="24"/>
      <c r="B178" s="26"/>
      <c r="C178" s="26"/>
      <c r="D178" s="27"/>
      <c r="J178" s="25"/>
      <c r="K178" s="25"/>
      <c r="L178" s="25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</row>
    <row r="179" spans="1:105" s="20" customFormat="1" x14ac:dyDescent="0.25">
      <c r="A179" s="24"/>
      <c r="B179" s="26"/>
      <c r="C179" s="26"/>
      <c r="D179" s="27"/>
      <c r="J179" s="25"/>
      <c r="K179" s="25"/>
      <c r="L179" s="25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</row>
    <row r="180" spans="1:105" s="20" customFormat="1" x14ac:dyDescent="0.25">
      <c r="A180" s="24"/>
      <c r="B180" s="26"/>
      <c r="C180" s="26"/>
      <c r="D180" s="27"/>
      <c r="J180" s="25"/>
      <c r="K180" s="25"/>
      <c r="L180" s="25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</row>
    <row r="181" spans="1:105" s="20" customFormat="1" x14ac:dyDescent="0.25">
      <c r="A181" s="24"/>
      <c r="B181" s="26"/>
      <c r="C181" s="26"/>
      <c r="D181" s="27"/>
      <c r="J181" s="25"/>
      <c r="K181" s="25"/>
      <c r="L181" s="25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</row>
    <row r="182" spans="1:105" s="20" customFormat="1" x14ac:dyDescent="0.25">
      <c r="A182" s="24"/>
      <c r="B182" s="26"/>
      <c r="C182" s="26"/>
      <c r="D182" s="27"/>
      <c r="J182" s="25"/>
      <c r="K182" s="25"/>
      <c r="L182" s="25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</row>
    <row r="183" spans="1:105" s="20" customFormat="1" x14ac:dyDescent="0.25">
      <c r="A183" s="24"/>
      <c r="B183" s="26"/>
      <c r="C183" s="26"/>
      <c r="D183" s="27"/>
      <c r="J183" s="25"/>
      <c r="K183" s="25"/>
      <c r="L183" s="25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</row>
    <row r="184" spans="1:105" s="20" customFormat="1" x14ac:dyDescent="0.25">
      <c r="A184" s="24"/>
      <c r="B184" s="26"/>
      <c r="C184" s="26"/>
      <c r="D184" s="27"/>
      <c r="J184" s="25"/>
      <c r="K184" s="25"/>
      <c r="L184" s="25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</row>
    <row r="185" spans="1:105" s="20" customFormat="1" x14ac:dyDescent="0.25">
      <c r="A185" s="24"/>
      <c r="B185" s="26"/>
      <c r="C185" s="26"/>
      <c r="D185" s="27"/>
      <c r="J185" s="25"/>
      <c r="K185" s="25"/>
      <c r="L185" s="2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</row>
    <row r="186" spans="1:105" s="20" customFormat="1" x14ac:dyDescent="0.25">
      <c r="A186" s="24"/>
      <c r="B186" s="26"/>
      <c r="C186" s="26"/>
      <c r="D186" s="27"/>
      <c r="J186" s="25"/>
      <c r="K186" s="25"/>
      <c r="L186" s="25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</row>
    <row r="187" spans="1:105" s="20" customFormat="1" x14ac:dyDescent="0.25">
      <c r="A187" s="24"/>
      <c r="B187" s="26"/>
      <c r="C187" s="26"/>
      <c r="D187" s="27"/>
      <c r="J187" s="25"/>
      <c r="K187" s="25"/>
      <c r="L187" s="25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</row>
    <row r="188" spans="1:105" s="20" customFormat="1" x14ac:dyDescent="0.25">
      <c r="A188" s="24"/>
      <c r="B188" s="26"/>
      <c r="C188" s="26"/>
      <c r="D188" s="27"/>
      <c r="J188" s="25"/>
      <c r="K188" s="25"/>
      <c r="L188" s="25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</row>
    <row r="189" spans="1:105" s="20" customFormat="1" x14ac:dyDescent="0.25">
      <c r="A189" s="24"/>
      <c r="B189" s="26"/>
      <c r="C189" s="26"/>
      <c r="D189" s="27"/>
      <c r="J189" s="25"/>
      <c r="K189" s="25"/>
      <c r="L189" s="25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</row>
    <row r="190" spans="1:105" s="20" customFormat="1" x14ac:dyDescent="0.25">
      <c r="A190" s="24"/>
      <c r="B190" s="26"/>
      <c r="C190" s="26"/>
      <c r="D190" s="27"/>
      <c r="J190" s="25"/>
      <c r="K190" s="25"/>
      <c r="L190" s="25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</row>
    <row r="191" spans="1:105" s="20" customFormat="1" x14ac:dyDescent="0.25">
      <c r="A191" s="24"/>
      <c r="B191" s="26"/>
      <c r="C191" s="26"/>
      <c r="D191" s="27"/>
      <c r="J191" s="25"/>
      <c r="K191" s="25"/>
      <c r="L191" s="25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</row>
    <row r="192" spans="1:105" s="20" customFormat="1" x14ac:dyDescent="0.25">
      <c r="A192" s="24"/>
      <c r="B192" s="26"/>
      <c r="C192" s="26"/>
      <c r="D192" s="27"/>
      <c r="J192" s="25"/>
      <c r="K192" s="25"/>
      <c r="L192" s="25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</row>
    <row r="193" spans="1:105" s="20" customFormat="1" x14ac:dyDescent="0.25">
      <c r="A193" s="24"/>
      <c r="B193" s="26"/>
      <c r="C193" s="26"/>
      <c r="D193" s="27"/>
      <c r="J193" s="25"/>
      <c r="K193" s="25"/>
      <c r="L193" s="25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</row>
    <row r="194" spans="1:105" s="20" customFormat="1" x14ac:dyDescent="0.25">
      <c r="A194" s="24"/>
      <c r="B194" s="26"/>
      <c r="C194" s="26"/>
      <c r="D194" s="27"/>
      <c r="J194" s="25"/>
      <c r="K194" s="25"/>
      <c r="L194" s="25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</row>
    <row r="195" spans="1:105" s="20" customFormat="1" x14ac:dyDescent="0.25">
      <c r="A195" s="24"/>
      <c r="B195" s="26"/>
      <c r="C195" s="26"/>
      <c r="D195" s="27"/>
      <c r="J195" s="25"/>
      <c r="K195" s="25"/>
      <c r="L195" s="2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</row>
    <row r="196" spans="1:105" s="20" customFormat="1" x14ac:dyDescent="0.25">
      <c r="A196" s="24"/>
      <c r="B196" s="26"/>
      <c r="C196" s="26"/>
      <c r="D196" s="27"/>
      <c r="J196" s="25"/>
      <c r="K196" s="25"/>
      <c r="L196" s="25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</row>
    <row r="197" spans="1:105" s="20" customFormat="1" x14ac:dyDescent="0.25">
      <c r="A197" s="24"/>
      <c r="B197" s="26"/>
      <c r="C197" s="26"/>
      <c r="D197" s="27"/>
      <c r="J197" s="25"/>
      <c r="K197" s="25"/>
      <c r="L197" s="25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</row>
    <row r="198" spans="1:105" s="20" customFormat="1" x14ac:dyDescent="0.25">
      <c r="A198" s="24"/>
      <c r="B198" s="26"/>
      <c r="C198" s="26"/>
      <c r="D198" s="27"/>
      <c r="J198" s="25"/>
      <c r="K198" s="25"/>
      <c r="L198" s="25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</row>
    <row r="199" spans="1:105" s="20" customFormat="1" x14ac:dyDescent="0.25">
      <c r="A199" s="24"/>
      <c r="B199" s="26"/>
      <c r="C199" s="26"/>
      <c r="D199" s="27"/>
      <c r="J199" s="25"/>
      <c r="K199" s="25"/>
      <c r="L199" s="25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</row>
    <row r="200" spans="1:105" s="20" customFormat="1" x14ac:dyDescent="0.25">
      <c r="A200" s="24"/>
      <c r="B200" s="26"/>
      <c r="C200" s="26"/>
      <c r="D200" s="27"/>
      <c r="J200" s="25"/>
      <c r="K200" s="25"/>
      <c r="L200" s="25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</row>
    <row r="201" spans="1:105" s="20" customFormat="1" x14ac:dyDescent="0.25">
      <c r="A201" s="24"/>
      <c r="B201" s="26"/>
      <c r="C201" s="26"/>
      <c r="D201" s="27"/>
      <c r="J201" s="25"/>
      <c r="K201" s="25"/>
      <c r="L201" s="25"/>
    </row>
    <row r="202" spans="1:105" s="20" customFormat="1" x14ac:dyDescent="0.25">
      <c r="A202" s="24"/>
      <c r="B202" s="26"/>
      <c r="C202" s="26"/>
      <c r="D202" s="27"/>
      <c r="J202" s="25"/>
      <c r="K202" s="25"/>
      <c r="L202" s="25"/>
    </row>
    <row r="203" spans="1:105" s="20" customFormat="1" x14ac:dyDescent="0.25">
      <c r="A203" s="24"/>
      <c r="B203" s="26"/>
      <c r="C203" s="26"/>
      <c r="D203" s="27"/>
      <c r="J203" s="25"/>
      <c r="K203" s="25"/>
      <c r="L203" s="25"/>
    </row>
    <row r="204" spans="1:105" s="20" customFormat="1" x14ac:dyDescent="0.25">
      <c r="A204" s="24"/>
      <c r="B204" s="26"/>
      <c r="C204" s="26"/>
      <c r="D204" s="27"/>
      <c r="J204" s="25"/>
      <c r="K204" s="25"/>
      <c r="L204" s="25"/>
    </row>
    <row r="205" spans="1:105" s="20" customFormat="1" x14ac:dyDescent="0.25">
      <c r="A205" s="24"/>
      <c r="B205" s="26"/>
      <c r="C205" s="26"/>
      <c r="D205" s="27"/>
      <c r="J205" s="25"/>
      <c r="K205" s="25"/>
      <c r="L205" s="25"/>
    </row>
    <row r="206" spans="1:105" s="20" customFormat="1" x14ac:dyDescent="0.25">
      <c r="A206" s="24"/>
      <c r="B206" s="26"/>
      <c r="C206" s="26"/>
      <c r="D206" s="27"/>
      <c r="J206" s="25"/>
      <c r="K206" s="25"/>
      <c r="L206" s="25"/>
    </row>
    <row r="207" spans="1:105" s="20" customFormat="1" x14ac:dyDescent="0.25">
      <c r="A207" s="24"/>
      <c r="B207" s="26"/>
      <c r="C207" s="26"/>
      <c r="D207" s="27"/>
      <c r="J207" s="25"/>
      <c r="K207" s="25"/>
      <c r="L207" s="25"/>
    </row>
    <row r="208" spans="1:105" s="20" customFormat="1" x14ac:dyDescent="0.25">
      <c r="A208" s="24"/>
      <c r="B208" s="26"/>
      <c r="C208" s="26"/>
      <c r="D208" s="27"/>
      <c r="J208" s="25"/>
      <c r="K208" s="25"/>
      <c r="L208" s="25"/>
    </row>
    <row r="209" spans="1:12" s="20" customFormat="1" x14ac:dyDescent="0.25">
      <c r="A209" s="24"/>
      <c r="B209" s="26"/>
      <c r="C209" s="26"/>
      <c r="D209" s="27"/>
      <c r="J209" s="25"/>
      <c r="K209" s="25"/>
      <c r="L209" s="25"/>
    </row>
    <row r="210" spans="1:12" s="20" customFormat="1" x14ac:dyDescent="0.25">
      <c r="A210" s="24"/>
      <c r="B210" s="26"/>
      <c r="C210" s="26"/>
      <c r="D210" s="27"/>
      <c r="J210" s="25"/>
      <c r="K210" s="25"/>
      <c r="L210" s="25"/>
    </row>
    <row r="211" spans="1:12" s="20" customFormat="1" x14ac:dyDescent="0.25">
      <c r="A211" s="24"/>
      <c r="B211" s="26"/>
      <c r="C211" s="26"/>
      <c r="D211" s="27"/>
      <c r="J211" s="25"/>
      <c r="K211" s="25"/>
      <c r="L211" s="25"/>
    </row>
    <row r="212" spans="1:12" s="20" customFormat="1" x14ac:dyDescent="0.25">
      <c r="A212" s="24"/>
      <c r="B212" s="26"/>
      <c r="C212" s="26"/>
      <c r="D212" s="27"/>
      <c r="J212" s="25"/>
      <c r="K212" s="25"/>
      <c r="L212" s="25"/>
    </row>
    <row r="213" spans="1:12" s="20" customFormat="1" x14ac:dyDescent="0.25">
      <c r="A213" s="24"/>
      <c r="B213" s="26"/>
      <c r="C213" s="26"/>
      <c r="D213" s="27"/>
      <c r="J213" s="25"/>
      <c r="K213" s="25"/>
      <c r="L213" s="25"/>
    </row>
    <row r="214" spans="1:12" s="20" customFormat="1" x14ac:dyDescent="0.25">
      <c r="A214" s="24"/>
      <c r="B214" s="26"/>
      <c r="C214" s="26"/>
      <c r="D214" s="27"/>
      <c r="J214" s="25"/>
      <c r="K214" s="25"/>
      <c r="L214" s="25"/>
    </row>
    <row r="215" spans="1:12" s="20" customFormat="1" x14ac:dyDescent="0.25">
      <c r="A215" s="24"/>
      <c r="B215" s="26"/>
      <c r="C215" s="26"/>
      <c r="D215" s="27"/>
      <c r="J215" s="25"/>
      <c r="K215" s="25"/>
      <c r="L215" s="25"/>
    </row>
    <row r="216" spans="1:12" s="20" customFormat="1" x14ac:dyDescent="0.25">
      <c r="A216" s="24"/>
      <c r="B216" s="26"/>
      <c r="C216" s="26"/>
      <c r="D216" s="27"/>
      <c r="J216" s="25"/>
      <c r="K216" s="25"/>
      <c r="L216" s="25"/>
    </row>
    <row r="217" spans="1:12" s="20" customFormat="1" x14ac:dyDescent="0.25">
      <c r="A217" s="24"/>
      <c r="B217" s="26"/>
      <c r="C217" s="26"/>
      <c r="D217" s="27"/>
      <c r="J217" s="25"/>
      <c r="K217" s="25"/>
      <c r="L217" s="25"/>
    </row>
    <row r="218" spans="1:12" s="20" customFormat="1" x14ac:dyDescent="0.25">
      <c r="A218" s="24"/>
      <c r="B218" s="26"/>
      <c r="C218" s="26"/>
      <c r="D218" s="27"/>
      <c r="J218" s="25"/>
      <c r="K218" s="25"/>
      <c r="L218" s="25"/>
    </row>
    <row r="219" spans="1:12" s="20" customFormat="1" x14ac:dyDescent="0.25">
      <c r="A219" s="24"/>
      <c r="B219" s="26"/>
      <c r="C219" s="26"/>
      <c r="D219" s="27"/>
      <c r="J219" s="25"/>
      <c r="K219" s="25"/>
      <c r="L219" s="25"/>
    </row>
    <row r="220" spans="1:12" s="20" customFormat="1" x14ac:dyDescent="0.25">
      <c r="A220" s="24"/>
      <c r="B220" s="26"/>
      <c r="C220" s="26"/>
      <c r="D220" s="27"/>
      <c r="J220" s="25"/>
      <c r="K220" s="25"/>
      <c r="L220" s="25"/>
    </row>
    <row r="221" spans="1:12" s="20" customFormat="1" x14ac:dyDescent="0.25">
      <c r="A221" s="24"/>
      <c r="B221" s="26"/>
      <c r="C221" s="26"/>
      <c r="D221" s="27"/>
      <c r="J221" s="25"/>
      <c r="K221" s="25"/>
      <c r="L221" s="25"/>
    </row>
    <row r="222" spans="1:12" s="20" customFormat="1" x14ac:dyDescent="0.25">
      <c r="A222" s="24"/>
      <c r="B222" s="26"/>
      <c r="C222" s="26"/>
      <c r="D222" s="27"/>
      <c r="J222" s="25"/>
      <c r="K222" s="25"/>
      <c r="L222" s="25"/>
    </row>
    <row r="223" spans="1:12" s="20" customFormat="1" x14ac:dyDescent="0.25">
      <c r="A223" s="24"/>
      <c r="B223" s="26"/>
      <c r="C223" s="26"/>
      <c r="D223" s="27"/>
      <c r="J223" s="25"/>
      <c r="K223" s="25"/>
      <c r="L223" s="25"/>
    </row>
    <row r="224" spans="1:12" s="20" customFormat="1" x14ac:dyDescent="0.25">
      <c r="A224" s="24"/>
      <c r="B224" s="26"/>
      <c r="C224" s="26"/>
      <c r="D224" s="27"/>
      <c r="J224" s="25"/>
      <c r="K224" s="25"/>
      <c r="L224" s="25"/>
    </row>
    <row r="225" spans="1:12" s="20" customFormat="1" x14ac:dyDescent="0.25">
      <c r="A225" s="24"/>
      <c r="B225" s="26"/>
      <c r="C225" s="26"/>
      <c r="D225" s="27"/>
      <c r="J225" s="25"/>
      <c r="K225" s="25"/>
      <c r="L225" s="25"/>
    </row>
    <row r="226" spans="1:12" s="20" customFormat="1" x14ac:dyDescent="0.25">
      <c r="A226" s="24"/>
      <c r="B226" s="26"/>
      <c r="C226" s="26"/>
      <c r="D226" s="27"/>
      <c r="J226" s="25"/>
      <c r="K226" s="25"/>
      <c r="L226" s="25"/>
    </row>
    <row r="227" spans="1:12" s="20" customFormat="1" x14ac:dyDescent="0.25">
      <c r="A227" s="24"/>
      <c r="B227" s="26"/>
      <c r="C227" s="26"/>
      <c r="D227" s="27"/>
      <c r="J227" s="25"/>
      <c r="K227" s="25"/>
      <c r="L227" s="25"/>
    </row>
    <row r="228" spans="1:12" s="20" customFormat="1" x14ac:dyDescent="0.25">
      <c r="A228" s="24"/>
      <c r="B228" s="26"/>
      <c r="C228" s="26"/>
      <c r="D228" s="27"/>
      <c r="J228" s="25"/>
      <c r="K228" s="25"/>
      <c r="L228" s="25"/>
    </row>
    <row r="229" spans="1:12" s="20" customFormat="1" x14ac:dyDescent="0.25">
      <c r="A229" s="24"/>
      <c r="B229" s="26"/>
      <c r="C229" s="26"/>
      <c r="D229" s="27"/>
      <c r="J229" s="25"/>
      <c r="K229" s="25"/>
      <c r="L229" s="25"/>
    </row>
    <row r="230" spans="1:12" s="20" customFormat="1" x14ac:dyDescent="0.25">
      <c r="A230" s="24"/>
      <c r="B230" s="26"/>
      <c r="C230" s="26"/>
      <c r="D230" s="27"/>
      <c r="J230" s="25"/>
      <c r="K230" s="25"/>
      <c r="L230" s="25"/>
    </row>
    <row r="231" spans="1:12" s="20" customFormat="1" x14ac:dyDescent="0.25">
      <c r="A231" s="24"/>
      <c r="B231" s="26"/>
      <c r="C231" s="26"/>
      <c r="D231" s="27"/>
      <c r="J231" s="25"/>
      <c r="K231" s="25"/>
      <c r="L231" s="25"/>
    </row>
    <row r="232" spans="1:12" s="20" customFormat="1" x14ac:dyDescent="0.25">
      <c r="A232" s="24"/>
      <c r="B232" s="26"/>
      <c r="C232" s="26"/>
      <c r="D232" s="27"/>
      <c r="J232" s="25"/>
      <c r="K232" s="25"/>
      <c r="L232" s="25"/>
    </row>
    <row r="233" spans="1:12" s="20" customFormat="1" x14ac:dyDescent="0.25">
      <c r="A233" s="24"/>
      <c r="B233" s="26"/>
      <c r="C233" s="26"/>
      <c r="D233" s="27"/>
      <c r="J233" s="25"/>
      <c r="K233" s="25"/>
      <c r="L233" s="25"/>
    </row>
    <row r="234" spans="1:12" s="20" customFormat="1" x14ac:dyDescent="0.25">
      <c r="A234" s="24"/>
      <c r="B234" s="26"/>
      <c r="C234" s="26"/>
      <c r="D234" s="27"/>
      <c r="J234" s="25"/>
      <c r="K234" s="25"/>
      <c r="L234" s="25"/>
    </row>
    <row r="235" spans="1:12" s="20" customFormat="1" x14ac:dyDescent="0.25">
      <c r="A235" s="24"/>
      <c r="B235" s="26"/>
      <c r="C235" s="26"/>
      <c r="D235" s="27"/>
      <c r="J235" s="25"/>
      <c r="K235" s="25"/>
      <c r="L235" s="25"/>
    </row>
    <row r="236" spans="1:12" s="20" customFormat="1" x14ac:dyDescent="0.25">
      <c r="A236" s="24"/>
      <c r="B236" s="26"/>
      <c r="C236" s="26"/>
      <c r="D236" s="27"/>
      <c r="J236" s="25"/>
      <c r="K236" s="25"/>
      <c r="L236" s="25"/>
    </row>
    <row r="237" spans="1:12" s="20" customFormat="1" x14ac:dyDescent="0.25">
      <c r="A237" s="24"/>
      <c r="B237" s="26"/>
      <c r="C237" s="26"/>
      <c r="D237" s="27"/>
      <c r="J237" s="25"/>
      <c r="K237" s="25"/>
      <c r="L237" s="25"/>
    </row>
    <row r="238" spans="1:12" s="20" customFormat="1" x14ac:dyDescent="0.25">
      <c r="A238" s="24"/>
      <c r="B238" s="26"/>
      <c r="C238" s="26"/>
      <c r="D238" s="27"/>
      <c r="J238" s="25"/>
      <c r="K238" s="25"/>
      <c r="L238" s="25"/>
    </row>
    <row r="239" spans="1:12" s="20" customFormat="1" x14ac:dyDescent="0.25">
      <c r="A239" s="24"/>
      <c r="B239" s="26"/>
      <c r="C239" s="26"/>
      <c r="D239" s="27"/>
      <c r="J239" s="25"/>
      <c r="K239" s="25"/>
      <c r="L239" s="25"/>
    </row>
    <row r="240" spans="1:12" s="20" customFormat="1" x14ac:dyDescent="0.25">
      <c r="A240" s="24"/>
      <c r="B240" s="26"/>
      <c r="C240" s="26"/>
      <c r="D240" s="27"/>
      <c r="J240" s="25"/>
      <c r="K240" s="25"/>
      <c r="L240" s="25"/>
    </row>
  </sheetData>
  <autoFilter ref="B17:DA240"/>
  <conditionalFormatting sqref="C12">
    <cfRule type="cellIs" dxfId="3" priority="10" operator="equal">
      <formula>"Да"</formula>
    </cfRule>
    <cfRule type="cellIs" dxfId="2" priority="11" operator="notEqual">
      <formula>"Да"</formula>
    </cfRule>
  </conditionalFormatting>
  <conditionalFormatting sqref="K18:K200">
    <cfRule type="expression" dxfId="1" priority="2">
      <formula>IF($K18&lt;&gt;"",IF($K18&lt;TODAY(),TRUE,FALSE),FALSE)</formula>
    </cfRule>
  </conditionalFormatting>
  <conditionalFormatting sqref="L18:L200">
    <cfRule type="expression" dxfId="0" priority="1">
      <formula>IF($L18&lt;&gt;"",IF($L18&gt;TODAY(),TRUE,FALSE),FALSE)</formula>
    </cfRule>
  </conditionalFormatting>
  <dataValidations count="1">
    <dataValidation type="list" allowBlank="1" showInputMessage="1" showErrorMessage="1" sqref="C12">
      <formula1>"Да,Нет"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load">
                <anchor moveWithCells="1" sizeWithCells="1">
                  <from>
                    <xdr:col>1</xdr:col>
                    <xdr:colOff>9525</xdr:colOff>
                    <xdr:row>0</xdr:row>
                    <xdr:rowOff>38100</xdr:rowOff>
                  </from>
                  <to>
                    <xdr:col>1</xdr:col>
                    <xdr:colOff>2009775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ontent">
                <anchor moveWithCells="1" sizeWithCells="1">
                  <from>
                    <xdr:col>0</xdr:col>
                    <xdr:colOff>19050</xdr:colOff>
                    <xdr:row>16</xdr:row>
                    <xdr:rowOff>19050</xdr:rowOff>
                  </from>
                  <to>
                    <xdr:col>0</xdr:col>
                    <xdr:colOff>561975</xdr:colOff>
                    <xdr:row>16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200"/>
  <sheetViews>
    <sheetView workbookViewId="0">
      <selection activeCell="L5" sqref="L5:L7"/>
    </sheetView>
  </sheetViews>
  <sheetFormatPr defaultRowHeight="15" x14ac:dyDescent="0.25"/>
  <cols>
    <col min="1" max="4" width="9.140625" style="7"/>
  </cols>
  <sheetData>
    <row r="1" spans="1:12" x14ac:dyDescent="0.25">
      <c r="A1" s="8">
        <v>1</v>
      </c>
      <c r="B1" s="8" t="s">
        <v>17</v>
      </c>
      <c r="C1" s="8">
        <v>1</v>
      </c>
      <c r="D1" s="8" t="s">
        <v>17</v>
      </c>
      <c r="E1" t="s">
        <v>59</v>
      </c>
      <c r="I1" s="9" t="s">
        <v>43</v>
      </c>
      <c r="J1" s="10" t="str">
        <f>CHAR(73+ROW()-ROW($B$9))</f>
        <v>A</v>
      </c>
    </row>
    <row r="2" spans="1:12" x14ac:dyDescent="0.25">
      <c r="A2" s="8">
        <v>2</v>
      </c>
      <c r="B2" s="8" t="s">
        <v>18</v>
      </c>
      <c r="C2" s="8">
        <v>2</v>
      </c>
      <c r="D2" s="8" t="s">
        <v>18</v>
      </c>
      <c r="E2" t="s">
        <v>60</v>
      </c>
    </row>
    <row r="3" spans="1:12" x14ac:dyDescent="0.25">
      <c r="A3" s="8">
        <v>3</v>
      </c>
      <c r="B3" s="8" t="s">
        <v>19</v>
      </c>
      <c r="C3" s="8">
        <v>3</v>
      </c>
      <c r="D3" s="8" t="s">
        <v>19</v>
      </c>
      <c r="E3" t="s">
        <v>61</v>
      </c>
      <c r="G3" t="s">
        <v>52</v>
      </c>
      <c r="H3" t="s">
        <v>44</v>
      </c>
      <c r="J3">
        <v>2697</v>
      </c>
      <c r="L3" t="s">
        <v>316</v>
      </c>
    </row>
    <row r="4" spans="1:12" x14ac:dyDescent="0.25">
      <c r="A4" s="8">
        <v>4</v>
      </c>
      <c r="B4" s="8" t="s">
        <v>20</v>
      </c>
      <c r="C4" s="8">
        <v>4</v>
      </c>
      <c r="D4" s="8" t="s">
        <v>20</v>
      </c>
      <c r="E4" t="s">
        <v>62</v>
      </c>
      <c r="G4" t="s">
        <v>53</v>
      </c>
      <c r="H4" t="s">
        <v>45</v>
      </c>
      <c r="J4">
        <v>3618</v>
      </c>
      <c r="L4" t="s">
        <v>317</v>
      </c>
    </row>
    <row r="5" spans="1:12" x14ac:dyDescent="0.25">
      <c r="A5" s="8">
        <v>5</v>
      </c>
      <c r="B5" s="8" t="s">
        <v>21</v>
      </c>
      <c r="C5" s="8">
        <v>5</v>
      </c>
      <c r="D5" s="8" t="s">
        <v>21</v>
      </c>
      <c r="E5" t="s">
        <v>63</v>
      </c>
      <c r="G5" t="s">
        <v>54</v>
      </c>
      <c r="H5" t="s">
        <v>46</v>
      </c>
      <c r="J5">
        <v>3966</v>
      </c>
      <c r="L5" t="s">
        <v>318</v>
      </c>
    </row>
    <row r="6" spans="1:12" x14ac:dyDescent="0.25">
      <c r="A6" s="8">
        <v>6</v>
      </c>
      <c r="B6" s="8" t="s">
        <v>22</v>
      </c>
      <c r="C6" s="8">
        <v>6</v>
      </c>
      <c r="D6" s="8" t="s">
        <v>22</v>
      </c>
      <c r="E6" t="s">
        <v>64</v>
      </c>
      <c r="G6" t="s">
        <v>55</v>
      </c>
      <c r="H6" t="s">
        <v>47</v>
      </c>
      <c r="J6">
        <v>2495</v>
      </c>
      <c r="L6" t="s">
        <v>319</v>
      </c>
    </row>
    <row r="7" spans="1:12" x14ac:dyDescent="0.25">
      <c r="A7" s="8">
        <v>7</v>
      </c>
      <c r="B7" s="8" t="s">
        <v>23</v>
      </c>
      <c r="C7" s="8">
        <v>7</v>
      </c>
      <c r="D7" s="8" t="s">
        <v>23</v>
      </c>
      <c r="E7" t="s">
        <v>65</v>
      </c>
      <c r="G7" t="s">
        <v>56</v>
      </c>
      <c r="H7" t="s">
        <v>48</v>
      </c>
      <c r="J7">
        <v>3824</v>
      </c>
      <c r="L7" t="s">
        <v>320</v>
      </c>
    </row>
    <row r="8" spans="1:12" x14ac:dyDescent="0.25">
      <c r="A8" s="8">
        <v>8</v>
      </c>
      <c r="B8" s="8" t="s">
        <v>24</v>
      </c>
      <c r="C8" s="8">
        <v>8</v>
      </c>
      <c r="D8" s="8" t="s">
        <v>24</v>
      </c>
      <c r="E8" t="s">
        <v>66</v>
      </c>
      <c r="G8" t="s">
        <v>57</v>
      </c>
      <c r="H8" t="s">
        <v>49</v>
      </c>
      <c r="J8">
        <v>2022</v>
      </c>
      <c r="L8" t="s">
        <v>321</v>
      </c>
    </row>
    <row r="9" spans="1:12" x14ac:dyDescent="0.25">
      <c r="A9" s="8">
        <v>9</v>
      </c>
      <c r="B9" s="8" t="s">
        <v>25</v>
      </c>
      <c r="C9" s="8">
        <v>9</v>
      </c>
      <c r="D9" s="8" t="s">
        <v>25</v>
      </c>
      <c r="E9" t="s">
        <v>67</v>
      </c>
      <c r="G9" t="s">
        <v>58</v>
      </c>
      <c r="H9" t="s">
        <v>50</v>
      </c>
      <c r="J9">
        <v>2766</v>
      </c>
      <c r="L9" t="s">
        <v>322</v>
      </c>
    </row>
    <row r="10" spans="1:12" x14ac:dyDescent="0.25">
      <c r="A10" s="8"/>
      <c r="B10" s="8" t="s">
        <v>26</v>
      </c>
      <c r="C10" s="8"/>
      <c r="D10" s="8" t="s">
        <v>26</v>
      </c>
      <c r="E10" t="s">
        <v>68</v>
      </c>
      <c r="H10" t="s">
        <v>51</v>
      </c>
      <c r="L10" t="s">
        <v>323</v>
      </c>
    </row>
    <row r="11" spans="1:12" x14ac:dyDescent="0.25">
      <c r="A11" s="8"/>
      <c r="B11" s="8" t="s">
        <v>27</v>
      </c>
      <c r="C11" s="8"/>
      <c r="D11" s="8" t="s">
        <v>27</v>
      </c>
      <c r="E11" t="s">
        <v>69</v>
      </c>
      <c r="H11" t="s">
        <v>52</v>
      </c>
      <c r="L11" t="s">
        <v>324</v>
      </c>
    </row>
    <row r="12" spans="1:12" x14ac:dyDescent="0.25">
      <c r="A12" s="8"/>
      <c r="B12" s="8" t="s">
        <v>28</v>
      </c>
      <c r="C12" s="8"/>
      <c r="D12" s="8" t="s">
        <v>28</v>
      </c>
      <c r="E12" t="s">
        <v>70</v>
      </c>
      <c r="L12" t="s">
        <v>325</v>
      </c>
    </row>
    <row r="13" spans="1:12" x14ac:dyDescent="0.25">
      <c r="A13" s="8"/>
      <c r="B13" s="8" t="s">
        <v>29</v>
      </c>
      <c r="C13" s="8"/>
      <c r="D13" s="8" t="s">
        <v>29</v>
      </c>
      <c r="E13" t="s">
        <v>71</v>
      </c>
      <c r="L13" t="s">
        <v>326</v>
      </c>
    </row>
    <row r="14" spans="1:12" x14ac:dyDescent="0.25">
      <c r="A14" s="8"/>
      <c r="B14" s="8" t="s">
        <v>30</v>
      </c>
      <c r="C14" s="8"/>
      <c r="D14" s="8" t="s">
        <v>30</v>
      </c>
      <c r="E14" t="s">
        <v>72</v>
      </c>
    </row>
    <row r="15" spans="1:12" x14ac:dyDescent="0.25">
      <c r="A15" s="8"/>
      <c r="B15" s="8" t="s">
        <v>31</v>
      </c>
      <c r="C15" s="8"/>
      <c r="D15" s="8" t="s">
        <v>31</v>
      </c>
      <c r="E15" t="s">
        <v>73</v>
      </c>
    </row>
    <row r="16" spans="1:12" x14ac:dyDescent="0.25">
      <c r="A16" s="8"/>
      <c r="B16" s="8" t="s">
        <v>32</v>
      </c>
      <c r="C16" s="8"/>
      <c r="D16" s="8" t="s">
        <v>32</v>
      </c>
      <c r="E16" t="s">
        <v>74</v>
      </c>
    </row>
    <row r="17" spans="1:5" x14ac:dyDescent="0.25">
      <c r="A17" s="8"/>
      <c r="B17" s="8" t="s">
        <v>33</v>
      </c>
      <c r="C17" s="8"/>
      <c r="D17" s="8" t="s">
        <v>33</v>
      </c>
      <c r="E17" t="s">
        <v>75</v>
      </c>
    </row>
    <row r="18" spans="1:5" x14ac:dyDescent="0.25">
      <c r="A18" s="8"/>
      <c r="B18" s="8" t="s">
        <v>34</v>
      </c>
      <c r="C18" s="8"/>
      <c r="D18" s="8" t="s">
        <v>34</v>
      </c>
      <c r="E18" t="s">
        <v>76</v>
      </c>
    </row>
    <row r="19" spans="1:5" x14ac:dyDescent="0.25">
      <c r="A19" s="8"/>
      <c r="B19" s="8" t="s">
        <v>35</v>
      </c>
      <c r="C19" s="8"/>
      <c r="D19" s="8" t="s">
        <v>35</v>
      </c>
      <c r="E19" t="s">
        <v>77</v>
      </c>
    </row>
    <row r="20" spans="1:5" x14ac:dyDescent="0.25">
      <c r="A20" s="8"/>
      <c r="B20" s="8" t="s">
        <v>36</v>
      </c>
      <c r="C20" s="8"/>
      <c r="D20" s="8" t="s">
        <v>36</v>
      </c>
      <c r="E20" t="s">
        <v>78</v>
      </c>
    </row>
    <row r="21" spans="1:5" x14ac:dyDescent="0.25">
      <c r="A21" s="8"/>
      <c r="B21" s="8" t="s">
        <v>37</v>
      </c>
      <c r="C21" s="8"/>
      <c r="D21" s="8" t="s">
        <v>37</v>
      </c>
      <c r="E21" t="s">
        <v>79</v>
      </c>
    </row>
    <row r="22" spans="1:5" x14ac:dyDescent="0.25">
      <c r="A22" s="8"/>
      <c r="B22" s="8" t="s">
        <v>38</v>
      </c>
      <c r="C22" s="8"/>
      <c r="D22" s="8" t="s">
        <v>38</v>
      </c>
      <c r="E22" t="s">
        <v>80</v>
      </c>
    </row>
    <row r="23" spans="1:5" x14ac:dyDescent="0.25">
      <c r="A23" s="8"/>
      <c r="B23" s="8" t="s">
        <v>39</v>
      </c>
      <c r="C23" s="8"/>
      <c r="D23" s="8" t="s">
        <v>39</v>
      </c>
      <c r="E23" t="s">
        <v>81</v>
      </c>
    </row>
    <row r="24" spans="1:5" x14ac:dyDescent="0.25">
      <c r="A24" s="8"/>
      <c r="B24" s="8" t="s">
        <v>40</v>
      </c>
      <c r="C24" s="8"/>
      <c r="D24" s="8" t="s">
        <v>40</v>
      </c>
      <c r="E24" t="s">
        <v>82</v>
      </c>
    </row>
    <row r="25" spans="1:5" x14ac:dyDescent="0.25">
      <c r="A25" s="8"/>
      <c r="B25" s="8" t="s">
        <v>41</v>
      </c>
      <c r="C25" s="8"/>
      <c r="D25" s="8" t="s">
        <v>41</v>
      </c>
      <c r="E25" t="s">
        <v>83</v>
      </c>
    </row>
    <row r="26" spans="1:5" x14ac:dyDescent="0.25">
      <c r="A26" s="8"/>
      <c r="B26" s="8" t="s">
        <v>42</v>
      </c>
      <c r="C26" s="8"/>
      <c r="D26" s="8" t="s">
        <v>42</v>
      </c>
      <c r="E26" t="s">
        <v>84</v>
      </c>
    </row>
    <row r="27" spans="1:5" x14ac:dyDescent="0.25">
      <c r="E27" t="s">
        <v>85</v>
      </c>
    </row>
    <row r="28" spans="1:5" x14ac:dyDescent="0.25">
      <c r="E28" t="s">
        <v>86</v>
      </c>
    </row>
    <row r="29" spans="1:5" x14ac:dyDescent="0.25">
      <c r="E29" t="s">
        <v>87</v>
      </c>
    </row>
    <row r="30" spans="1:5" x14ac:dyDescent="0.25">
      <c r="E30" t="s">
        <v>88</v>
      </c>
    </row>
    <row r="31" spans="1:5" x14ac:dyDescent="0.25">
      <c r="E31" t="s">
        <v>89</v>
      </c>
    </row>
    <row r="32" spans="1:5" x14ac:dyDescent="0.25">
      <c r="E32" t="s">
        <v>90</v>
      </c>
    </row>
    <row r="33" spans="5:5" x14ac:dyDescent="0.25">
      <c r="E33" t="s">
        <v>91</v>
      </c>
    </row>
    <row r="34" spans="5:5" x14ac:dyDescent="0.25">
      <c r="E34" t="s">
        <v>92</v>
      </c>
    </row>
    <row r="35" spans="5:5" x14ac:dyDescent="0.25">
      <c r="E35" t="s">
        <v>93</v>
      </c>
    </row>
    <row r="36" spans="5:5" x14ac:dyDescent="0.25">
      <c r="E36" t="s">
        <v>94</v>
      </c>
    </row>
    <row r="37" spans="5:5" x14ac:dyDescent="0.25">
      <c r="E37" t="s">
        <v>95</v>
      </c>
    </row>
    <row r="38" spans="5:5" x14ac:dyDescent="0.25">
      <c r="E38" t="s">
        <v>96</v>
      </c>
    </row>
    <row r="39" spans="5:5" x14ac:dyDescent="0.25">
      <c r="E39" t="s">
        <v>97</v>
      </c>
    </row>
    <row r="40" spans="5:5" x14ac:dyDescent="0.25">
      <c r="E40" t="s">
        <v>98</v>
      </c>
    </row>
    <row r="41" spans="5:5" x14ac:dyDescent="0.25">
      <c r="E41" t="s">
        <v>99</v>
      </c>
    </row>
    <row r="42" spans="5:5" x14ac:dyDescent="0.25">
      <c r="E42" t="s">
        <v>100</v>
      </c>
    </row>
    <row r="43" spans="5:5" x14ac:dyDescent="0.25">
      <c r="E43" t="s">
        <v>101</v>
      </c>
    </row>
    <row r="44" spans="5:5" x14ac:dyDescent="0.25">
      <c r="E44" t="s">
        <v>102</v>
      </c>
    </row>
    <row r="45" spans="5:5" x14ac:dyDescent="0.25">
      <c r="E45" t="s">
        <v>103</v>
      </c>
    </row>
    <row r="46" spans="5:5" x14ac:dyDescent="0.25">
      <c r="E46" t="s">
        <v>104</v>
      </c>
    </row>
    <row r="47" spans="5:5" x14ac:dyDescent="0.25">
      <c r="E47" t="s">
        <v>105</v>
      </c>
    </row>
    <row r="48" spans="5:5" x14ac:dyDescent="0.25">
      <c r="E48" t="s">
        <v>106</v>
      </c>
    </row>
    <row r="49" spans="5:5" x14ac:dyDescent="0.25">
      <c r="E49" t="s">
        <v>107</v>
      </c>
    </row>
    <row r="50" spans="5:5" x14ac:dyDescent="0.25">
      <c r="E50" t="s">
        <v>108</v>
      </c>
    </row>
    <row r="51" spans="5:5" x14ac:dyDescent="0.25">
      <c r="E51" t="s">
        <v>109</v>
      </c>
    </row>
    <row r="52" spans="5:5" x14ac:dyDescent="0.25">
      <c r="E52" t="s">
        <v>110</v>
      </c>
    </row>
    <row r="53" spans="5:5" x14ac:dyDescent="0.25">
      <c r="E53" t="s">
        <v>111</v>
      </c>
    </row>
    <row r="54" spans="5:5" x14ac:dyDescent="0.25">
      <c r="E54" t="s">
        <v>112</v>
      </c>
    </row>
    <row r="55" spans="5:5" x14ac:dyDescent="0.25">
      <c r="E55" t="s">
        <v>113</v>
      </c>
    </row>
    <row r="56" spans="5:5" x14ac:dyDescent="0.25">
      <c r="E56" t="s">
        <v>114</v>
      </c>
    </row>
    <row r="57" spans="5:5" x14ac:dyDescent="0.25">
      <c r="E57" t="s">
        <v>115</v>
      </c>
    </row>
    <row r="58" spans="5:5" x14ac:dyDescent="0.25">
      <c r="E58" t="s">
        <v>116</v>
      </c>
    </row>
    <row r="59" spans="5:5" x14ac:dyDescent="0.25">
      <c r="E59" t="s">
        <v>117</v>
      </c>
    </row>
    <row r="60" spans="5:5" x14ac:dyDescent="0.25">
      <c r="E60" t="s">
        <v>118</v>
      </c>
    </row>
    <row r="61" spans="5:5" x14ac:dyDescent="0.25">
      <c r="E61" t="s">
        <v>119</v>
      </c>
    </row>
    <row r="62" spans="5:5" x14ac:dyDescent="0.25">
      <c r="E62" t="s">
        <v>120</v>
      </c>
    </row>
    <row r="63" spans="5:5" x14ac:dyDescent="0.25">
      <c r="E63" t="s">
        <v>121</v>
      </c>
    </row>
    <row r="64" spans="5:5" x14ac:dyDescent="0.25">
      <c r="E64" t="s">
        <v>122</v>
      </c>
    </row>
    <row r="65" spans="5:5" x14ac:dyDescent="0.25">
      <c r="E65" t="s">
        <v>123</v>
      </c>
    </row>
    <row r="66" spans="5:5" x14ac:dyDescent="0.25">
      <c r="E66" t="s">
        <v>124</v>
      </c>
    </row>
    <row r="67" spans="5:5" x14ac:dyDescent="0.25">
      <c r="E67" t="s">
        <v>125</v>
      </c>
    </row>
    <row r="68" spans="5:5" x14ac:dyDescent="0.25">
      <c r="E68" t="s">
        <v>126</v>
      </c>
    </row>
    <row r="69" spans="5:5" x14ac:dyDescent="0.25">
      <c r="E69" t="s">
        <v>127</v>
      </c>
    </row>
    <row r="70" spans="5:5" x14ac:dyDescent="0.25">
      <c r="E70" t="s">
        <v>128</v>
      </c>
    </row>
    <row r="71" spans="5:5" x14ac:dyDescent="0.25">
      <c r="E71" t="s">
        <v>129</v>
      </c>
    </row>
    <row r="72" spans="5:5" x14ac:dyDescent="0.25">
      <c r="E72" t="s">
        <v>130</v>
      </c>
    </row>
    <row r="73" spans="5:5" x14ac:dyDescent="0.25">
      <c r="E73" t="s">
        <v>131</v>
      </c>
    </row>
    <row r="74" spans="5:5" x14ac:dyDescent="0.25">
      <c r="E74" t="s">
        <v>132</v>
      </c>
    </row>
    <row r="75" spans="5:5" x14ac:dyDescent="0.25">
      <c r="E75" t="s">
        <v>133</v>
      </c>
    </row>
    <row r="76" spans="5:5" x14ac:dyDescent="0.25">
      <c r="E76" t="s">
        <v>134</v>
      </c>
    </row>
    <row r="77" spans="5:5" x14ac:dyDescent="0.25">
      <c r="E77" t="s">
        <v>135</v>
      </c>
    </row>
    <row r="78" spans="5:5" x14ac:dyDescent="0.25">
      <c r="E78" t="s">
        <v>136</v>
      </c>
    </row>
    <row r="79" spans="5:5" x14ac:dyDescent="0.25">
      <c r="E79" t="s">
        <v>137</v>
      </c>
    </row>
    <row r="80" spans="5:5" x14ac:dyDescent="0.25">
      <c r="E80" t="s">
        <v>138</v>
      </c>
    </row>
    <row r="81" spans="5:5" x14ac:dyDescent="0.25">
      <c r="E81" t="s">
        <v>139</v>
      </c>
    </row>
    <row r="82" spans="5:5" x14ac:dyDescent="0.25">
      <c r="E82" t="s">
        <v>140</v>
      </c>
    </row>
    <row r="83" spans="5:5" x14ac:dyDescent="0.25">
      <c r="E83" t="s">
        <v>141</v>
      </c>
    </row>
    <row r="84" spans="5:5" x14ac:dyDescent="0.25">
      <c r="E84" t="s">
        <v>142</v>
      </c>
    </row>
    <row r="85" spans="5:5" x14ac:dyDescent="0.25">
      <c r="E85" t="s">
        <v>143</v>
      </c>
    </row>
    <row r="86" spans="5:5" x14ac:dyDescent="0.25">
      <c r="E86" t="s">
        <v>144</v>
      </c>
    </row>
    <row r="87" spans="5:5" x14ac:dyDescent="0.25">
      <c r="E87" t="s">
        <v>145</v>
      </c>
    </row>
    <row r="88" spans="5:5" x14ac:dyDescent="0.25">
      <c r="E88" t="s">
        <v>146</v>
      </c>
    </row>
    <row r="89" spans="5:5" x14ac:dyDescent="0.25">
      <c r="E89" t="s">
        <v>147</v>
      </c>
    </row>
    <row r="90" spans="5:5" x14ac:dyDescent="0.25">
      <c r="E90" t="s">
        <v>148</v>
      </c>
    </row>
    <row r="91" spans="5:5" x14ac:dyDescent="0.25">
      <c r="E91" t="s">
        <v>149</v>
      </c>
    </row>
    <row r="92" spans="5:5" x14ac:dyDescent="0.25">
      <c r="E92" t="s">
        <v>150</v>
      </c>
    </row>
    <row r="93" spans="5:5" x14ac:dyDescent="0.25">
      <c r="E93" t="s">
        <v>151</v>
      </c>
    </row>
    <row r="94" spans="5:5" x14ac:dyDescent="0.25">
      <c r="E94" t="s">
        <v>152</v>
      </c>
    </row>
    <row r="95" spans="5:5" x14ac:dyDescent="0.25">
      <c r="E95" t="s">
        <v>153</v>
      </c>
    </row>
    <row r="96" spans="5:5" x14ac:dyDescent="0.25">
      <c r="E96" t="s">
        <v>154</v>
      </c>
    </row>
    <row r="97" spans="5:5" x14ac:dyDescent="0.25">
      <c r="E97" t="s">
        <v>155</v>
      </c>
    </row>
    <row r="98" spans="5:5" x14ac:dyDescent="0.25">
      <c r="E98" t="s">
        <v>156</v>
      </c>
    </row>
    <row r="99" spans="5:5" x14ac:dyDescent="0.25">
      <c r="E99" t="s">
        <v>157</v>
      </c>
    </row>
    <row r="100" spans="5:5" x14ac:dyDescent="0.25">
      <c r="E100" t="s">
        <v>158</v>
      </c>
    </row>
    <row r="101" spans="5:5" x14ac:dyDescent="0.25">
      <c r="E101" t="s">
        <v>159</v>
      </c>
    </row>
    <row r="102" spans="5:5" x14ac:dyDescent="0.25">
      <c r="E102" t="s">
        <v>160</v>
      </c>
    </row>
    <row r="103" spans="5:5" x14ac:dyDescent="0.25">
      <c r="E103" t="s">
        <v>161</v>
      </c>
    </row>
    <row r="104" spans="5:5" x14ac:dyDescent="0.25">
      <c r="E104" t="s">
        <v>162</v>
      </c>
    </row>
    <row r="105" spans="5:5" x14ac:dyDescent="0.25">
      <c r="E105" t="s">
        <v>163</v>
      </c>
    </row>
    <row r="106" spans="5:5" x14ac:dyDescent="0.25">
      <c r="E106" t="s">
        <v>164</v>
      </c>
    </row>
    <row r="107" spans="5:5" x14ac:dyDescent="0.25">
      <c r="E107" t="s">
        <v>165</v>
      </c>
    </row>
    <row r="108" spans="5:5" x14ac:dyDescent="0.25">
      <c r="E108" t="s">
        <v>166</v>
      </c>
    </row>
    <row r="109" spans="5:5" x14ac:dyDescent="0.25">
      <c r="E109" t="s">
        <v>167</v>
      </c>
    </row>
    <row r="110" spans="5:5" x14ac:dyDescent="0.25">
      <c r="E110" t="s">
        <v>168</v>
      </c>
    </row>
    <row r="111" spans="5:5" x14ac:dyDescent="0.25">
      <c r="E111" t="s">
        <v>169</v>
      </c>
    </row>
    <row r="112" spans="5:5" x14ac:dyDescent="0.25">
      <c r="E112" t="s">
        <v>170</v>
      </c>
    </row>
    <row r="113" spans="5:5" x14ac:dyDescent="0.25">
      <c r="E113" t="s">
        <v>171</v>
      </c>
    </row>
    <row r="114" spans="5:5" x14ac:dyDescent="0.25">
      <c r="E114" t="s">
        <v>172</v>
      </c>
    </row>
    <row r="115" spans="5:5" x14ac:dyDescent="0.25">
      <c r="E115" t="s">
        <v>173</v>
      </c>
    </row>
    <row r="116" spans="5:5" x14ac:dyDescent="0.25">
      <c r="E116" t="s">
        <v>174</v>
      </c>
    </row>
    <row r="117" spans="5:5" x14ac:dyDescent="0.25">
      <c r="E117" t="s">
        <v>175</v>
      </c>
    </row>
    <row r="118" spans="5:5" x14ac:dyDescent="0.25">
      <c r="E118" t="s">
        <v>176</v>
      </c>
    </row>
    <row r="119" spans="5:5" x14ac:dyDescent="0.25">
      <c r="E119" t="s">
        <v>177</v>
      </c>
    </row>
    <row r="120" spans="5:5" x14ac:dyDescent="0.25">
      <c r="E120" t="s">
        <v>178</v>
      </c>
    </row>
    <row r="121" spans="5:5" x14ac:dyDescent="0.25">
      <c r="E121" t="s">
        <v>179</v>
      </c>
    </row>
    <row r="122" spans="5:5" x14ac:dyDescent="0.25">
      <c r="E122" t="s">
        <v>180</v>
      </c>
    </row>
    <row r="123" spans="5:5" x14ac:dyDescent="0.25">
      <c r="E123" t="s">
        <v>181</v>
      </c>
    </row>
    <row r="124" spans="5:5" x14ac:dyDescent="0.25">
      <c r="E124" t="s">
        <v>182</v>
      </c>
    </row>
    <row r="125" spans="5:5" x14ac:dyDescent="0.25">
      <c r="E125" t="s">
        <v>183</v>
      </c>
    </row>
    <row r="126" spans="5:5" x14ac:dyDescent="0.25">
      <c r="E126" t="s">
        <v>184</v>
      </c>
    </row>
    <row r="127" spans="5:5" x14ac:dyDescent="0.25">
      <c r="E127" t="s">
        <v>185</v>
      </c>
    </row>
    <row r="128" spans="5:5" x14ac:dyDescent="0.25">
      <c r="E128" t="s">
        <v>186</v>
      </c>
    </row>
    <row r="129" spans="5:5" x14ac:dyDescent="0.25">
      <c r="E129" t="s">
        <v>187</v>
      </c>
    </row>
    <row r="130" spans="5:5" x14ac:dyDescent="0.25">
      <c r="E130" t="s">
        <v>188</v>
      </c>
    </row>
    <row r="131" spans="5:5" x14ac:dyDescent="0.25">
      <c r="E131" t="s">
        <v>189</v>
      </c>
    </row>
    <row r="132" spans="5:5" x14ac:dyDescent="0.25">
      <c r="E132" t="s">
        <v>190</v>
      </c>
    </row>
    <row r="133" spans="5:5" x14ac:dyDescent="0.25">
      <c r="E133" t="s">
        <v>191</v>
      </c>
    </row>
    <row r="134" spans="5:5" x14ac:dyDescent="0.25">
      <c r="E134" t="s">
        <v>192</v>
      </c>
    </row>
    <row r="135" spans="5:5" x14ac:dyDescent="0.25">
      <c r="E135" t="s">
        <v>193</v>
      </c>
    </row>
    <row r="136" spans="5:5" x14ac:dyDescent="0.25">
      <c r="E136" t="s">
        <v>194</v>
      </c>
    </row>
    <row r="137" spans="5:5" x14ac:dyDescent="0.25">
      <c r="E137" t="s">
        <v>195</v>
      </c>
    </row>
    <row r="138" spans="5:5" x14ac:dyDescent="0.25">
      <c r="E138" t="s">
        <v>196</v>
      </c>
    </row>
    <row r="139" spans="5:5" x14ac:dyDescent="0.25">
      <c r="E139" t="s">
        <v>197</v>
      </c>
    </row>
    <row r="140" spans="5:5" x14ac:dyDescent="0.25">
      <c r="E140" t="s">
        <v>198</v>
      </c>
    </row>
    <row r="141" spans="5:5" x14ac:dyDescent="0.25">
      <c r="E141" t="s">
        <v>199</v>
      </c>
    </row>
    <row r="142" spans="5:5" x14ac:dyDescent="0.25">
      <c r="E142" t="s">
        <v>200</v>
      </c>
    </row>
    <row r="143" spans="5:5" x14ac:dyDescent="0.25">
      <c r="E143" t="s">
        <v>201</v>
      </c>
    </row>
    <row r="144" spans="5:5" x14ac:dyDescent="0.25">
      <c r="E144" t="s">
        <v>202</v>
      </c>
    </row>
    <row r="145" spans="5:5" x14ac:dyDescent="0.25">
      <c r="E145" t="s">
        <v>203</v>
      </c>
    </row>
    <row r="146" spans="5:5" x14ac:dyDescent="0.25">
      <c r="E146" t="s">
        <v>204</v>
      </c>
    </row>
    <row r="147" spans="5:5" x14ac:dyDescent="0.25">
      <c r="E147" t="s">
        <v>205</v>
      </c>
    </row>
    <row r="148" spans="5:5" x14ac:dyDescent="0.25">
      <c r="E148" t="s">
        <v>206</v>
      </c>
    </row>
    <row r="149" spans="5:5" x14ac:dyDescent="0.25">
      <c r="E149" t="s">
        <v>207</v>
      </c>
    </row>
    <row r="150" spans="5:5" x14ac:dyDescent="0.25">
      <c r="E150" t="s">
        <v>208</v>
      </c>
    </row>
    <row r="151" spans="5:5" x14ac:dyDescent="0.25">
      <c r="E151" t="s">
        <v>209</v>
      </c>
    </row>
    <row r="152" spans="5:5" x14ac:dyDescent="0.25">
      <c r="E152" t="s">
        <v>210</v>
      </c>
    </row>
    <row r="153" spans="5:5" x14ac:dyDescent="0.25">
      <c r="E153" t="s">
        <v>211</v>
      </c>
    </row>
    <row r="154" spans="5:5" x14ac:dyDescent="0.25">
      <c r="E154" t="s">
        <v>212</v>
      </c>
    </row>
    <row r="155" spans="5:5" x14ac:dyDescent="0.25">
      <c r="E155" t="s">
        <v>213</v>
      </c>
    </row>
    <row r="156" spans="5:5" x14ac:dyDescent="0.25">
      <c r="E156" t="s">
        <v>214</v>
      </c>
    </row>
    <row r="157" spans="5:5" x14ac:dyDescent="0.25">
      <c r="E157" t="s">
        <v>215</v>
      </c>
    </row>
    <row r="158" spans="5:5" x14ac:dyDescent="0.25">
      <c r="E158" t="s">
        <v>216</v>
      </c>
    </row>
    <row r="159" spans="5:5" x14ac:dyDescent="0.25">
      <c r="E159" t="s">
        <v>217</v>
      </c>
    </row>
    <row r="160" spans="5:5" x14ac:dyDescent="0.25">
      <c r="E160" t="s">
        <v>218</v>
      </c>
    </row>
    <row r="161" spans="5:5" x14ac:dyDescent="0.25">
      <c r="E161" t="s">
        <v>219</v>
      </c>
    </row>
    <row r="162" spans="5:5" x14ac:dyDescent="0.25">
      <c r="E162" t="s">
        <v>220</v>
      </c>
    </row>
    <row r="163" spans="5:5" x14ac:dyDescent="0.25">
      <c r="E163" t="s">
        <v>221</v>
      </c>
    </row>
    <row r="164" spans="5:5" x14ac:dyDescent="0.25">
      <c r="E164" t="s">
        <v>222</v>
      </c>
    </row>
    <row r="165" spans="5:5" x14ac:dyDescent="0.25">
      <c r="E165" t="s">
        <v>223</v>
      </c>
    </row>
    <row r="166" spans="5:5" x14ac:dyDescent="0.25">
      <c r="E166" t="s">
        <v>224</v>
      </c>
    </row>
    <row r="167" spans="5:5" x14ac:dyDescent="0.25">
      <c r="E167" t="s">
        <v>225</v>
      </c>
    </row>
    <row r="168" spans="5:5" x14ac:dyDescent="0.25">
      <c r="E168" t="s">
        <v>226</v>
      </c>
    </row>
    <row r="169" spans="5:5" x14ac:dyDescent="0.25">
      <c r="E169" t="s">
        <v>227</v>
      </c>
    </row>
    <row r="170" spans="5:5" x14ac:dyDescent="0.25">
      <c r="E170" t="s">
        <v>228</v>
      </c>
    </row>
    <row r="171" spans="5:5" x14ac:dyDescent="0.25">
      <c r="E171" t="s">
        <v>229</v>
      </c>
    </row>
    <row r="172" spans="5:5" x14ac:dyDescent="0.25">
      <c r="E172" t="s">
        <v>230</v>
      </c>
    </row>
    <row r="173" spans="5:5" x14ac:dyDescent="0.25">
      <c r="E173" t="s">
        <v>231</v>
      </c>
    </row>
    <row r="174" spans="5:5" x14ac:dyDescent="0.25">
      <c r="E174" t="s">
        <v>232</v>
      </c>
    </row>
    <row r="175" spans="5:5" x14ac:dyDescent="0.25">
      <c r="E175" t="s">
        <v>233</v>
      </c>
    </row>
    <row r="176" spans="5:5" x14ac:dyDescent="0.25">
      <c r="E176" t="s">
        <v>234</v>
      </c>
    </row>
    <row r="177" spans="5:5" x14ac:dyDescent="0.25">
      <c r="E177" t="s">
        <v>235</v>
      </c>
    </row>
    <row r="178" spans="5:5" x14ac:dyDescent="0.25">
      <c r="E178" t="s">
        <v>236</v>
      </c>
    </row>
    <row r="179" spans="5:5" x14ac:dyDescent="0.25">
      <c r="E179" t="s">
        <v>237</v>
      </c>
    </row>
    <row r="180" spans="5:5" x14ac:dyDescent="0.25">
      <c r="E180" t="s">
        <v>238</v>
      </c>
    </row>
    <row r="181" spans="5:5" x14ac:dyDescent="0.25">
      <c r="E181" t="s">
        <v>239</v>
      </c>
    </row>
    <row r="182" spans="5:5" x14ac:dyDescent="0.25">
      <c r="E182" t="s">
        <v>240</v>
      </c>
    </row>
    <row r="183" spans="5:5" x14ac:dyDescent="0.25">
      <c r="E183" t="s">
        <v>241</v>
      </c>
    </row>
    <row r="184" spans="5:5" x14ac:dyDescent="0.25">
      <c r="E184" t="s">
        <v>242</v>
      </c>
    </row>
    <row r="185" spans="5:5" x14ac:dyDescent="0.25">
      <c r="E185" t="s">
        <v>243</v>
      </c>
    </row>
    <row r="186" spans="5:5" x14ac:dyDescent="0.25">
      <c r="E186" t="s">
        <v>244</v>
      </c>
    </row>
    <row r="187" spans="5:5" x14ac:dyDescent="0.25">
      <c r="E187" t="s">
        <v>245</v>
      </c>
    </row>
    <row r="188" spans="5:5" x14ac:dyDescent="0.25">
      <c r="E188" t="s">
        <v>246</v>
      </c>
    </row>
    <row r="189" spans="5:5" x14ac:dyDescent="0.25">
      <c r="E189" t="s">
        <v>247</v>
      </c>
    </row>
    <row r="190" spans="5:5" x14ac:dyDescent="0.25">
      <c r="E190" t="s">
        <v>248</v>
      </c>
    </row>
    <row r="191" spans="5:5" x14ac:dyDescent="0.25">
      <c r="E191" t="s">
        <v>249</v>
      </c>
    </row>
    <row r="192" spans="5:5" x14ac:dyDescent="0.25">
      <c r="E192" t="s">
        <v>250</v>
      </c>
    </row>
    <row r="193" spans="5:5" x14ac:dyDescent="0.25">
      <c r="E193" t="s">
        <v>251</v>
      </c>
    </row>
    <row r="194" spans="5:5" x14ac:dyDescent="0.25">
      <c r="E194" t="s">
        <v>252</v>
      </c>
    </row>
    <row r="195" spans="5:5" x14ac:dyDescent="0.25">
      <c r="E195" t="s">
        <v>253</v>
      </c>
    </row>
    <row r="196" spans="5:5" x14ac:dyDescent="0.25">
      <c r="E196" t="s">
        <v>254</v>
      </c>
    </row>
    <row r="197" spans="5:5" x14ac:dyDescent="0.25">
      <c r="E197" t="s">
        <v>255</v>
      </c>
    </row>
    <row r="198" spans="5:5" x14ac:dyDescent="0.25">
      <c r="E198" t="s">
        <v>256</v>
      </c>
    </row>
    <row r="199" spans="5:5" x14ac:dyDescent="0.25">
      <c r="E199" t="s">
        <v>257</v>
      </c>
    </row>
    <row r="200" spans="5:5" x14ac:dyDescent="0.25">
      <c r="E200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64"/>
  <sheetViews>
    <sheetView topLeftCell="A42" workbookViewId="0">
      <selection activeCell="B1" sqref="B1"/>
    </sheetView>
  </sheetViews>
  <sheetFormatPr defaultRowHeight="15" x14ac:dyDescent="0.25"/>
  <cols>
    <col min="1" max="1" width="15.140625" customWidth="1"/>
  </cols>
  <sheetData>
    <row r="1" spans="1:5" x14ac:dyDescent="0.25">
      <c r="A1" t="s">
        <v>328</v>
      </c>
      <c r="B1" t="s">
        <v>357</v>
      </c>
      <c r="E1" t="s">
        <v>365</v>
      </c>
    </row>
    <row r="2" spans="1:5" x14ac:dyDescent="0.25">
      <c r="A2" t="s">
        <v>329</v>
      </c>
      <c r="B2" t="s">
        <v>358</v>
      </c>
      <c r="E2" t="s">
        <v>366</v>
      </c>
    </row>
    <row r="3" spans="1:5" x14ac:dyDescent="0.25">
      <c r="A3" t="s">
        <v>330</v>
      </c>
      <c r="B3" t="s">
        <v>359</v>
      </c>
      <c r="E3" t="s">
        <v>367</v>
      </c>
    </row>
    <row r="4" spans="1:5" x14ac:dyDescent="0.25">
      <c r="A4" t="s">
        <v>331</v>
      </c>
      <c r="B4" t="s">
        <v>360</v>
      </c>
      <c r="E4" t="s">
        <v>368</v>
      </c>
    </row>
    <row r="5" spans="1:5" x14ac:dyDescent="0.25">
      <c r="A5" t="s">
        <v>332</v>
      </c>
      <c r="B5" t="s">
        <v>361</v>
      </c>
      <c r="E5" t="s">
        <v>369</v>
      </c>
    </row>
    <row r="6" spans="1:5" x14ac:dyDescent="0.25">
      <c r="A6" t="s">
        <v>333</v>
      </c>
      <c r="B6" t="s">
        <v>362</v>
      </c>
      <c r="E6" t="s">
        <v>370</v>
      </c>
    </row>
    <row r="7" spans="1:5" x14ac:dyDescent="0.25">
      <c r="A7" t="s">
        <v>334</v>
      </c>
      <c r="B7" t="s">
        <v>363</v>
      </c>
      <c r="E7" t="s">
        <v>371</v>
      </c>
    </row>
    <row r="8" spans="1:5" x14ac:dyDescent="0.25">
      <c r="A8" t="s">
        <v>335</v>
      </c>
      <c r="B8" t="s">
        <v>364</v>
      </c>
      <c r="E8" t="s">
        <v>372</v>
      </c>
    </row>
    <row r="9" spans="1:5" x14ac:dyDescent="0.25">
      <c r="A9" t="s">
        <v>336</v>
      </c>
      <c r="B9" t="s">
        <v>347</v>
      </c>
      <c r="E9" t="s">
        <v>373</v>
      </c>
    </row>
    <row r="10" spans="1:5" x14ac:dyDescent="0.25">
      <c r="A10" t="s">
        <v>337</v>
      </c>
      <c r="B10" t="s">
        <v>348</v>
      </c>
      <c r="E10" t="s">
        <v>374</v>
      </c>
    </row>
    <row r="11" spans="1:5" x14ac:dyDescent="0.25">
      <c r="A11" t="s">
        <v>338</v>
      </c>
      <c r="B11" t="s">
        <v>349</v>
      </c>
      <c r="E11" t="s">
        <v>375</v>
      </c>
    </row>
    <row r="12" spans="1:5" x14ac:dyDescent="0.25">
      <c r="A12" t="s">
        <v>339</v>
      </c>
      <c r="B12" t="s">
        <v>350</v>
      </c>
      <c r="E12" t="s">
        <v>376</v>
      </c>
    </row>
    <row r="13" spans="1:5" x14ac:dyDescent="0.25">
      <c r="A13" t="s">
        <v>340</v>
      </c>
      <c r="B13" t="s">
        <v>351</v>
      </c>
      <c r="E13" t="s">
        <v>377</v>
      </c>
    </row>
    <row r="14" spans="1:5" x14ac:dyDescent="0.25">
      <c r="A14" t="s">
        <v>341</v>
      </c>
      <c r="B14" t="s">
        <v>352</v>
      </c>
      <c r="E14" t="s">
        <v>378</v>
      </c>
    </row>
    <row r="15" spans="1:5" x14ac:dyDescent="0.25">
      <c r="A15" t="s">
        <v>342</v>
      </c>
      <c r="B15" t="s">
        <v>353</v>
      </c>
      <c r="E15" t="s">
        <v>379</v>
      </c>
    </row>
    <row r="16" spans="1:5" x14ac:dyDescent="0.25">
      <c r="A16" t="s">
        <v>343</v>
      </c>
      <c r="B16" t="s">
        <v>354</v>
      </c>
      <c r="E16" t="s">
        <v>380</v>
      </c>
    </row>
    <row r="17" spans="1:5" x14ac:dyDescent="0.25">
      <c r="A17" t="s">
        <v>344</v>
      </c>
      <c r="B17" t="s">
        <v>355</v>
      </c>
      <c r="E17" t="s">
        <v>381</v>
      </c>
    </row>
    <row r="18" spans="1:5" x14ac:dyDescent="0.25">
      <c r="A18" t="s">
        <v>345</v>
      </c>
      <c r="B18" t="s">
        <v>356</v>
      </c>
      <c r="E18" t="s">
        <v>382</v>
      </c>
    </row>
    <row r="19" spans="1:5" x14ac:dyDescent="0.25">
      <c r="A19" t="s">
        <v>346</v>
      </c>
      <c r="E19" t="s">
        <v>383</v>
      </c>
    </row>
    <row r="20" spans="1:5" x14ac:dyDescent="0.25">
      <c r="E20" t="s">
        <v>384</v>
      </c>
    </row>
    <row r="21" spans="1:5" x14ac:dyDescent="0.25">
      <c r="E21" t="s">
        <v>385</v>
      </c>
    </row>
    <row r="22" spans="1:5" x14ac:dyDescent="0.25">
      <c r="E22" t="s">
        <v>386</v>
      </c>
    </row>
    <row r="23" spans="1:5" x14ac:dyDescent="0.25">
      <c r="E23" t="s">
        <v>387</v>
      </c>
    </row>
    <row r="24" spans="1:5" x14ac:dyDescent="0.25">
      <c r="E24" t="s">
        <v>388</v>
      </c>
    </row>
    <row r="25" spans="1:5" x14ac:dyDescent="0.25">
      <c r="E25" t="s">
        <v>389</v>
      </c>
    </row>
    <row r="26" spans="1:5" x14ac:dyDescent="0.25">
      <c r="E26" t="s">
        <v>390</v>
      </c>
    </row>
    <row r="27" spans="1:5" x14ac:dyDescent="0.25">
      <c r="E27" t="s">
        <v>391</v>
      </c>
    </row>
    <row r="28" spans="1:5" x14ac:dyDescent="0.25">
      <c r="E28" t="s">
        <v>392</v>
      </c>
    </row>
    <row r="29" spans="1:5" x14ac:dyDescent="0.25">
      <c r="E29" t="s">
        <v>393</v>
      </c>
    </row>
    <row r="30" spans="1:5" x14ac:dyDescent="0.25">
      <c r="E30" t="s">
        <v>394</v>
      </c>
    </row>
    <row r="31" spans="1:5" x14ac:dyDescent="0.25">
      <c r="E31" t="s">
        <v>395</v>
      </c>
    </row>
    <row r="32" spans="1:5" x14ac:dyDescent="0.25">
      <c r="E32" t="s">
        <v>396</v>
      </c>
    </row>
    <row r="33" spans="5:5" x14ac:dyDescent="0.25">
      <c r="E33" t="s">
        <v>397</v>
      </c>
    </row>
    <row r="34" spans="5:5" x14ac:dyDescent="0.25">
      <c r="E34" t="s">
        <v>398</v>
      </c>
    </row>
    <row r="35" spans="5:5" x14ac:dyDescent="0.25">
      <c r="E35" t="s">
        <v>399</v>
      </c>
    </row>
    <row r="36" spans="5:5" x14ac:dyDescent="0.25">
      <c r="E36" t="s">
        <v>400</v>
      </c>
    </row>
    <row r="37" spans="5:5" x14ac:dyDescent="0.25">
      <c r="E37" t="s">
        <v>401</v>
      </c>
    </row>
    <row r="38" spans="5:5" x14ac:dyDescent="0.25">
      <c r="E38" t="s">
        <v>402</v>
      </c>
    </row>
    <row r="39" spans="5:5" x14ac:dyDescent="0.25">
      <c r="E39" t="s">
        <v>403</v>
      </c>
    </row>
    <row r="40" spans="5:5" x14ac:dyDescent="0.25">
      <c r="E40" t="s">
        <v>404</v>
      </c>
    </row>
    <row r="41" spans="5:5" x14ac:dyDescent="0.25">
      <c r="E41" t="s">
        <v>405</v>
      </c>
    </row>
    <row r="42" spans="5:5" x14ac:dyDescent="0.25">
      <c r="E42" t="s">
        <v>406</v>
      </c>
    </row>
    <row r="43" spans="5:5" x14ac:dyDescent="0.25">
      <c r="E43" t="s">
        <v>407</v>
      </c>
    </row>
    <row r="44" spans="5:5" x14ac:dyDescent="0.25">
      <c r="E44" t="s">
        <v>408</v>
      </c>
    </row>
    <row r="45" spans="5:5" x14ac:dyDescent="0.25">
      <c r="E45" t="s">
        <v>409</v>
      </c>
    </row>
    <row r="46" spans="5:5" x14ac:dyDescent="0.25">
      <c r="E46" t="s">
        <v>410</v>
      </c>
    </row>
    <row r="47" spans="5:5" x14ac:dyDescent="0.25">
      <c r="E47" t="s">
        <v>411</v>
      </c>
    </row>
    <row r="48" spans="5:5" x14ac:dyDescent="0.25">
      <c r="E48" t="s">
        <v>412</v>
      </c>
    </row>
    <row r="49" spans="5:5" x14ac:dyDescent="0.25">
      <c r="E49" t="s">
        <v>413</v>
      </c>
    </row>
    <row r="50" spans="5:5" x14ac:dyDescent="0.25">
      <c r="E50" t="s">
        <v>414</v>
      </c>
    </row>
    <row r="51" spans="5:5" x14ac:dyDescent="0.25">
      <c r="E51" t="s">
        <v>415</v>
      </c>
    </row>
    <row r="52" spans="5:5" x14ac:dyDescent="0.25">
      <c r="E52" t="s">
        <v>416</v>
      </c>
    </row>
    <row r="53" spans="5:5" x14ac:dyDescent="0.25">
      <c r="E53" t="s">
        <v>417</v>
      </c>
    </row>
    <row r="54" spans="5:5" x14ac:dyDescent="0.25">
      <c r="E54" t="s">
        <v>418</v>
      </c>
    </row>
    <row r="55" spans="5:5" x14ac:dyDescent="0.25">
      <c r="E55" t="s">
        <v>419</v>
      </c>
    </row>
    <row r="56" spans="5:5" x14ac:dyDescent="0.25">
      <c r="E56" t="s">
        <v>420</v>
      </c>
    </row>
    <row r="57" spans="5:5" x14ac:dyDescent="0.25">
      <c r="E57" t="s">
        <v>421</v>
      </c>
    </row>
    <row r="58" spans="5:5" x14ac:dyDescent="0.25">
      <c r="E58" t="s">
        <v>422</v>
      </c>
    </row>
    <row r="59" spans="5:5" x14ac:dyDescent="0.25">
      <c r="E59" t="s">
        <v>423</v>
      </c>
    </row>
    <row r="60" spans="5:5" x14ac:dyDescent="0.25">
      <c r="E60" t="s">
        <v>424</v>
      </c>
    </row>
    <row r="61" spans="5:5" x14ac:dyDescent="0.25">
      <c r="E61" t="s">
        <v>425</v>
      </c>
    </row>
    <row r="62" spans="5:5" x14ac:dyDescent="0.25">
      <c r="E62" t="s">
        <v>426</v>
      </c>
    </row>
    <row r="63" spans="5:5" x14ac:dyDescent="0.25">
      <c r="E63" t="s">
        <v>427</v>
      </c>
    </row>
    <row r="64" spans="5:5" x14ac:dyDescent="0.25">
      <c r="E64" t="s">
        <v>428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7</vt:i4>
      </vt:variant>
    </vt:vector>
  </HeadingPairs>
  <TitlesOfParts>
    <vt:vector size="10" baseType="lpstr">
      <vt:lpstr>Реестр персонала</vt:lpstr>
      <vt:lpstr>Лист2</vt:lpstr>
      <vt:lpstr>Лист1</vt:lpstr>
      <vt:lpstr>question</vt:lpstr>
      <vt:lpstr>дата_атт</vt:lpstr>
      <vt:lpstr>доп_ат</vt:lpstr>
      <vt:lpstr>Клеймо</vt:lpstr>
      <vt:lpstr>номер_удо</vt:lpstr>
      <vt:lpstr>сварщики</vt:lpstr>
      <vt:lpstr>срок_действия_продление_удо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Lenchak.PA@omsk.gazprom-neft.ru</dc:creator>
  <cp:lastModifiedBy>RePack by Diakov</cp:lastModifiedBy>
  <dcterms:created xsi:type="dcterms:W3CDTF">2019-11-05T07:00:59Z</dcterms:created>
  <dcterms:modified xsi:type="dcterms:W3CDTF">2021-04-29T14:39:49Z</dcterms:modified>
</cp:coreProperties>
</file>