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LENOVO-PC\Desktop\"/>
    </mc:Choice>
  </mc:AlternateContent>
  <bookViews>
    <workbookView xWindow="0" yWindow="13950" windowWidth="18525" windowHeight="11640"/>
  </bookViews>
  <sheets>
    <sheet name="Общий реестр сварщиков" sheetId="1" r:id="rId1"/>
    <sheet name="Допускной лист сварщика" sheetId="13" r:id="rId2"/>
    <sheet name="Данные (2)" sheetId="14" state="hidden" r:id="rId3"/>
    <sheet name="Сводная" sheetId="16" r:id="rId4"/>
    <sheet name="Данные" sheetId="3" r:id="rId5"/>
  </sheets>
  <functionGroups builtInGroupCount="18"/>
  <definedNames>
    <definedName name="_xlnm._FilterDatabase" localSheetId="0" hidden="1">'Общий реестр сварщиков'!#REF!</definedName>
    <definedName name="ExternalData_1" localSheetId="3" hidden="1">Сводная!$B$1:$N$65</definedName>
    <definedName name="Password">Данные!$D$17</definedName>
    <definedName name="_xlnm.Print_Area" localSheetId="1">'Допускной лист сварщика'!$A$1:$L$54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90" i="16" l="1"/>
  <c r="A691" i="16" s="1"/>
  <c r="A692" i="16" s="1"/>
  <c r="A693" i="16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A722" i="16" s="1"/>
  <c r="A723" i="16" s="1"/>
  <c r="A724" i="16" s="1"/>
  <c r="A725" i="16" s="1"/>
  <c r="A726" i="16" s="1"/>
  <c r="A727" i="16" s="1"/>
  <c r="A728" i="16" s="1"/>
  <c r="A729" i="16" s="1"/>
  <c r="A730" i="16" s="1"/>
  <c r="A731" i="16" s="1"/>
  <c r="A732" i="16" s="1"/>
  <c r="A733" i="16" s="1"/>
  <c r="A734" i="16" s="1"/>
  <c r="A735" i="16" s="1"/>
  <c r="A736" i="16" s="1"/>
  <c r="A737" i="16" s="1"/>
  <c r="A738" i="16" s="1"/>
  <c r="A739" i="16" s="1"/>
  <c r="A740" i="16" s="1"/>
  <c r="A741" i="16" s="1"/>
  <c r="A742" i="16" s="1"/>
  <c r="A743" i="16" s="1"/>
  <c r="A744" i="16" s="1"/>
  <c r="A745" i="16" s="1"/>
  <c r="A746" i="16" s="1"/>
  <c r="A747" i="16" s="1"/>
  <c r="A748" i="16" s="1"/>
  <c r="A749" i="16" s="1"/>
  <c r="A750" i="16" s="1"/>
  <c r="A751" i="16" s="1"/>
  <c r="A752" i="16" s="1"/>
  <c r="A753" i="16" s="1"/>
  <c r="A754" i="16" s="1"/>
  <c r="A755" i="16" s="1"/>
  <c r="A756" i="16" s="1"/>
  <c r="A757" i="16" s="1"/>
  <c r="A758" i="16" s="1"/>
  <c r="A759" i="16" s="1"/>
  <c r="A760" i="16" s="1"/>
  <c r="A761" i="16" s="1"/>
  <c r="A762" i="16" s="1"/>
  <c r="A763" i="16" s="1"/>
  <c r="A764" i="16" s="1"/>
  <c r="A765" i="16" s="1"/>
  <c r="A766" i="16" s="1"/>
  <c r="A767" i="16" s="1"/>
  <c r="A768" i="16" s="1"/>
  <c r="A769" i="16" s="1"/>
  <c r="A770" i="16" s="1"/>
  <c r="A771" i="16" s="1"/>
  <c r="A772" i="16" s="1"/>
  <c r="A773" i="16" s="1"/>
  <c r="A774" i="16" s="1"/>
  <c r="A775" i="16" s="1"/>
  <c r="A776" i="16" s="1"/>
  <c r="A777" i="16" s="1"/>
  <c r="A778" i="16" s="1"/>
  <c r="A779" i="16" s="1"/>
  <c r="A780" i="16" s="1"/>
  <c r="A781" i="16" s="1"/>
  <c r="A782" i="16" s="1"/>
  <c r="A783" i="16" s="1"/>
  <c r="A784" i="16" s="1"/>
  <c r="A785" i="16" s="1"/>
  <c r="A786" i="16" s="1"/>
  <c r="A787" i="16" s="1"/>
  <c r="A788" i="16" s="1"/>
  <c r="A789" i="16" s="1"/>
  <c r="A790" i="16" s="1"/>
  <c r="A791" i="16" s="1"/>
  <c r="A792" i="16" s="1"/>
  <c r="A793" i="16" s="1"/>
  <c r="A794" i="16" s="1"/>
  <c r="A795" i="16" s="1"/>
  <c r="A796" i="16" s="1"/>
  <c r="A797" i="16" s="1"/>
  <c r="A798" i="16" s="1"/>
  <c r="A799" i="16" s="1"/>
  <c r="A800" i="16" s="1"/>
  <c r="A801" i="16" s="1"/>
  <c r="A802" i="16" s="1"/>
  <c r="A803" i="16" s="1"/>
  <c r="A804" i="16" s="1"/>
  <c r="A805" i="16" s="1"/>
  <c r="A806" i="16" s="1"/>
  <c r="A807" i="16" s="1"/>
  <c r="A808" i="16" s="1"/>
  <c r="A809" i="16" s="1"/>
  <c r="A810" i="16" s="1"/>
  <c r="A811" i="16" s="1"/>
  <c r="A812" i="16" s="1"/>
  <c r="A813" i="16" s="1"/>
  <c r="A814" i="16" s="1"/>
  <c r="A815" i="16" s="1"/>
  <c r="A816" i="16" s="1"/>
  <c r="A817" i="16" s="1"/>
  <c r="A818" i="16" s="1"/>
  <c r="A819" i="16" s="1"/>
  <c r="A820" i="16" s="1"/>
  <c r="A821" i="16" s="1"/>
  <c r="A822" i="16" s="1"/>
  <c r="A823" i="16" s="1"/>
  <c r="A824" i="16" s="1"/>
  <c r="A825" i="16" s="1"/>
  <c r="A826" i="16" s="1"/>
  <c r="A827" i="16" s="1"/>
  <c r="A828" i="16" s="1"/>
  <c r="A829" i="16" s="1"/>
  <c r="A830" i="16" s="1"/>
  <c r="A831" i="16" s="1"/>
  <c r="A832" i="16" s="1"/>
  <c r="A833" i="16" s="1"/>
  <c r="A834" i="16" s="1"/>
  <c r="A835" i="16" s="1"/>
  <c r="A836" i="16" s="1"/>
  <c r="A837" i="16" s="1"/>
  <c r="A838" i="16" s="1"/>
  <c r="A839" i="16" s="1"/>
  <c r="A840" i="16" s="1"/>
  <c r="A841" i="16" s="1"/>
  <c r="A842" i="16" s="1"/>
  <c r="A843" i="16" s="1"/>
  <c r="A844" i="16" s="1"/>
  <c r="A845" i="16" s="1"/>
  <c r="A846" i="16" s="1"/>
  <c r="A847" i="16" s="1"/>
  <c r="A848" i="16" s="1"/>
  <c r="A849" i="16" s="1"/>
  <c r="A850" i="16" s="1"/>
  <c r="A851" i="16" s="1"/>
  <c r="A852" i="16" s="1"/>
  <c r="A853" i="16" s="1"/>
  <c r="A854" i="16" s="1"/>
  <c r="A855" i="16" s="1"/>
  <c r="A856" i="16" s="1"/>
  <c r="A857" i="16" s="1"/>
  <c r="A858" i="16" s="1"/>
  <c r="A859" i="16" s="1"/>
  <c r="A860" i="16" s="1"/>
  <c r="A861" i="16" s="1"/>
  <c r="A862" i="16" s="1"/>
  <c r="A863" i="16" s="1"/>
  <c r="A864" i="16" s="1"/>
  <c r="A865" i="16" s="1"/>
  <c r="A866" i="16" s="1"/>
  <c r="A867" i="16" s="1"/>
  <c r="A868" i="16" s="1"/>
  <c r="A869" i="16" s="1"/>
  <c r="A870" i="16" s="1"/>
  <c r="A871" i="16" s="1"/>
  <c r="A872" i="16" s="1"/>
  <c r="A873" i="16" s="1"/>
  <c r="A874" i="16" s="1"/>
  <c r="A875" i="16" s="1"/>
  <c r="A876" i="16" s="1"/>
  <c r="A877" i="16" s="1"/>
  <c r="A878" i="16" s="1"/>
  <c r="A879" i="16" s="1"/>
  <c r="A880" i="16" s="1"/>
  <c r="A881" i="16" s="1"/>
  <c r="A882" i="16" s="1"/>
  <c r="A883" i="16" s="1"/>
  <c r="A884" i="16" s="1"/>
  <c r="A885" i="16" s="1"/>
  <c r="A886" i="16" s="1"/>
  <c r="A887" i="16" s="1"/>
  <c r="A888" i="16" s="1"/>
  <c r="A889" i="16" s="1"/>
  <c r="A890" i="16" s="1"/>
  <c r="A891" i="16" s="1"/>
  <c r="A892" i="16" s="1"/>
  <c r="A893" i="16" s="1"/>
  <c r="A894" i="16" s="1"/>
  <c r="A895" i="16" s="1"/>
  <c r="A896" i="16" s="1"/>
  <c r="A897" i="16" s="1"/>
  <c r="A898" i="16" s="1"/>
  <c r="A899" i="16" s="1"/>
  <c r="A900" i="16" s="1"/>
  <c r="A901" i="16" s="1"/>
  <c r="A902" i="16" s="1"/>
  <c r="A903" i="16" s="1"/>
  <c r="A904" i="16" s="1"/>
  <c r="A905" i="16" s="1"/>
  <c r="A906" i="16" s="1"/>
  <c r="A907" i="16" s="1"/>
  <c r="A908" i="16" s="1"/>
  <c r="A909" i="16" s="1"/>
  <c r="A910" i="16" s="1"/>
  <c r="A911" i="16" s="1"/>
  <c r="A912" i="16" s="1"/>
  <c r="A913" i="16" s="1"/>
  <c r="A914" i="16" s="1"/>
  <c r="A915" i="16" s="1"/>
  <c r="A916" i="16" s="1"/>
  <c r="A917" i="16" s="1"/>
  <c r="A918" i="16" s="1"/>
  <c r="A919" i="16" s="1"/>
  <c r="A920" i="16" s="1"/>
  <c r="A921" i="16" s="1"/>
  <c r="A922" i="16" s="1"/>
  <c r="A923" i="16" s="1"/>
  <c r="A924" i="16" s="1"/>
  <c r="A925" i="16" s="1"/>
  <c r="A926" i="16" s="1"/>
  <c r="A927" i="16" s="1"/>
  <c r="A928" i="16" s="1"/>
  <c r="A929" i="16" s="1"/>
  <c r="A930" i="16" s="1"/>
  <c r="A931" i="16" s="1"/>
  <c r="A932" i="16" s="1"/>
  <c r="A933" i="16" s="1"/>
  <c r="A934" i="16" s="1"/>
  <c r="A935" i="16" s="1"/>
  <c r="A936" i="16" s="1"/>
  <c r="A937" i="16" s="1"/>
  <c r="A938" i="16" s="1"/>
  <c r="A939" i="16" s="1"/>
  <c r="A940" i="16" s="1"/>
  <c r="A941" i="16" s="1"/>
  <c r="A942" i="16" s="1"/>
  <c r="A943" i="16" s="1"/>
  <c r="A944" i="16" s="1"/>
  <c r="A945" i="16" s="1"/>
  <c r="A946" i="16" s="1"/>
  <c r="A947" i="16" s="1"/>
  <c r="A948" i="16" s="1"/>
  <c r="A949" i="16" s="1"/>
  <c r="A950" i="16" s="1"/>
  <c r="A951" i="16" s="1"/>
  <c r="A952" i="16" s="1"/>
  <c r="A953" i="16" s="1"/>
  <c r="A954" i="16" s="1"/>
  <c r="A955" i="16" s="1"/>
  <c r="A956" i="16" s="1"/>
  <c r="A957" i="16" s="1"/>
  <c r="A958" i="16" s="1"/>
  <c r="A959" i="16" s="1"/>
  <c r="A960" i="16" s="1"/>
  <c r="A961" i="16" s="1"/>
  <c r="A962" i="16" s="1"/>
  <c r="A963" i="16" s="1"/>
  <c r="A964" i="16" s="1"/>
  <c r="A965" i="16" s="1"/>
  <c r="A966" i="16" s="1"/>
  <c r="A967" i="16" s="1"/>
  <c r="A968" i="16" s="1"/>
  <c r="A969" i="16" s="1"/>
  <c r="A970" i="16" s="1"/>
  <c r="A971" i="16" s="1"/>
  <c r="A972" i="16" s="1"/>
  <c r="A973" i="16" s="1"/>
  <c r="A974" i="16" s="1"/>
  <c r="A975" i="16" s="1"/>
  <c r="A976" i="16" s="1"/>
  <c r="A977" i="16" s="1"/>
  <c r="A978" i="16" s="1"/>
  <c r="A979" i="16" s="1"/>
  <c r="A980" i="16" s="1"/>
  <c r="A981" i="16" s="1"/>
  <c r="A982" i="16" s="1"/>
  <c r="A983" i="16" s="1"/>
  <c r="A984" i="16" s="1"/>
  <c r="A985" i="16" s="1"/>
  <c r="A986" i="16" s="1"/>
  <c r="A987" i="16" s="1"/>
  <c r="A988" i="16" s="1"/>
  <c r="A989" i="16" s="1"/>
  <c r="A990" i="16" s="1"/>
  <c r="A991" i="16" s="1"/>
  <c r="A992" i="16" s="1"/>
  <c r="A993" i="16" s="1"/>
  <c r="A994" i="16" s="1"/>
  <c r="A995" i="16" s="1"/>
  <c r="A996" i="16" s="1"/>
  <c r="A997" i="16" s="1"/>
  <c r="A998" i="16" s="1"/>
  <c r="A999" i="16" s="1"/>
  <c r="A1000" i="16" s="1"/>
  <c r="A1001" i="16" s="1"/>
  <c r="A1002" i="16" s="1"/>
  <c r="A1003" i="16" s="1"/>
  <c r="A1004" i="16" s="1"/>
  <c r="A1005" i="16" s="1"/>
  <c r="A1006" i="16" s="1"/>
  <c r="A1007" i="16" s="1"/>
  <c r="A1008" i="16" s="1"/>
  <c r="A1009" i="16" s="1"/>
  <c r="A1010" i="16" s="1"/>
  <c r="A1011" i="16" s="1"/>
  <c r="A1012" i="16" s="1"/>
  <c r="A1013" i="16" s="1"/>
  <c r="A1014" i="16" s="1"/>
  <c r="A1015" i="16" s="1"/>
  <c r="A1016" i="16" s="1"/>
  <c r="A1017" i="16" s="1"/>
  <c r="A1018" i="16" s="1"/>
  <c r="A1019" i="16" s="1"/>
  <c r="A1020" i="16" s="1"/>
  <c r="A1021" i="16" s="1"/>
  <c r="A1022" i="16" s="1"/>
  <c r="A1023" i="16" s="1"/>
  <c r="A1024" i="16" s="1"/>
  <c r="A1025" i="16" s="1"/>
  <c r="A1026" i="16" s="1"/>
  <c r="A1027" i="16" s="1"/>
  <c r="A1028" i="16" s="1"/>
  <c r="A1029" i="16" s="1"/>
  <c r="A1030" i="16" s="1"/>
  <c r="A1031" i="16" s="1"/>
  <c r="A1032" i="16" s="1"/>
  <c r="A1033" i="16" s="1"/>
  <c r="A1034" i="16" s="1"/>
  <c r="A1035" i="16" s="1"/>
  <c r="A1036" i="16" s="1"/>
  <c r="A1037" i="16" s="1"/>
  <c r="A1038" i="16" s="1"/>
  <c r="A1039" i="16" s="1"/>
  <c r="A1040" i="16" s="1"/>
  <c r="A1041" i="16" s="1"/>
  <c r="A1042" i="16" s="1"/>
  <c r="A1043" i="16" s="1"/>
  <c r="A1044" i="16" s="1"/>
  <c r="A1045" i="16" s="1"/>
  <c r="A1046" i="16" s="1"/>
  <c r="A1047" i="16" s="1"/>
  <c r="A1048" i="16" s="1"/>
  <c r="A1049" i="16" s="1"/>
  <c r="A1050" i="16" s="1"/>
  <c r="A1051" i="16" s="1"/>
  <c r="A1052" i="16" s="1"/>
  <c r="A1053" i="16" s="1"/>
  <c r="A1054" i="16" s="1"/>
  <c r="A1055" i="16" s="1"/>
  <c r="A1056" i="16" s="1"/>
  <c r="A1057" i="16" s="1"/>
  <c r="A1058" i="16" s="1"/>
  <c r="A1059" i="16" s="1"/>
  <c r="A1060" i="16" s="1"/>
  <c r="A1061" i="16" s="1"/>
  <c r="A1062" i="16" s="1"/>
  <c r="A1063" i="16" s="1"/>
  <c r="A1064" i="16" s="1"/>
  <c r="A1065" i="16" s="1"/>
  <c r="A1066" i="16" s="1"/>
  <c r="A1067" i="16" s="1"/>
  <c r="A1068" i="16" s="1"/>
  <c r="A1069" i="16" s="1"/>
  <c r="A1070" i="16" s="1"/>
  <c r="A1071" i="16" s="1"/>
  <c r="A1072" i="16" s="1"/>
  <c r="A1073" i="16" s="1"/>
  <c r="A1074" i="16" s="1"/>
  <c r="A1075" i="16" s="1"/>
  <c r="A1076" i="16" s="1"/>
  <c r="A1077" i="16" s="1"/>
  <c r="A1078" i="16" s="1"/>
  <c r="A1079" i="16" s="1"/>
  <c r="A1080" i="16" s="1"/>
  <c r="A1081" i="16" s="1"/>
  <c r="A1082" i="16" s="1"/>
  <c r="A1083" i="16" s="1"/>
  <c r="A1084" i="16" s="1"/>
  <c r="A1085" i="16" s="1"/>
  <c r="A1086" i="16" s="1"/>
  <c r="A1087" i="16" s="1"/>
  <c r="A1088" i="16" s="1"/>
  <c r="A1089" i="16" s="1"/>
  <c r="A1090" i="16" s="1"/>
  <c r="A1091" i="16" s="1"/>
  <c r="A1092" i="16" s="1"/>
  <c r="A1093" i="16" s="1"/>
  <c r="A1094" i="16" s="1"/>
  <c r="A1095" i="16" s="1"/>
  <c r="A1096" i="16" s="1"/>
  <c r="A1097" i="16" s="1"/>
  <c r="A1098" i="16" s="1"/>
  <c r="A1099" i="16" s="1"/>
  <c r="A1100" i="16" s="1"/>
  <c r="A1101" i="16" s="1"/>
  <c r="A1102" i="16" s="1"/>
  <c r="A1103" i="16" s="1"/>
  <c r="A1104" i="16" s="1"/>
  <c r="A1105" i="16" s="1"/>
  <c r="A1106" i="16" s="1"/>
  <c r="A1107" i="16" s="1"/>
  <c r="A1108" i="16" s="1"/>
  <c r="A1109" i="16" s="1"/>
  <c r="A1110" i="16" s="1"/>
  <c r="A1111" i="16" s="1"/>
  <c r="A1112" i="16" s="1"/>
  <c r="A1113" i="16" s="1"/>
  <c r="A1114" i="16" s="1"/>
  <c r="A1115" i="16" s="1"/>
  <c r="A1116" i="16" s="1"/>
  <c r="A1117" i="16" s="1"/>
  <c r="A1118" i="16" s="1"/>
  <c r="A1119" i="16" s="1"/>
  <c r="A1120" i="16" s="1"/>
  <c r="A1121" i="16" s="1"/>
  <c r="A1122" i="16" s="1"/>
  <c r="A1123" i="16" s="1"/>
  <c r="A1124" i="16" s="1"/>
  <c r="A1125" i="16" s="1"/>
  <c r="A1126" i="16" s="1"/>
  <c r="A1127" i="16" s="1"/>
  <c r="A1128" i="16" s="1"/>
  <c r="A1129" i="16" s="1"/>
  <c r="A1130" i="16" s="1"/>
  <c r="A1131" i="16" s="1"/>
  <c r="A1132" i="16" s="1"/>
  <c r="A1133" i="16" s="1"/>
  <c r="A1134" i="16" s="1"/>
  <c r="A1135" i="16" s="1"/>
  <c r="A1136" i="16" s="1"/>
  <c r="A1137" i="16" s="1"/>
  <c r="A1138" i="16" s="1"/>
  <c r="A1139" i="16" s="1"/>
  <c r="A1140" i="16" s="1"/>
  <c r="A1141" i="16" s="1"/>
  <c r="A1142" i="16" s="1"/>
  <c r="A1143" i="16" s="1"/>
  <c r="A1144" i="16" s="1"/>
  <c r="A1145" i="16" s="1"/>
  <c r="A1146" i="16" s="1"/>
  <c r="A1147" i="16" s="1"/>
  <c r="A1148" i="16" s="1"/>
  <c r="A1149" i="16" s="1"/>
  <c r="A1150" i="16" s="1"/>
  <c r="A1151" i="16" s="1"/>
  <c r="A1152" i="16" s="1"/>
  <c r="A1153" i="16" s="1"/>
  <c r="A1154" i="16" s="1"/>
  <c r="A1155" i="16" s="1"/>
  <c r="A1156" i="16" s="1"/>
  <c r="A1157" i="16" s="1"/>
  <c r="A1158" i="16" s="1"/>
  <c r="A1159" i="16" s="1"/>
  <c r="A1160" i="16" s="1"/>
  <c r="A1161" i="16" s="1"/>
  <c r="A1162" i="16" s="1"/>
  <c r="A1163" i="16" s="1"/>
  <c r="A1164" i="16" s="1"/>
  <c r="A1165" i="16" s="1"/>
  <c r="A1166" i="16" s="1"/>
  <c r="A1167" i="16" s="1"/>
  <c r="A1168" i="16" s="1"/>
  <c r="A1169" i="16" s="1"/>
  <c r="A1170" i="16" s="1"/>
  <c r="A1171" i="16" s="1"/>
  <c r="A1172" i="16" s="1"/>
  <c r="A1173" i="16" s="1"/>
  <c r="A1174" i="16" s="1"/>
  <c r="A1175" i="16" s="1"/>
  <c r="A1176" i="16" s="1"/>
  <c r="A1177" i="16" s="1"/>
  <c r="A1178" i="16" s="1"/>
  <c r="A1179" i="16" s="1"/>
  <c r="A1180" i="16" s="1"/>
  <c r="A1181" i="16" s="1"/>
  <c r="A1182" i="16" s="1"/>
  <c r="A1183" i="16" s="1"/>
  <c r="A1184" i="16" s="1"/>
  <c r="A1185" i="16" s="1"/>
  <c r="A1186" i="16" s="1"/>
  <c r="A1187" i="16" s="1"/>
  <c r="A1188" i="16" s="1"/>
  <c r="A1189" i="16" s="1"/>
  <c r="A1190" i="16" s="1"/>
  <c r="A1191" i="16" s="1"/>
  <c r="A1192" i="16" s="1"/>
  <c r="A1193" i="16" s="1"/>
  <c r="A1194" i="16" s="1"/>
  <c r="A1195" i="16" s="1"/>
  <c r="A1196" i="16" s="1"/>
  <c r="A1197" i="16" s="1"/>
  <c r="A1198" i="16" s="1"/>
  <c r="A1199" i="16" s="1"/>
  <c r="A1200" i="16" s="1"/>
  <c r="A1201" i="16" s="1"/>
  <c r="A1202" i="16" s="1"/>
  <c r="A1203" i="16" s="1"/>
  <c r="A1204" i="16" s="1"/>
  <c r="A1205" i="16" s="1"/>
  <c r="A1206" i="16" s="1"/>
  <c r="A1207" i="16" s="1"/>
  <c r="A1208" i="16" s="1"/>
  <c r="A1209" i="16" s="1"/>
  <c r="A1210" i="16" s="1"/>
  <c r="A1211" i="16" s="1"/>
  <c r="A1212" i="16" s="1"/>
  <c r="A1213" i="16" s="1"/>
  <c r="A1214" i="16" s="1"/>
  <c r="A1215" i="16" s="1"/>
  <c r="A1216" i="16" s="1"/>
  <c r="A1217" i="16" s="1"/>
  <c r="A1218" i="16" s="1"/>
  <c r="A1219" i="16" s="1"/>
  <c r="A1220" i="16" s="1"/>
  <c r="A1221" i="16" s="1"/>
  <c r="A1222" i="16" s="1"/>
  <c r="A1223" i="16" s="1"/>
  <c r="A1224" i="16" s="1"/>
  <c r="A1225" i="16" s="1"/>
  <c r="A1226" i="16" s="1"/>
  <c r="A1227" i="16" s="1"/>
  <c r="A1228" i="16" s="1"/>
  <c r="A1229" i="16" s="1"/>
  <c r="A1230" i="16" s="1"/>
  <c r="A1231" i="16" s="1"/>
  <c r="A1232" i="16" s="1"/>
  <c r="A1233" i="16" s="1"/>
  <c r="A1234" i="16" s="1"/>
  <c r="A1235" i="16" s="1"/>
  <c r="A1236" i="16" s="1"/>
  <c r="A1237" i="16" s="1"/>
  <c r="A1238" i="16" s="1"/>
  <c r="A1239" i="16" s="1"/>
  <c r="A1240" i="16" s="1"/>
  <c r="A1241" i="16" s="1"/>
  <c r="A1242" i="16" s="1"/>
  <c r="A1243" i="16" s="1"/>
  <c r="A1244" i="16" s="1"/>
  <c r="A1245" i="16" s="1"/>
  <c r="A1246" i="16" s="1"/>
  <c r="A1247" i="16" s="1"/>
  <c r="A1248" i="16" s="1"/>
  <c r="A1249" i="16" s="1"/>
  <c r="A1250" i="16" s="1"/>
  <c r="A1251" i="16" s="1"/>
  <c r="A1252" i="16" s="1"/>
  <c r="A1253" i="16" s="1"/>
  <c r="A1254" i="16" s="1"/>
  <c r="A1255" i="16" s="1"/>
  <c r="A1256" i="16" s="1"/>
  <c r="A1257" i="16" s="1"/>
  <c r="A1258" i="16" s="1"/>
  <c r="A1259" i="16" s="1"/>
  <c r="A1260" i="16" s="1"/>
  <c r="A1261" i="16" s="1"/>
  <c r="A1262" i="16" s="1"/>
  <c r="A1263" i="16" s="1"/>
  <c r="A1264" i="16" s="1"/>
  <c r="A1265" i="16" s="1"/>
  <c r="A1266" i="16" s="1"/>
  <c r="A1267" i="16" s="1"/>
  <c r="A1268" i="16" s="1"/>
  <c r="A1269" i="16" s="1"/>
  <c r="A1270" i="16" s="1"/>
  <c r="A1271" i="16" s="1"/>
  <c r="A1272" i="16" s="1"/>
  <c r="A1273" i="16" s="1"/>
  <c r="A1274" i="16" s="1"/>
  <c r="A1275" i="16" s="1"/>
  <c r="A1276" i="16" s="1"/>
  <c r="A1277" i="16" s="1"/>
  <c r="A1278" i="16" s="1"/>
  <c r="A1279" i="16" s="1"/>
  <c r="A1280" i="16" s="1"/>
  <c r="A1281" i="16" s="1"/>
  <c r="A1282" i="16" s="1"/>
  <c r="A1283" i="16"/>
  <c r="A1284" i="16" s="1"/>
  <c r="A1285" i="16" s="1"/>
  <c r="A1286" i="16" s="1"/>
  <c r="A1287" i="16" s="1"/>
  <c r="A1288" i="16"/>
  <c r="A1289" i="16" s="1"/>
  <c r="A1290" i="16" s="1"/>
  <c r="A1291" i="16" s="1"/>
  <c r="A1292" i="16" s="1"/>
  <c r="A1293" i="16" s="1"/>
  <c r="A1294" i="16" s="1"/>
  <c r="A1295" i="16" s="1"/>
  <c r="A1296" i="16" s="1"/>
  <c r="A1297" i="16" s="1"/>
  <c r="A1298" i="16" s="1"/>
  <c r="A1299" i="16" s="1"/>
  <c r="A1300" i="16" s="1"/>
  <c r="A1301" i="16" s="1"/>
  <c r="A1302" i="16" s="1"/>
  <c r="A1303" i="16" s="1"/>
  <c r="A1304" i="16" s="1"/>
  <c r="A1305" i="16" s="1"/>
  <c r="A1306" i="16" s="1"/>
  <c r="A1307" i="16" s="1"/>
  <c r="A1308" i="16" s="1"/>
  <c r="A1309" i="16" s="1"/>
  <c r="A1310" i="16" s="1"/>
  <c r="A1311" i="16" s="1"/>
  <c r="A1312" i="16" s="1"/>
  <c r="A1313" i="16" s="1"/>
  <c r="A1314" i="16" s="1"/>
  <c r="A1315" i="16" s="1"/>
  <c r="A1316" i="16" s="1"/>
  <c r="A1317" i="16" s="1"/>
  <c r="A1318" i="16" s="1"/>
  <c r="A1319" i="16" s="1"/>
  <c r="A1320" i="16" s="1"/>
  <c r="A1321" i="16" s="1"/>
  <c r="A1322" i="16" s="1"/>
  <c r="A1323" i="16" s="1"/>
  <c r="A1324" i="16" s="1"/>
  <c r="A1325" i="16" s="1"/>
  <c r="A1326" i="16" s="1"/>
  <c r="A1327" i="16" s="1"/>
  <c r="A1328" i="16" s="1"/>
  <c r="A1329" i="16" s="1"/>
  <c r="A1330" i="16" s="1"/>
  <c r="A1331" i="16" s="1"/>
  <c r="A1332" i="16" s="1"/>
  <c r="A1333" i="16" s="1"/>
  <c r="A1334" i="16" s="1"/>
  <c r="A1335" i="16" s="1"/>
  <c r="A1336" i="16" s="1"/>
  <c r="A1337" i="16" s="1"/>
  <c r="A1338" i="16" s="1"/>
  <c r="A1339" i="16" s="1"/>
  <c r="A1340" i="16" s="1"/>
  <c r="A1341" i="16"/>
  <c r="A1342" i="16"/>
  <c r="A1343" i="16" s="1"/>
  <c r="A1344" i="16" s="1"/>
  <c r="A1345" i="16" s="1"/>
  <c r="A1346" i="16"/>
  <c r="A1347" i="16"/>
  <c r="A1348" i="16" s="1"/>
  <c r="A1349" i="16" s="1"/>
  <c r="A1350" i="16" s="1"/>
  <c r="A1351" i="16" s="1"/>
  <c r="A1352" i="16" s="1"/>
  <c r="A1353" i="16" s="1"/>
  <c r="A1354" i="16" s="1"/>
  <c r="A1355" i="16" s="1"/>
  <c r="A1356" i="16" s="1"/>
  <c r="A1357" i="16"/>
  <c r="A1358" i="16" s="1"/>
  <c r="A1359" i="16" s="1"/>
  <c r="A1360" i="16" s="1"/>
  <c r="A1361" i="16" s="1"/>
  <c r="A1362" i="16" s="1"/>
  <c r="A1363" i="16"/>
  <c r="A1364" i="16" s="1"/>
  <c r="A1365" i="16"/>
  <c r="A1366" i="16" s="1"/>
  <c r="A1367" i="16" s="1"/>
  <c r="A1368" i="16" s="1"/>
  <c r="A1369" i="16" s="1"/>
  <c r="A1370" i="16" s="1"/>
  <c r="A1371" i="16" s="1"/>
  <c r="A1372" i="16"/>
  <c r="A1373" i="16" s="1"/>
  <c r="A1374" i="16" s="1"/>
  <c r="A1375" i="16" s="1"/>
  <c r="A1376" i="16" s="1"/>
  <c r="A1377" i="16" s="1"/>
  <c r="A1378" i="16" s="1"/>
  <c r="A1379" i="16" s="1"/>
  <c r="A1380" i="16" s="1"/>
  <c r="A1381" i="16" s="1"/>
  <c r="A1382" i="16" s="1"/>
  <c r="A1383" i="16" s="1"/>
  <c r="A1384" i="16" s="1"/>
  <c r="A1385" i="16" s="1"/>
  <c r="A1386" i="16" s="1"/>
  <c r="A1387" i="16" s="1"/>
  <c r="A1388" i="16" s="1"/>
  <c r="A1389" i="16" s="1"/>
  <c r="A1390" i="16" s="1"/>
  <c r="A1391" i="16" s="1"/>
  <c r="A1392" i="16" s="1"/>
  <c r="A1393" i="16" s="1"/>
  <c r="A1394" i="16" s="1"/>
  <c r="A1395" i="16" s="1"/>
  <c r="A1396" i="16" s="1"/>
  <c r="A1397" i="16" s="1"/>
  <c r="A1398" i="16" s="1"/>
  <c r="A1399" i="16" s="1"/>
  <c r="A1400" i="16" s="1"/>
  <c r="A1401" i="16" s="1"/>
  <c r="A1402" i="16" s="1"/>
  <c r="A1403" i="16" s="1"/>
  <c r="A1404" i="16" s="1"/>
  <c r="A1405" i="16" s="1"/>
  <c r="A1406" i="16" s="1"/>
  <c r="A1407" i="16" s="1"/>
  <c r="A1408" i="16" s="1"/>
  <c r="A1409" i="16" s="1"/>
  <c r="A1410" i="16" s="1"/>
  <c r="A1411" i="16" s="1"/>
  <c r="A1412" i="16" s="1"/>
  <c r="A1413" i="16"/>
  <c r="A1414" i="16" s="1"/>
  <c r="A1415" i="16" s="1"/>
  <c r="A1416" i="16"/>
  <c r="A1417" i="16" s="1"/>
  <c r="A1418" i="16" s="1"/>
  <c r="A1419" i="16" s="1"/>
  <c r="A1420" i="16" s="1"/>
  <c r="A1421" i="16" s="1"/>
  <c r="A1422" i="16" s="1"/>
  <c r="A1423" i="16" s="1"/>
  <c r="A1424" i="16" s="1"/>
  <c r="A1425" i="16" s="1"/>
  <c r="A1426" i="16" s="1"/>
  <c r="A1427" i="16" s="1"/>
  <c r="A1428" i="16"/>
  <c r="A1429" i="16" s="1"/>
  <c r="A1430" i="16"/>
  <c r="A1431" i="16" s="1"/>
  <c r="A1432" i="16" s="1"/>
  <c r="A1433" i="16" s="1"/>
  <c r="A1434" i="16" s="1"/>
  <c r="A1435" i="16" s="1"/>
  <c r="A1436" i="16" s="1"/>
  <c r="A1437" i="16" s="1"/>
  <c r="A1438" i="16" s="1"/>
  <c r="A1439" i="16" s="1"/>
  <c r="A1440" i="16" s="1"/>
  <c r="A1441" i="16" s="1"/>
  <c r="A1442" i="16" s="1"/>
  <c r="A1443" i="16" s="1"/>
  <c r="A1444" i="16" s="1"/>
  <c r="A1445" i="16" s="1"/>
  <c r="A1446" i="16" s="1"/>
  <c r="A1447" i="16" s="1"/>
  <c r="A1448" i="16" s="1"/>
  <c r="A1449" i="16" s="1"/>
  <c r="A1450" i="16" s="1"/>
  <c r="A1451" i="16"/>
  <c r="A1452" i="16" s="1"/>
  <c r="A1453" i="16" s="1"/>
  <c r="A1454" i="16" s="1"/>
  <c r="A1455" i="16" s="1"/>
  <c r="A1456" i="16" s="1"/>
  <c r="A1457" i="16" s="1"/>
  <c r="A1458" i="16" s="1"/>
  <c r="A1459" i="16" s="1"/>
  <c r="A1460" i="16" s="1"/>
  <c r="A1461" i="16"/>
  <c r="A1462" i="16" s="1"/>
  <c r="A1463" i="16" s="1"/>
  <c r="A1464" i="16" s="1"/>
  <c r="A1465" i="16" s="1"/>
  <c r="A1466" i="16" s="1"/>
  <c r="A1467" i="16" s="1"/>
  <c r="A1468" i="16" s="1"/>
  <c r="A1469" i="16" s="1"/>
  <c r="A1470" i="16" s="1"/>
  <c r="A1471" i="16" s="1"/>
  <c r="A1472" i="16" s="1"/>
  <c r="A1473" i="16" s="1"/>
  <c r="A1474" i="16" s="1"/>
  <c r="A1475" i="16" s="1"/>
  <c r="A1476" i="16" s="1"/>
  <c r="A1477" i="16" s="1"/>
  <c r="A1478" i="16" s="1"/>
  <c r="A1479" i="16" s="1"/>
  <c r="A1480" i="16" s="1"/>
  <c r="A1481" i="16" s="1"/>
  <c r="A1482" i="16" s="1"/>
  <c r="A1483" i="16" s="1"/>
  <c r="A1484" i="16" s="1"/>
  <c r="A1485" i="16"/>
  <c r="A1486" i="16" s="1"/>
  <c r="A1487" i="16" s="1"/>
  <c r="A1488" i="16" s="1"/>
  <c r="A1489" i="16" s="1"/>
  <c r="A1490" i="16" s="1"/>
  <c r="A1491" i="16" s="1"/>
  <c r="A1492" i="16" s="1"/>
  <c r="A1493" i="16" s="1"/>
  <c r="A1494" i="16" s="1"/>
  <c r="A1495" i="16" s="1"/>
  <c r="A1496" i="16" s="1"/>
  <c r="A1497" i="16" s="1"/>
  <c r="A1498" i="16" s="1"/>
  <c r="A1499" i="16" s="1"/>
  <c r="A1500" i="16" s="1"/>
  <c r="A1501" i="16" s="1"/>
  <c r="A1502" i="16" s="1"/>
  <c r="A1503" i="16" s="1"/>
  <c r="A1504" i="16" s="1"/>
  <c r="A1505" i="16" s="1"/>
  <c r="A1506" i="16" s="1"/>
  <c r="A1507" i="16" s="1"/>
  <c r="A1508" i="16" s="1"/>
  <c r="A1509" i="16" s="1"/>
  <c r="A1510" i="16" s="1"/>
  <c r="A1511" i="16" s="1"/>
  <c r="A1512" i="16" s="1"/>
  <c r="A1513" i="16" s="1"/>
  <c r="A1514" i="16" s="1"/>
  <c r="A1515" i="16" s="1"/>
  <c r="A1516" i="16" s="1"/>
  <c r="A1517" i="16" s="1"/>
  <c r="A1518" i="16" s="1"/>
  <c r="A1519" i="16" s="1"/>
  <c r="A1520" i="16" s="1"/>
  <c r="A1521" i="16" s="1"/>
  <c r="A1522" i="16" s="1"/>
  <c r="A1523" i="16" s="1"/>
  <c r="A1524" i="16" s="1"/>
  <c r="A1525" i="16" s="1"/>
  <c r="A1526" i="16" s="1"/>
  <c r="A1527" i="16" s="1"/>
  <c r="A1528" i="16" s="1"/>
  <c r="A1529" i="16" s="1"/>
  <c r="A1530" i="16" s="1"/>
  <c r="A1531" i="16" s="1"/>
  <c r="A1532" i="16" s="1"/>
  <c r="A1533" i="16" s="1"/>
  <c r="A1534" i="16" s="1"/>
  <c r="A1535" i="16" s="1"/>
  <c r="A1536" i="16" s="1"/>
  <c r="A1537" i="16" s="1"/>
  <c r="A1538" i="16" s="1"/>
  <c r="A1539" i="16" s="1"/>
  <c r="A1540" i="16" s="1"/>
  <c r="A1541" i="16" s="1"/>
  <c r="A1542" i="16" s="1"/>
  <c r="A1543" i="16" s="1"/>
  <c r="A1544" i="16" s="1"/>
  <c r="A1545" i="16" s="1"/>
  <c r="A1546" i="16" s="1"/>
  <c r="A1547" i="16" s="1"/>
  <c r="A1548" i="16" s="1"/>
  <c r="A1549" i="16" s="1"/>
  <c r="A1550" i="16" s="1"/>
  <c r="A1551" i="16" s="1"/>
  <c r="A1552" i="16" s="1"/>
  <c r="A1553" i="16" s="1"/>
  <c r="A1554" i="16" s="1"/>
  <c r="A1555" i="16" s="1"/>
  <c r="A1556" i="16" s="1"/>
  <c r="A1557" i="16" s="1"/>
  <c r="A1558" i="16" s="1"/>
  <c r="A1559" i="16" s="1"/>
  <c r="A1560" i="16" s="1"/>
  <c r="A1561" i="16" s="1"/>
  <c r="A1562" i="16" s="1"/>
  <c r="A1563" i="16" s="1"/>
  <c r="A1564" i="16" s="1"/>
  <c r="A1565" i="16" s="1"/>
  <c r="A1566" i="16" s="1"/>
  <c r="A1567" i="16" s="1"/>
  <c r="A1568" i="16" s="1"/>
  <c r="A1569" i="16" s="1"/>
  <c r="A1570" i="16" s="1"/>
  <c r="A1571" i="16" s="1"/>
  <c r="A1572" i="16" s="1"/>
  <c r="A1573" i="16" s="1"/>
  <c r="A1574" i="16" s="1"/>
  <c r="A1575" i="16" s="1"/>
  <c r="A1576" i="16" s="1"/>
  <c r="A1577" i="16" s="1"/>
  <c r="A1578" i="16" s="1"/>
  <c r="A1579" i="16" s="1"/>
  <c r="A1580" i="16" s="1"/>
  <c r="A1581" i="16" s="1"/>
  <c r="A1582" i="16" s="1"/>
  <c r="A1583" i="16" s="1"/>
  <c r="A1584" i="16" s="1"/>
  <c r="A1585" i="16" s="1"/>
  <c r="A1586" i="16" s="1"/>
  <c r="A1587" i="16" s="1"/>
  <c r="A1588" i="16" s="1"/>
  <c r="A1589" i="16" s="1"/>
  <c r="A1590" i="16" s="1"/>
  <c r="A1591" i="16" s="1"/>
  <c r="A1592" i="16" s="1"/>
  <c r="A1593" i="16" s="1"/>
  <c r="A1594" i="16" s="1"/>
  <c r="A1595" i="16" s="1"/>
  <c r="A1596" i="16" s="1"/>
  <c r="A1597" i="16" s="1"/>
  <c r="A1598" i="16" s="1"/>
  <c r="A1599" i="16" s="1"/>
  <c r="A1600" i="16" s="1"/>
  <c r="A1601" i="16" s="1"/>
  <c r="A1602" i="16" s="1"/>
  <c r="A1603" i="16" s="1"/>
  <c r="A1604" i="16" s="1"/>
  <c r="A1605" i="16" s="1"/>
  <c r="A1606" i="16" s="1"/>
  <c r="A1607" i="16" s="1"/>
  <c r="A1608" i="16" s="1"/>
  <c r="A1609" i="16" s="1"/>
  <c r="A1610" i="16" s="1"/>
  <c r="A1611" i="16" s="1"/>
  <c r="A1612" i="16" s="1"/>
  <c r="A1613" i="16" s="1"/>
  <c r="A1614" i="16" s="1"/>
  <c r="A1615" i="16" s="1"/>
  <c r="A1616" i="16" s="1"/>
  <c r="A1617" i="16" s="1"/>
  <c r="A1618" i="16" s="1"/>
  <c r="A1619" i="16" s="1"/>
  <c r="A1620" i="16" s="1"/>
  <c r="A1621" i="16" s="1"/>
  <c r="A1622" i="16" s="1"/>
  <c r="A1623" i="16" s="1"/>
  <c r="A1624" i="16" s="1"/>
  <c r="A1625" i="16" s="1"/>
  <c r="A1626" i="16" s="1"/>
  <c r="A1627" i="16" s="1"/>
  <c r="A1628" i="16" s="1"/>
  <c r="A1629" i="16" s="1"/>
  <c r="A1630" i="16" s="1"/>
  <c r="A1631" i="16" s="1"/>
  <c r="A1632" i="16" s="1"/>
  <c r="A1633" i="16" s="1"/>
  <c r="A1634" i="16" s="1"/>
  <c r="A1635" i="16" s="1"/>
  <c r="A1636" i="16" s="1"/>
  <c r="A1637" i="16" s="1"/>
  <c r="A1638" i="16" s="1"/>
  <c r="A1639" i="16" s="1"/>
  <c r="A1640" i="16" s="1"/>
  <c r="A1641" i="16" s="1"/>
  <c r="A1642" i="16" s="1"/>
  <c r="A1643" i="16" s="1"/>
  <c r="A1644" i="16" s="1"/>
  <c r="A1645" i="16" s="1"/>
  <c r="A1646" i="16" s="1"/>
  <c r="A1647" i="16" s="1"/>
  <c r="A1648" i="16" s="1"/>
  <c r="A1649" i="16" s="1"/>
  <c r="A1650" i="16" s="1"/>
  <c r="A1651" i="16" s="1"/>
  <c r="A1652" i="16" s="1"/>
  <c r="A1653" i="16" s="1"/>
  <c r="A1654" i="16" s="1"/>
  <c r="A1655" i="16" s="1"/>
  <c r="A1656" i="16" s="1"/>
  <c r="A1657" i="16" s="1"/>
  <c r="A1658" i="16" s="1"/>
  <c r="A1659" i="16" s="1"/>
  <c r="A1660" i="16" s="1"/>
  <c r="A1661" i="16" s="1"/>
  <c r="A1662" i="16" s="1"/>
  <c r="A1663" i="16" s="1"/>
  <c r="A1664" i="16" s="1"/>
  <c r="A1665" i="16" s="1"/>
  <c r="A1666" i="16" s="1"/>
  <c r="A1667" i="16" s="1"/>
  <c r="A1668" i="16" s="1"/>
  <c r="A1669" i="16" s="1"/>
  <c r="A1670" i="16" s="1"/>
  <c r="A1671" i="16" s="1"/>
  <c r="A1672" i="16" s="1"/>
  <c r="A1673" i="16" s="1"/>
  <c r="A1674" i="16" s="1"/>
  <c r="A1675" i="16" s="1"/>
  <c r="A1676" i="16" s="1"/>
  <c r="A1677" i="16" s="1"/>
  <c r="A1678" i="16" s="1"/>
  <c r="A1679" i="16" s="1"/>
  <c r="A1680" i="16" s="1"/>
  <c r="A1681" i="16" s="1"/>
  <c r="A1682" i="16" s="1"/>
  <c r="A1683" i="16" s="1"/>
  <c r="A1684" i="16" s="1"/>
  <c r="A1685" i="16" s="1"/>
  <c r="A1686" i="16" s="1"/>
  <c r="A1687" i="16" s="1"/>
  <c r="A1688" i="16" s="1"/>
  <c r="A1689" i="16" s="1"/>
  <c r="A1690" i="16" s="1"/>
  <c r="A1691" i="16" s="1"/>
  <c r="A1692" i="16" s="1"/>
  <c r="A1693" i="16" s="1"/>
  <c r="A1694" i="16" s="1"/>
  <c r="A1695" i="16" s="1"/>
  <c r="A1696" i="16" s="1"/>
  <c r="A1697" i="16" s="1"/>
  <c r="A1698" i="16" s="1"/>
  <c r="A1699" i="16" s="1"/>
  <c r="A1700" i="16" s="1"/>
  <c r="A1701" i="16" s="1"/>
  <c r="A1702" i="16" s="1"/>
  <c r="A1703" i="16" s="1"/>
  <c r="A1704" i="16" s="1"/>
  <c r="A1705" i="16" s="1"/>
  <c r="A1706" i="16" s="1"/>
  <c r="A1707" i="16" s="1"/>
  <c r="A1708" i="16" s="1"/>
  <c r="A1709" i="16" s="1"/>
  <c r="A1710" i="16" s="1"/>
  <c r="A1711" i="16" s="1"/>
  <c r="A1712" i="16" s="1"/>
  <c r="A1713" i="16" s="1"/>
  <c r="A1714" i="16" s="1"/>
  <c r="A1715" i="16" s="1"/>
  <c r="A1716" i="16" s="1"/>
  <c r="A1717" i="16" s="1"/>
  <c r="A1718" i="16" s="1"/>
  <c r="A1719" i="16" s="1"/>
  <c r="A1720" i="16" s="1"/>
  <c r="A1721" i="16" s="1"/>
  <c r="A1722" i="16" s="1"/>
  <c r="A1723" i="16" s="1"/>
  <c r="A1724" i="16" s="1"/>
  <c r="A1725" i="16" s="1"/>
  <c r="A1726" i="16" s="1"/>
  <c r="A1727" i="16" s="1"/>
  <c r="A1728" i="16" s="1"/>
  <c r="A1729" i="16" s="1"/>
  <c r="A1730" i="16" s="1"/>
  <c r="A1731" i="16" s="1"/>
  <c r="A1732" i="16" s="1"/>
  <c r="A1733" i="16" s="1"/>
  <c r="A1734" i="16" s="1"/>
  <c r="A1735" i="16" s="1"/>
  <c r="A1736" i="16" s="1"/>
  <c r="A1737" i="16" s="1"/>
  <c r="A1738" i="16" s="1"/>
  <c r="A1739" i="16" s="1"/>
  <c r="A1740" i="16" s="1"/>
  <c r="A1741" i="16" s="1"/>
  <c r="A1742" i="16" s="1"/>
  <c r="A1743" i="16" s="1"/>
  <c r="A1744" i="16" s="1"/>
  <c r="A1745" i="16" s="1"/>
  <c r="A1746" i="16" s="1"/>
  <c r="A1747" i="16" s="1"/>
  <c r="A1748" i="16" s="1"/>
  <c r="A1749" i="16" s="1"/>
  <c r="A1750" i="16" s="1"/>
  <c r="A1751" i="16" s="1"/>
  <c r="A1752" i="16" s="1"/>
  <c r="A1753" i="16" s="1"/>
  <c r="A1754" i="16" s="1"/>
  <c r="A1755" i="16" s="1"/>
  <c r="A1756" i="16" s="1"/>
  <c r="A1757" i="16" s="1"/>
  <c r="A1758" i="16" s="1"/>
  <c r="A1759" i="16" s="1"/>
  <c r="A1760" i="16" s="1"/>
  <c r="A1761" i="16" s="1"/>
  <c r="A1762" i="16" s="1"/>
  <c r="A1763" i="16" s="1"/>
  <c r="A1764" i="16" s="1"/>
  <c r="A1765" i="16" s="1"/>
  <c r="A1766" i="16" s="1"/>
  <c r="A1767" i="16" s="1"/>
  <c r="A1768" i="16" s="1"/>
  <c r="A1769" i="16" s="1"/>
  <c r="A1770" i="16" s="1"/>
  <c r="A1771" i="16" s="1"/>
  <c r="A1772" i="16" s="1"/>
  <c r="A1773" i="16" s="1"/>
  <c r="A1774" i="16" s="1"/>
  <c r="A1775" i="16" s="1"/>
  <c r="A1776" i="16" s="1"/>
  <c r="A1777" i="16" s="1"/>
  <c r="A1778" i="16" s="1"/>
  <c r="A1779" i="16" s="1"/>
  <c r="A1780" i="16" s="1"/>
  <c r="A1781" i="16" s="1"/>
  <c r="A1782" i="16" s="1"/>
  <c r="A1783" i="16" s="1"/>
  <c r="A1784" i="16" s="1"/>
  <c r="A1785" i="16" s="1"/>
  <c r="A1786" i="16" s="1"/>
  <c r="A1787" i="16" s="1"/>
  <c r="A1788" i="16" s="1"/>
  <c r="A1789" i="16" s="1"/>
  <c r="A1790" i="16" s="1"/>
  <c r="A1791" i="16" s="1"/>
  <c r="A1792" i="16" s="1"/>
  <c r="A1793" i="16" s="1"/>
  <c r="A1794" i="16" s="1"/>
  <c r="A1795" i="16" s="1"/>
  <c r="A1796" i="16" s="1"/>
  <c r="A1797" i="16" s="1"/>
  <c r="A1798" i="16" s="1"/>
  <c r="A1799" i="16" s="1"/>
  <c r="A1800" i="16" s="1"/>
  <c r="A1801" i="16" s="1"/>
  <c r="A1802" i="16" s="1"/>
  <c r="A1803" i="16" s="1"/>
  <c r="A1804" i="16" s="1"/>
  <c r="A1805" i="16" s="1"/>
  <c r="A1806" i="16" s="1"/>
  <c r="A1807" i="16" s="1"/>
  <c r="A1808" i="16" s="1"/>
  <c r="A1809" i="16" s="1"/>
  <c r="A1810" i="16" s="1"/>
  <c r="A1811" i="16" s="1"/>
  <c r="A1812" i="16" s="1"/>
  <c r="A1813" i="16" s="1"/>
  <c r="A1814" i="16" s="1"/>
  <c r="A1815" i="16" s="1"/>
  <c r="A1816" i="16" s="1"/>
  <c r="A1817" i="16" s="1"/>
  <c r="A1818" i="16" s="1"/>
  <c r="A1819" i="16" s="1"/>
  <c r="A1820" i="16" s="1"/>
  <c r="A1821" i="16" s="1"/>
  <c r="A1822" i="16" s="1"/>
  <c r="A1823" i="16" s="1"/>
  <c r="A1824" i="16" s="1"/>
  <c r="A1825" i="16" s="1"/>
  <c r="A1826" i="16" s="1"/>
  <c r="A1827" i="16" s="1"/>
  <c r="A1828" i="16" s="1"/>
  <c r="A1829" i="16" s="1"/>
  <c r="A1830" i="16" s="1"/>
  <c r="A1831" i="16" s="1"/>
  <c r="A1832" i="16" s="1"/>
  <c r="A1833" i="16" s="1"/>
  <c r="A1834" i="16" s="1"/>
  <c r="A1835" i="16" s="1"/>
  <c r="A1836" i="16" s="1"/>
  <c r="A1837" i="16" s="1"/>
  <c r="A1838" i="16" s="1"/>
  <c r="A1839" i="16" s="1"/>
  <c r="A1840" i="16" s="1"/>
  <c r="A1841" i="16" s="1"/>
  <c r="A1842" i="16" s="1"/>
  <c r="A1843" i="16" s="1"/>
  <c r="A1844" i="16" s="1"/>
  <c r="A1845" i="16" s="1"/>
  <c r="A1846" i="16" s="1"/>
  <c r="A1847" i="16" s="1"/>
  <c r="A1848" i="16" s="1"/>
  <c r="A1849" i="16" s="1"/>
  <c r="A1850" i="16" s="1"/>
  <c r="A1851" i="16" s="1"/>
  <c r="A1852" i="16"/>
  <c r="A1853" i="16" s="1"/>
  <c r="A1854" i="16" s="1"/>
  <c r="A1855" i="16" s="1"/>
  <c r="A1856" i="16" s="1"/>
  <c r="A1857" i="16" s="1"/>
  <c r="A1858" i="16" s="1"/>
  <c r="A1859" i="16" s="1"/>
  <c r="A1860" i="16" s="1"/>
  <c r="A1861" i="16" s="1"/>
  <c r="A1862" i="16" s="1"/>
  <c r="A1863" i="16" s="1"/>
  <c r="A1864" i="16" s="1"/>
  <c r="A1865" i="16" s="1"/>
  <c r="A1866" i="16" s="1"/>
  <c r="A1867" i="16" s="1"/>
  <c r="A1868" i="16" s="1"/>
  <c r="A1869" i="16" s="1"/>
  <c r="A1870" i="16" s="1"/>
  <c r="A1871" i="16" s="1"/>
  <c r="A1872" i="16" s="1"/>
  <c r="A1873" i="16" s="1"/>
  <c r="A1874" i="16"/>
  <c r="A1875" i="16" s="1"/>
  <c r="A1876" i="16" s="1"/>
  <c r="A1877" i="16" s="1"/>
  <c r="A1878" i="16" s="1"/>
  <c r="A1879" i="16" s="1"/>
  <c r="A1880" i="16" s="1"/>
  <c r="A1881" i="16" s="1"/>
  <c r="A1882" i="16" s="1"/>
  <c r="A1883" i="16" s="1"/>
  <c r="A1884" i="16" s="1"/>
  <c r="A1885" i="16" s="1"/>
  <c r="A1886" i="16" s="1"/>
  <c r="A1887" i="16" s="1"/>
  <c r="A1888" i="16" s="1"/>
  <c r="A1889" i="16" s="1"/>
  <c r="A1890" i="16" s="1"/>
  <c r="A1891" i="16" s="1"/>
  <c r="A1892" i="16" s="1"/>
  <c r="A1893" i="16" s="1"/>
  <c r="A1894" i="16" s="1"/>
  <c r="A1895" i="16" s="1"/>
  <c r="A1896" i="16" s="1"/>
  <c r="A1897" i="16" s="1"/>
  <c r="A1898" i="16" s="1"/>
  <c r="A1899" i="16" s="1"/>
  <c r="A1900" i="16" s="1"/>
  <c r="A1901" i="16" s="1"/>
  <c r="A1902" i="16" s="1"/>
  <c r="A1903" i="16" s="1"/>
  <c r="A1904" i="16" s="1"/>
  <c r="A1905" i="16" s="1"/>
  <c r="A1906" i="16" s="1"/>
  <c r="A1907" i="16" s="1"/>
  <c r="A1908" i="16" s="1"/>
  <c r="A1909" i="16" s="1"/>
  <c r="A1910" i="16" s="1"/>
  <c r="A1911" i="16" s="1"/>
  <c r="A1912" i="16" s="1"/>
  <c r="A1913" i="16" s="1"/>
  <c r="A1914" i="16" s="1"/>
  <c r="A1915" i="16" s="1"/>
  <c r="A1916" i="16"/>
  <c r="A1917" i="16" s="1"/>
  <c r="A1918" i="16"/>
  <c r="A1919" i="16" s="1"/>
  <c r="A1920" i="16" s="1"/>
  <c r="A1921" i="16" s="1"/>
  <c r="A1922" i="16" s="1"/>
  <c r="A1923" i="16" s="1"/>
  <c r="A1924" i="16" s="1"/>
  <c r="A1925" i="16" s="1"/>
  <c r="A1926" i="16" s="1"/>
  <c r="A1927" i="16" s="1"/>
  <c r="A1928" i="16" s="1"/>
  <c r="A1929" i="16" s="1"/>
  <c r="A1930" i="16" s="1"/>
  <c r="A1931" i="16" s="1"/>
  <c r="A2" i="16" l="1"/>
  <c r="A3" i="16" s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I24" i="13" l="1"/>
  <c r="G26" i="13"/>
  <c r="I22" i="13"/>
  <c r="C42" i="13" l="1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P2" i="13" l="1"/>
  <c r="P3" i="13" s="1"/>
  <c r="K26" i="13"/>
  <c r="I52" i="13"/>
  <c r="A52" i="13" s="1"/>
  <c r="I43" i="13"/>
  <c r="C40" i="13"/>
  <c r="D39" i="13"/>
  <c r="D38" i="13"/>
  <c r="D37" i="13"/>
  <c r="D36" i="13"/>
  <c r="E34" i="13"/>
  <c r="J33" i="13"/>
  <c r="F33" i="13"/>
  <c r="A31" i="13"/>
  <c r="E26" i="13"/>
  <c r="K24" i="13"/>
  <c r="G24" i="13"/>
  <c r="K22" i="13"/>
  <c r="G22" i="13"/>
  <c r="D18" i="13"/>
  <c r="A13" i="13"/>
  <c r="G16" i="13"/>
  <c r="B16" i="13"/>
  <c r="C14" i="13"/>
  <c r="K11" i="13"/>
  <c r="I11" i="13"/>
  <c r="E11" i="13"/>
  <c r="C9" i="13"/>
  <c r="F7" i="13"/>
  <c r="I3" i="13"/>
  <c r="D5" i="13"/>
  <c r="C5" i="13"/>
  <c r="B5" i="13"/>
  <c r="D29" i="13" l="1"/>
  <c r="E43" i="13" l="1"/>
</calcChain>
</file>

<file path=xl/connections.xml><?xml version="1.0" encoding="utf-8"?>
<connections xmlns="http://schemas.openxmlformats.org/spreadsheetml/2006/main">
  <connection id="1" keepAlive="1" name="Запрос — таблРеестр" description="Соединение с запросом &quot;таблРеестр&quot; в книге." type="5" refreshedVersion="6" background="1" saveData="1">
    <dbPr connection="Provider=Microsoft.Mashup.OleDb.1;Data Source=$Workbook$;Location=таблРеестр;Extended Properties=&quot;&quot;" command="SELECT * FROM [таблРеестр]"/>
  </connection>
</connections>
</file>

<file path=xl/sharedStrings.xml><?xml version="1.0" encoding="utf-8"?>
<sst xmlns="http://schemas.openxmlformats.org/spreadsheetml/2006/main" count="987" uniqueCount="427">
  <si>
    <t>Наименование подрядной организации</t>
  </si>
  <si>
    <t>ФИО сварщика</t>
  </si>
  <si>
    <t>Квалификационный разряд</t>
  </si>
  <si>
    <t>Вид сварки</t>
  </si>
  <si>
    <t>№ аттестационного удостоверения</t>
  </si>
  <si>
    <t>Клеймо</t>
  </si>
  <si>
    <t>Дата выдачи удостоверения</t>
  </si>
  <si>
    <t>Срок действия аттестационного удостоверения</t>
  </si>
  <si>
    <t>Группы технических устройств</t>
  </si>
  <si>
    <t>Толщина деталей, мм</t>
  </si>
  <si>
    <t>Наружный диаметр, мм</t>
  </si>
  <si>
    <t>Положение при сварке</t>
  </si>
  <si>
    <t>Сварочные маетериалы</t>
  </si>
  <si>
    <t>Вид соединения</t>
  </si>
  <si>
    <t>№ ВИК</t>
  </si>
  <si>
    <t>№ РГК</t>
  </si>
  <si>
    <t>№МХК</t>
  </si>
  <si>
    <t>№ ДЛС</t>
  </si>
  <si>
    <t>Описание допускных стыков</t>
  </si>
  <si>
    <t>ВИК ДС</t>
  </si>
  <si>
    <t>РК ДС</t>
  </si>
  <si>
    <t>Вкладыш В1</t>
  </si>
  <si>
    <t>Вид деталей</t>
  </si>
  <si>
    <t>Вид швов</t>
  </si>
  <si>
    <t>Вкладыш В2</t>
  </si>
  <si>
    <t>ООО Велесстрой</t>
  </si>
  <si>
    <t>ООО ГЕМОНТ</t>
  </si>
  <si>
    <t>РАД</t>
  </si>
  <si>
    <t>РД</t>
  </si>
  <si>
    <t>МП</t>
  </si>
  <si>
    <t>Дата вкладыш В1</t>
  </si>
  <si>
    <t>Дата Вкладыш В2</t>
  </si>
  <si>
    <t>Дата ДЛС</t>
  </si>
  <si>
    <t>Дата МХК</t>
  </si>
  <si>
    <t>Дата РГК</t>
  </si>
  <si>
    <t>Дата ВИК</t>
  </si>
  <si>
    <t>Полное название</t>
  </si>
  <si>
    <t>№ п/п</t>
  </si>
  <si>
    <t>Результаты контроля сварки допускных (пробных) стыков</t>
  </si>
  <si>
    <t>Номер допускного листа, срок допуска к работе на объектах АО «Газпромнефть-ОНПЗ»</t>
  </si>
  <si>
    <t>Примечание</t>
  </si>
  <si>
    <r>
      <t xml:space="preserve">Вид соедния ос(сп), дс(зк) </t>
    </r>
    <r>
      <rPr>
        <vertAlign val="superscript"/>
        <sz val="10"/>
        <rFont val="Calibri"/>
        <family val="2"/>
        <charset val="204"/>
        <scheme val="minor"/>
      </rPr>
      <t>3)</t>
    </r>
  </si>
  <si>
    <t>Ст.20</t>
  </si>
  <si>
    <t>15Х5М</t>
  </si>
  <si>
    <t>08Х18Н10Т</t>
  </si>
  <si>
    <t>12Х18Н10</t>
  </si>
  <si>
    <t>09Г2С</t>
  </si>
  <si>
    <t>08Х18Н10Т+15Х5М</t>
  </si>
  <si>
    <t>12Х18Н10+15Х5М</t>
  </si>
  <si>
    <t>Материальное исполнение</t>
  </si>
  <si>
    <t>Вид свариваемых работ</t>
  </si>
  <si>
    <t>№9-1, 9-2 ø57х5 мм, материал сталь марки 09Г2С; №9-3, ø159х14 мм (корневой слой 2 прохода), материал сталь марки 09Г2С</t>
  </si>
  <si>
    <t xml:space="preserve">№9-1, 9-2 ø57х4 мм, материал сталь марки 15Х5М; №9-3, ø159х13 мм (корневой слой 2 прохода), материал сталь марки 15Х5М (с подачей защитного газа  внутрь трубы)           </t>
  </si>
  <si>
    <t>№9-3, ø159х14 мм (РАД корневой слой шва (2 прохода) + РД последующие слои), материал сталь  марки 09Г2С</t>
  </si>
  <si>
    <t>№9-3, ø159х14 мм (РАД корневой слой шва (5 прохода) + РД последующие слои), материал сталь  марки 15Х5М</t>
  </si>
  <si>
    <t>№9-1, 9-2 ø57х5 мм, материал сталь марки 09Г2С</t>
  </si>
  <si>
    <t>№9-1, 9-5 ø57х5 мм, материал сталь марки 15Х5М</t>
  </si>
  <si>
    <t>№9-1, 9-1 ø57х5 мм, материал сталь марки 08Х18Н10Т</t>
  </si>
  <si>
    <t>№9-1, 9-1 ø57х5 мм, материал сталь марки 12Х18Н10</t>
  </si>
  <si>
    <t>Образец допускного стыка</t>
  </si>
  <si>
    <t>№9-3, ø159х14 мм (РАД корневой слой шва (2 прохода) + РД последующие слои), материал сталь  марки 08Х18Н10Т</t>
  </si>
  <si>
    <t>№9-3, ø159х14 мм (РАД корневой слой шва (2 прохода) + РД последующие слои), материал сталь  марки 12Х18Н10</t>
  </si>
  <si>
    <t xml:space="preserve">№9-1, 9-2 ø57х5 мм, материал сталь марки 08Х18Н10Т; №9-3, ø159х14 мм (корневой слой 2 прохода), материал сталь марки 08Х18Н10Т (с подачей защитного газа  внутрь трубы)  </t>
  </si>
  <si>
    <t>№9-1, 9-2 ø57х5 мм, материал сталь марки 09Г2С; №9-3, ø159х14 мм, материал сталь марки 09Г2С</t>
  </si>
  <si>
    <t>№9-1, 9-2 ø57х5 мм, материал сталь марки 08Х18Н10Т; №9-3, ø159х14 мм, материал сталь марки 08Х18Н10Т</t>
  </si>
  <si>
    <t>№9-1, 9-2 ø57х5 мм, материал сталь марки 08Х18Н10Т; №9-3, ø159х14 мм , материал сталь марки 08Х18Н10Т</t>
  </si>
  <si>
    <t xml:space="preserve">№9-1, 9-2 ø57х4 мм, материал сталь марки 15Х5М; №9-3, ø159х13 мм, материал сталь марки 15Х5М   </t>
  </si>
  <si>
    <t>РД (РАД+РД)</t>
  </si>
  <si>
    <t>РАД (РАД+РД)</t>
  </si>
  <si>
    <t>тип материала</t>
  </si>
  <si>
    <t xml:space="preserve">ООО  "Китайская национальная химико-инженерная строительная компания №7"
</t>
  </si>
  <si>
    <t>ООО "ОмскАгроПромСтрой"</t>
  </si>
  <si>
    <t>ПАО ОНХП</t>
  </si>
  <si>
    <t>ООО ГСИ Волгоградская фирма "НЗМ"</t>
  </si>
  <si>
    <t>03K9</t>
  </si>
  <si>
    <t>М01</t>
  </si>
  <si>
    <t>от 5 и выше</t>
  </si>
  <si>
    <t>Н1, Н2, Г, П1, П2, В1, Н45</t>
  </si>
  <si>
    <t>Р, РБ, Б</t>
  </si>
  <si>
    <t>от 25 и выше</t>
  </si>
  <si>
    <t>от 3 и выше</t>
  </si>
  <si>
    <t>КО пп. 1, 2, 3, 4, 5; ОХНВП пп. 1, 2, 3, 4, 6, 8, 9, 15, 16; СК пп. 1, 3</t>
  </si>
  <si>
    <t>ос (бп), ос (сп), дс (бз), дс (зк)</t>
  </si>
  <si>
    <t>Начальник ОТН</t>
  </si>
  <si>
    <t>В.Н. Шалденков</t>
  </si>
  <si>
    <t>СШ, УШ</t>
  </si>
  <si>
    <t>ос(сп), дс(зк)</t>
  </si>
  <si>
    <t>№9-1, 9-2 ø57х5 мм, материал сталь марки 20; №9-3, ø159х14 мм (корневой слой 2 прохода), материал сталь марки 20</t>
  </si>
  <si>
    <t>№9-3, ø159х14 мм (РАД корневой слой шва (2 прохода) + РД последующие слои), материал сталь  марки 20</t>
  </si>
  <si>
    <t>№9-1, 9-2 ø57х5 мм, материал сталь марки 20</t>
  </si>
  <si>
    <t>№9-1, 9-2 ø57х5 мм, материал сталь марки 20; №9-3, ø159х14 мм, материал сталь марки 20</t>
  </si>
  <si>
    <t>В соответствии с НТД для групп свариваемых материалов</t>
  </si>
  <si>
    <t> 8P52 </t>
  </si>
  <si>
    <t> ООО "Омсктепломонтаж"</t>
  </si>
  <si>
    <t> ЗСР-2АЦ-I-12958 </t>
  </si>
  <si>
    <t>Л+Т, Т, Л</t>
  </si>
  <si>
    <t>Л: Н1, Н2, Г, П1, П2, В1; Т: Н1, Н2, Г, П2, В1, Н45; Л+Т: В1, Н2, П2, Н45</t>
  </si>
  <si>
    <t>А, Р, РА, РБ, РЦ, Б</t>
  </si>
  <si>
    <t> ЗСР-2АЦ-I-13775 </t>
  </si>
  <si>
    <t> 3C2C </t>
  </si>
  <si>
    <t> ЗСР-2АЦ-I-13768 </t>
  </si>
  <si>
    <t> 3C4R </t>
  </si>
  <si>
    <t> ЗСР-2АЦ-I-13767 </t>
  </si>
  <si>
    <t> 9VRZ </t>
  </si>
  <si>
    <t> 3BPH </t>
  </si>
  <si>
    <t> ЗСР-2АЦ-I-13785 </t>
  </si>
  <si>
    <t> ЗСР-2АЦ-I-12974 </t>
  </si>
  <si>
    <t> 8R6S </t>
  </si>
  <si>
    <t>Т: Н1, Н2, Г, П2, В1, Н45; Л: Н1, Н2, Г, П1, П2, В1; Л+Т: Н2, П2, В1, Н45</t>
  </si>
  <si>
    <t> ЗСР-2АЦ-I-14247 </t>
  </si>
  <si>
    <t> 5H59 </t>
  </si>
  <si>
    <t>А, Б, Р, РА, РБ, РЦ</t>
  </si>
  <si>
    <t> ЗСР-2АЦ-I-14248 </t>
  </si>
  <si>
    <t> 5F2H </t>
  </si>
  <si>
    <t>М01, М11</t>
  </si>
  <si>
    <t>2461/1-20</t>
  </si>
  <si>
    <t>2462/1-20</t>
  </si>
  <si>
    <t>2463/1-20</t>
  </si>
  <si>
    <t>КСС №1, 2 - Ø57х4, материал 12Х18Н10Т</t>
  </si>
  <si>
    <t>2464/1-20</t>
  </si>
  <si>
    <t>2465/1-20</t>
  </si>
  <si>
    <t>2466/1-20</t>
  </si>
  <si>
    <t>2467/1-20</t>
  </si>
  <si>
    <t>КСС №1 - Ø159х14, материал сталь 20</t>
  </si>
  <si>
    <t>АО "Роснефтегазмонтаж"</t>
  </si>
  <si>
    <t>ООО "ЭРА"</t>
  </si>
  <si>
    <t>ООО "Спецэнергоремонт"</t>
  </si>
  <si>
    <t>ООО "Нефтехимремонт"</t>
  </si>
  <si>
    <t xml:space="preserve">М01, М11: от 28,5 до 114; </t>
  </si>
  <si>
    <t>М01, М11: от 3 до 8</t>
  </si>
  <si>
    <t>ООО "Велесстрой"</t>
  </si>
  <si>
    <t>ос(бп), ос(сп), дс(бз), дс(зк)</t>
  </si>
  <si>
    <t>ООО "Сибсвязьстрой"</t>
  </si>
  <si>
    <t>ООО "СтройСити"</t>
  </si>
  <si>
    <t>Л: Н1,Н2,Г,В1,П1,П2
Т: Н1,В1,Г,Н45
Л+Т: Н2,В1,П2,Н45</t>
  </si>
  <si>
    <t xml:space="preserve">Н1, Н2, Г, П1, П2, В1, Н45 </t>
  </si>
  <si>
    <t>2461/2-20</t>
  </si>
  <si>
    <t>ООО "Интерьер-плюс"</t>
  </si>
  <si>
    <t>ООО НПО "ЗМК"</t>
  </si>
  <si>
    <t>ООО "СК СМП"</t>
  </si>
  <si>
    <t>ООО "СК Сибмонтажпроект"</t>
  </si>
  <si>
    <t>ООО "Стройнефтехиммонтаж"</t>
  </si>
  <si>
    <t xml:space="preserve">от 79,5 и выше; </t>
  </si>
  <si>
    <t>ООО "Новый климат"</t>
  </si>
  <si>
    <t>ООО "АверСтрой"</t>
  </si>
  <si>
    <t xml:space="preserve"> МР-30АЦ-I-00195  </t>
  </si>
  <si>
    <t xml:space="preserve">A7P8 </t>
  </si>
  <si>
    <t xml:space="preserve">НГДО пп. 5; ОХНВП пп.1, 4, 16; СК пп. 1; </t>
  </si>
  <si>
    <t>В соответствии с НД</t>
  </si>
  <si>
    <t>ос (бп),ос (сп),дс (бз),дс (зк)</t>
  </si>
  <si>
    <t>2917/1-20</t>
  </si>
  <si>
    <t xml:space="preserve"> ЗСР-2АЦ-I-13578  </t>
  </si>
  <si>
    <t xml:space="preserve">НГДО пп. 5; ОХНВП пп. 4, 16; СК пп. 1; </t>
  </si>
  <si>
    <t>Сварочные проволоки по ГОСТ 2246-70 и другие аттестованные аналоги</t>
  </si>
  <si>
    <t>2918/1-20</t>
  </si>
  <si>
    <t>2E84</t>
  </si>
  <si>
    <t xml:space="preserve">НГДО пп. 5; ОХНВП пп.1, 4, 16; СК пп. 1, 3; </t>
  </si>
  <si>
    <t>ООО "РМЗ" ГПН-ОНПЗ"</t>
  </si>
  <si>
    <t xml:space="preserve">от 25 и выше; </t>
  </si>
  <si>
    <t>Группа свариваемых материалов 2)</t>
  </si>
  <si>
    <t xml:space="preserve"> МР-30АЦ-I-00219 </t>
  </si>
  <si>
    <t>6PB9</t>
  </si>
  <si>
    <t>3023/1-20</t>
  </si>
  <si>
    <t>ЗАО "Роснефтегазмонтаж"</t>
  </si>
  <si>
    <t>3045/1-20</t>
  </si>
  <si>
    <t>КСС №1, 2 - Ø48х4 мм, материал сталь 20; КСС №3 - Ø159х14 мм, материал сталь 20;</t>
  </si>
  <si>
    <t>ЗСР-2АЦ-I-13569</t>
  </si>
  <si>
    <t>22.05.2019              22.05.2019</t>
  </si>
  <si>
    <t>ООО "Тобол"</t>
  </si>
  <si>
    <t>ООО "СинергоТех"</t>
  </si>
  <si>
    <t xml:space="preserve">7TEV </t>
  </si>
  <si>
    <t xml:space="preserve">НГДО пп. 5; ОХНВП пп. 1, 4, 16; СК пп. 1, 3; </t>
  </si>
  <si>
    <t xml:space="preserve">  МР-30АЦ-I-00192</t>
  </si>
  <si>
    <t>3125/1-20</t>
  </si>
  <si>
    <t xml:space="preserve"> МР-30АЦ-I-00512</t>
  </si>
  <si>
    <t xml:space="preserve"> AK9X  </t>
  </si>
  <si>
    <t>3126/1-20</t>
  </si>
  <si>
    <t xml:space="preserve"> МР-30АЦ-I-00513  </t>
  </si>
  <si>
    <t xml:space="preserve">3TT7 </t>
  </si>
  <si>
    <t>3127/1-20</t>
  </si>
  <si>
    <t xml:space="preserve"> МР-30АЦ-I-00217  </t>
  </si>
  <si>
    <t>3128/1-20</t>
  </si>
  <si>
    <t xml:space="preserve"> МР-30АЦ-I-00393</t>
  </si>
  <si>
    <t xml:space="preserve">6FFK </t>
  </si>
  <si>
    <t>3139/1-20</t>
  </si>
  <si>
    <t>ООО "Промэнергосервис"</t>
  </si>
  <si>
    <t>ООО "СварТехМонтаж"</t>
  </si>
  <si>
    <r>
      <t xml:space="preserve">Группа свариваемых материалов </t>
    </r>
    <r>
      <rPr>
        <b/>
        <vertAlign val="superscript"/>
        <sz val="11"/>
        <rFont val="Calibri"/>
        <family val="2"/>
        <charset val="204"/>
        <scheme val="minor"/>
      </rPr>
      <t>2)</t>
    </r>
  </si>
  <si>
    <t>Сталь</t>
  </si>
  <si>
    <t>ДОПУСКНОЙ ЛИСТ СВАРЩИКА</t>
  </si>
  <si>
    <t>№</t>
  </si>
  <si>
    <t>Допускные листы</t>
  </si>
  <si>
    <t>от</t>
  </si>
  <si>
    <t>Ф.И.О. сварщика</t>
  </si>
  <si>
    <t>Атестационноке удостоверение</t>
  </si>
  <si>
    <t>до</t>
  </si>
  <si>
    <t>(номер, дата выдачи, срок действия)</t>
  </si>
  <si>
    <t xml:space="preserve">Вид сварки            </t>
  </si>
  <si>
    <t>Разряд</t>
  </si>
  <si>
    <r>
      <t>Клеймо</t>
    </r>
    <r>
      <rPr>
        <i/>
        <sz val="13"/>
        <color theme="1"/>
        <rFont val="Times New Roman"/>
        <family val="1"/>
        <charset val="204"/>
      </rPr>
      <t xml:space="preserve"> (в НАКС)</t>
    </r>
  </si>
  <si>
    <t>Допускные стыки:</t>
  </si>
  <si>
    <t>(типоразмер (мм), марка стали)</t>
  </si>
  <si>
    <t>Заключения по контролю качества допускных стыков:</t>
  </si>
  <si>
    <t xml:space="preserve">Визуально-измерительный контроль:    </t>
  </si>
  <si>
    <t xml:space="preserve">Радиографический (ультразвуковой) контроль:     </t>
  </si>
  <si>
    <t>Механические испытания:</t>
  </si>
  <si>
    <t>По результатам сварки допускных стыков, сварщик допущен к выполнению работ на объектах</t>
  </si>
  <si>
    <t>АО «Газпромнефть-ОНПЗ»:</t>
  </si>
  <si>
    <t>(способ сварки в соответствии с НТД  и перечень технических устройств)</t>
  </si>
  <si>
    <t xml:space="preserve">с областью распространения:   </t>
  </si>
  <si>
    <t xml:space="preserve">вид деталей  </t>
  </si>
  <si>
    <t xml:space="preserve">типы швов  </t>
  </si>
  <si>
    <t xml:space="preserve">группа свариваемого материала:   </t>
  </si>
  <si>
    <t>сварочные материалы:</t>
  </si>
  <si>
    <t xml:space="preserve">толщина деталей, мм   </t>
  </si>
  <si>
    <t>наружный диаметр, мм</t>
  </si>
  <si>
    <t xml:space="preserve">положение при сварке:  </t>
  </si>
  <si>
    <t>вид соединения:</t>
  </si>
  <si>
    <t>Примечание:</t>
  </si>
  <si>
    <t>допускной лист сварщика оформлен на основании п.4.3 ТР</t>
  </si>
  <si>
    <t xml:space="preserve">Допускной лист сварщика </t>
  </si>
  <si>
    <t xml:space="preserve">действителен до </t>
  </si>
  <si>
    <t>Данный допускной лист сварщика не отменяет и не заменяет для сварщика подрядной организации сварку КСС и допускных (пробных) стыков регламентируемых соответствующими нормативными документами (ФНиП, ГОСТ, ОСТ, СТО, РД, СНиП и т.п.), стандартами и методиками компании ПАО «Газпромнефть»  или проектами.</t>
  </si>
  <si>
    <t>Допускной лист сварщика выдан</t>
  </si>
  <si>
    <t>Инженер по сварке ОТН</t>
  </si>
  <si>
    <t>П.С. Марков</t>
  </si>
  <si>
    <t>День</t>
  </si>
  <si>
    <t>Месяц</t>
  </si>
  <si>
    <t>Год</t>
  </si>
  <si>
    <t>РАД (ручная аргонодуговая сварка неплавящимся электродом)</t>
  </si>
  <si>
    <t>ос(бп), ос(сп), дс(бз), дс(зк</t>
  </si>
  <si>
    <t>ручной аргонодуговой сварке неплавящимся электродом</t>
  </si>
  <si>
    <t>«1»</t>
  </si>
  <si>
    <t>января</t>
  </si>
  <si>
    <t>2000 г.</t>
  </si>
  <si>
    <t xml:space="preserve">РД (ручная дуговая сварка покрытыми электродами)  </t>
  </si>
  <si>
    <t>ручной дуговой сварке покрытыми электродами</t>
  </si>
  <si>
    <t>«2»</t>
  </si>
  <si>
    <t>февраля</t>
  </si>
  <si>
    <t>2001 г.</t>
  </si>
  <si>
    <t>МП (механизированная сварка плавящимся электродом в среде активных газов и смесях)</t>
  </si>
  <si>
    <t xml:space="preserve">в соответствии с НТД для группы свариваемых материалов </t>
  </si>
  <si>
    <t xml:space="preserve">механизированной сваркой плавящимся электродом в среде активных газов </t>
  </si>
  <si>
    <t>«3»</t>
  </si>
  <si>
    <t>марта</t>
  </si>
  <si>
    <t>2002 г.</t>
  </si>
  <si>
    <t xml:space="preserve">                                                                                                                                                                                                  </t>
  </si>
  <si>
    <t>«4»</t>
  </si>
  <si>
    <t>апреля</t>
  </si>
  <si>
    <t>2003 г.</t>
  </si>
  <si>
    <t>сварщик допускается к сварке согласно области распространения по настоящему допускному листу при наличии разряда, указанного в руководящей и нормативно-технической документации на сварку соответствующих конструкций.</t>
  </si>
  <si>
    <t>«5»</t>
  </si>
  <si>
    <t>мая</t>
  </si>
  <si>
    <t>2004 г.</t>
  </si>
  <si>
    <t>«6»</t>
  </si>
  <si>
    <t>июня</t>
  </si>
  <si>
    <t>2005 г.</t>
  </si>
  <si>
    <t>«7»</t>
  </si>
  <si>
    <t>июля</t>
  </si>
  <si>
    <t>2006 г.</t>
  </si>
  <si>
    <t>«8»</t>
  </si>
  <si>
    <t>августа</t>
  </si>
  <si>
    <t>2007 г.</t>
  </si>
  <si>
    <t>«9»</t>
  </si>
  <si>
    <t>сентября</t>
  </si>
  <si>
    <t>2008 г.</t>
  </si>
  <si>
    <t xml:space="preserve"> </t>
  </si>
  <si>
    <t>«10»</t>
  </si>
  <si>
    <t>октября</t>
  </si>
  <si>
    <t>2009 г.</t>
  </si>
  <si>
    <t xml:space="preserve">*на применение технологии сварки по аустенитному варианту не распространяется </t>
  </si>
  <si>
    <t>М01,М02, М03, М05*, М05+М01*, М05+ М02*</t>
  </si>
  <si>
    <t>«11»</t>
  </si>
  <si>
    <t>ноября</t>
  </si>
  <si>
    <t>2010 г.</t>
  </si>
  <si>
    <t>«12»</t>
  </si>
  <si>
    <t>декабря</t>
  </si>
  <si>
    <t>2011 г.</t>
  </si>
  <si>
    <t>«13»</t>
  </si>
  <si>
    <t>2012 г.</t>
  </si>
  <si>
    <t>«14»</t>
  </si>
  <si>
    <t>2013 г.</t>
  </si>
  <si>
    <t>М01,М02, М03, М05*, М05+М01*, М05+ М02*,М11</t>
  </si>
  <si>
    <t>«15»</t>
  </si>
  <si>
    <t>2014 г.</t>
  </si>
  <si>
    <t>«16»</t>
  </si>
  <si>
    <t>2015 г.</t>
  </si>
  <si>
    <t>«17»</t>
  </si>
  <si>
    <t>2016 г.</t>
  </si>
  <si>
    <t>«18»</t>
  </si>
  <si>
    <t>2017 г.</t>
  </si>
  <si>
    <t>«19»</t>
  </si>
  <si>
    <t>2018 г.</t>
  </si>
  <si>
    <t xml:space="preserve">Т: Н1, Н2, В1, Г, П2, Н45; Л+Т: Н2, В1, П2, Н45; Л: Н1, Н2, Г, В1, П1, П2                                    </t>
  </si>
  <si>
    <t>«20»</t>
  </si>
  <si>
    <t>2019 г.</t>
  </si>
  <si>
    <t>«21»</t>
  </si>
  <si>
    <t>2020 г.</t>
  </si>
  <si>
    <t>«22»</t>
  </si>
  <si>
    <t>2021 г.</t>
  </si>
  <si>
    <t>«23»</t>
  </si>
  <si>
    <t>2022 г.</t>
  </si>
  <si>
    <t>«24»</t>
  </si>
  <si>
    <t>2023 г.</t>
  </si>
  <si>
    <t>«25»</t>
  </si>
  <si>
    <t>2024 г.</t>
  </si>
  <si>
    <t>«26»</t>
  </si>
  <si>
    <t>2025 г.</t>
  </si>
  <si>
    <t>«27»</t>
  </si>
  <si>
    <t>2026 г.</t>
  </si>
  <si>
    <t>«28»</t>
  </si>
  <si>
    <t>2027 г.</t>
  </si>
  <si>
    <t>«29»</t>
  </si>
  <si>
    <t>2028 г.</t>
  </si>
  <si>
    <t>«30»</t>
  </si>
  <si>
    <t>2029 г.</t>
  </si>
  <si>
    <t>«31»</t>
  </si>
  <si>
    <t>2030 г.</t>
  </si>
  <si>
    <t xml:space="preserve"> МР-30АЦ-I-00220</t>
  </si>
  <si>
    <t xml:space="preserve"> 6PB9  </t>
  </si>
  <si>
    <t xml:space="preserve">А, Р, РА, РБ, Б, РЦ </t>
  </si>
  <si>
    <t xml:space="preserve">ос (бп),ос (сп),дс (бз),дс (зк) </t>
  </si>
  <si>
    <t>3221/1-21</t>
  </si>
  <si>
    <t>КСС №1, 2 - Ø57х4 мм, материал сталь 20; КСС №3 - Ø159х14 мм, материал сталь 20;</t>
  </si>
  <si>
    <t xml:space="preserve"> МР-30АЦ-I-00218  </t>
  </si>
  <si>
    <t>3222/1-21</t>
  </si>
  <si>
    <t>X</t>
  </si>
  <si>
    <t>Off</t>
  </si>
  <si>
    <t>Материал</t>
  </si>
  <si>
    <t>Тип сварки</t>
  </si>
  <si>
    <t>Пароль:</t>
  </si>
  <si>
    <t>3084</t>
  </si>
  <si>
    <t>3087</t>
  </si>
  <si>
    <t>3090</t>
  </si>
  <si>
    <t>3089</t>
  </si>
  <si>
    <t>3085</t>
  </si>
  <si>
    <t>3134</t>
  </si>
  <si>
    <t>3088</t>
  </si>
  <si>
    <t>3423</t>
  </si>
  <si>
    <t>3744</t>
  </si>
  <si>
    <t>3743</t>
  </si>
  <si>
    <t>1289</t>
  </si>
  <si>
    <t>3741</t>
  </si>
  <si>
    <t>3453</t>
  </si>
  <si>
    <t>3520</t>
  </si>
  <si>
    <t>3799</t>
  </si>
  <si>
    <t>3742</t>
  </si>
  <si>
    <t>3777</t>
  </si>
  <si>
    <t>3420</t>
  </si>
  <si>
    <t>153</t>
  </si>
  <si>
    <t/>
  </si>
  <si>
    <t>94</t>
  </si>
  <si>
    <t>96</t>
  </si>
  <si>
    <t>99</t>
  </si>
  <si>
    <t>98</t>
  </si>
  <si>
    <t>95</t>
  </si>
  <si>
    <t>131</t>
  </si>
  <si>
    <t>97</t>
  </si>
  <si>
    <t>203</t>
  </si>
  <si>
    <t>87</t>
  </si>
  <si>
    <t>89</t>
  </si>
  <si>
    <t>246</t>
  </si>
  <si>
    <t>244</t>
  </si>
  <si>
    <t>176</t>
  </si>
  <si>
    <t>90</t>
  </si>
  <si>
    <t>202</t>
  </si>
  <si>
    <t>№2462/1-20 от 22.07.2020 до 23.08.2021</t>
  </si>
  <si>
    <t>№2467/1-20 от 22.07.2020 до 24.04.2022</t>
  </si>
  <si>
    <t>№2461/1-20 от 22.07.2020 до 03.08.2020</t>
  </si>
  <si>
    <t>№2461/2-20 от 03.08.2020 до 03.08.2021</t>
  </si>
  <si>
    <t>№2463/1-20 от 22.07.2020 до 23.08.2021</t>
  </si>
  <si>
    <t>№2466/1-20 от 22.07.2020 до 24.04.2022</t>
  </si>
  <si>
    <t>№2464/1-20 от 22.07.2020 до 23.08.2021</t>
  </si>
  <si>
    <t>№2465/1-20 от 22.07.2020 до 23.08.2021</t>
  </si>
  <si>
    <t>№2917/1-20 от 29.09.2020 до 02.03.2022</t>
  </si>
  <si>
    <t>№3125/1-20 от 24.12.2020 до 02.03.2022</t>
  </si>
  <si>
    <t>№3126/1-20 от 24.12.2020 до 03.08.2022</t>
  </si>
  <si>
    <t>№3045/1-20 от 24.11.2020 до 31.05.2021</t>
  </si>
  <si>
    <t>№3127/1-20 от 24.12.2020 до 03.08.2022</t>
  </si>
  <si>
    <t>№3139/1-20 от 30.09.2020 до 25.06.2020</t>
  </si>
  <si>
    <t>№3023/1-20 от 12.11.2020 до 10.03.2022</t>
  </si>
  <si>
    <t>№3221/1-21 от 12.02.2021 до 10.03.2022</t>
  </si>
  <si>
    <t>№3128/1-20 от 24.12.2020 до 10.03.2022</t>
  </si>
  <si>
    <t>№3222/1-21 от 12.02.2021 до 10.03.2022</t>
  </si>
  <si>
    <t>№2918/1-20 от 29.09.2020 до 31.05.2021</t>
  </si>
  <si>
    <t>477
478</t>
  </si>
  <si>
    <t xml:space="preserve">ВИК №3084- оценка годные РГК №94- оценка годные; </t>
  </si>
  <si>
    <t xml:space="preserve">ВИК №3087- оценка годные РГК №96- оценка годные; </t>
  </si>
  <si>
    <t xml:space="preserve">ВИК №3090- оценка годные РГК №99- оценка годные; </t>
  </si>
  <si>
    <t xml:space="preserve">ВИК №3089- оценка годные РГК №98- оценка годные; </t>
  </si>
  <si>
    <t xml:space="preserve">ВИК №3085- оценка годные РГК №95- оценка годные; </t>
  </si>
  <si>
    <t xml:space="preserve">ВИК №3134- оценка годные РГК №131- оценка годные; </t>
  </si>
  <si>
    <t xml:space="preserve">ВИК №3088- оценка годные РГК №97- оценка годные; </t>
  </si>
  <si>
    <t xml:space="preserve">ВИК №3423- оценка годные РГК №203- оценка годные; </t>
  </si>
  <si>
    <t xml:space="preserve">ВИК №3744- оценка годные РГК №87- оценка годные; </t>
  </si>
  <si>
    <t xml:space="preserve">ВИК №3743- оценка годные РГК №89- оценка годные; </t>
  </si>
  <si>
    <t xml:space="preserve">ВИК №3741- оценка годные РГК №94- оценка годные; </t>
  </si>
  <si>
    <t xml:space="preserve">ВИК №3453- оценка годные РГК №244- оценка годные; </t>
  </si>
  <si>
    <t xml:space="preserve">ВИК №3520- оценка годные РГК №97- оценка годные; </t>
  </si>
  <si>
    <t xml:space="preserve">ВИК №3799- оценка годные РГК №176- оценка годные; </t>
  </si>
  <si>
    <t xml:space="preserve">ВИК №3742- оценка годные РГК №90- оценка годные; </t>
  </si>
  <si>
    <t xml:space="preserve">ВИК №3777- оценка годные РГК №153- оценка годные; </t>
  </si>
  <si>
    <t xml:space="preserve">ВИК №3420- оценка годные РГК №202- оценка годные; </t>
  </si>
  <si>
    <t> ООО "Для примера"</t>
  </si>
  <si>
    <t> ООО "ИВАНУШКИ"</t>
  </si>
  <si>
    <t>АО "GOOGLE"</t>
  </si>
  <si>
    <t>Абрам Смирнов</t>
  </si>
  <si>
    <t>Абрам Иванов</t>
  </si>
  <si>
    <t>Абрам Кузнецов</t>
  </si>
  <si>
    <t>Абрам Соколов</t>
  </si>
  <si>
    <t>Абрам Попов</t>
  </si>
  <si>
    <t>Абрам Лебедев</t>
  </si>
  <si>
    <t>Абрам Козлов</t>
  </si>
  <si>
    <t>Абрам Новиков</t>
  </si>
  <si>
    <t>Аваз Смирнов</t>
  </si>
  <si>
    <t>Аваз Иванов</t>
  </si>
  <si>
    <t>Аваз Кузнецов</t>
  </si>
  <si>
    <t>Аваз Соколов</t>
  </si>
  <si>
    <t>Аваз Попов</t>
  </si>
  <si>
    <t>Аваз Лебедев</t>
  </si>
  <si>
    <t>Аваз Козлов</t>
  </si>
  <si>
    <t>Аваз Новиков</t>
  </si>
  <si>
    <t>Август Смирнов</t>
  </si>
  <si>
    <t>Август Иванов</t>
  </si>
  <si>
    <t>Август Кузнецов</t>
  </si>
  <si>
    <t>Август Соколов</t>
  </si>
  <si>
    <t>И.И.Иванов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</si>
</sst>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_-* #,##0_-;\-* #,##0_-;_-* &quot;-&quot;_-;_-@_-"/>
    <numFmt numFmtId="165" formatCode="_-* #,##0.00_-;\-* #,##0.00_-;_-* &quot;-&quot;??_-;_-@_-"/>
    <numFmt numFmtId="166" formatCode="_-* #,##0.00_р_._-;\-* #,##0.00_р_._-;_-* &quot;-&quot;??_р_._-;_-@_-"/>
    <numFmt numFmtId="167" formatCode="_-* #,##0_р_._-;\-* #,##0_р_._-;_-* &quot;-&quot;_р_._-;_-@_-"/>
    <numFmt numFmtId="168" formatCode="[$-419]General"/>
    <numFmt numFmtId="169" formatCode="_(&quot;$&quot;* #,##0_);_(&quot;$&quot;* \(#,##0\);_(&quot;$&quot;* &quot;-&quot;_);_(@_)"/>
    <numFmt numFmtId="170" formatCode="dd\.mm\.yy"/>
    <numFmt numFmtId="171" formatCode="[$-F800]dddd\,\ mmmm\ dd\,\ yyyy"/>
  </numFmts>
  <fonts count="60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vertAlign val="superscript"/>
      <sz val="10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0"/>
      <name val="Arial Cyr"/>
      <charset val="204"/>
    </font>
    <font>
      <sz val="11"/>
      <color rgb="FF9C0006"/>
      <name val="Calibri"/>
      <family val="2"/>
      <charset val="204"/>
    </font>
    <font>
      <sz val="11"/>
      <color rgb="FF9C6500"/>
      <name val="Calibri"/>
      <family val="2"/>
      <charset val="204"/>
    </font>
    <font>
      <sz val="11"/>
      <color rgb="FF000000"/>
      <name val="Calibri"/>
      <family val="2"/>
      <charset val="204"/>
    </font>
    <font>
      <u/>
      <sz val="11"/>
      <color rgb="FF0000FF"/>
      <name val="Calibri"/>
      <family val="2"/>
      <charset val="204"/>
    </font>
    <font>
      <u/>
      <sz val="8"/>
      <color rgb="FF0000FF"/>
      <name val="Arial"/>
      <family val="2"/>
      <charset val="204"/>
    </font>
    <font>
      <u/>
      <sz val="8"/>
      <color theme="10"/>
      <name val="Arial"/>
      <family val="2"/>
      <charset val="204"/>
    </font>
    <font>
      <sz val="8"/>
      <color rgb="FF000000"/>
      <name val="Arial"/>
      <family val="2"/>
      <charset val="204"/>
    </font>
    <font>
      <sz val="8"/>
      <name val="Arial"/>
      <family val="2"/>
      <charset val="204"/>
    </font>
    <font>
      <sz val="8"/>
      <name val="Arial"/>
      <family val="2"/>
    </font>
    <font>
      <sz val="10"/>
      <name val="Arial"/>
      <family val="2"/>
      <charset val="204"/>
    </font>
    <font>
      <sz val="12"/>
      <name val="Arial MT"/>
    </font>
    <font>
      <sz val="10"/>
      <name val="MS Sans Serif"/>
    </font>
    <font>
      <sz val="10"/>
      <name val="Arial"/>
      <family val="2"/>
    </font>
    <font>
      <sz val="10"/>
      <name val="Helv"/>
      <charset val="204"/>
    </font>
    <font>
      <sz val="11"/>
      <color indexed="8"/>
      <name val="Calibri"/>
      <family val="2"/>
      <charset val="204"/>
    </font>
    <font>
      <sz val="10"/>
      <color rgb="FF000000"/>
      <name val="Arial Cyr"/>
      <charset val="204"/>
    </font>
    <font>
      <sz val="11"/>
      <name val="돋움"/>
      <family val="3"/>
      <charset val="129"/>
    </font>
    <font>
      <b/>
      <sz val="10"/>
      <color indexed="34"/>
      <name val="CyrillicHelvet"/>
      <family val="2"/>
    </font>
    <font>
      <sz val="10"/>
      <color indexed="34"/>
      <name val="CyrillicHelvet"/>
      <family val="2"/>
    </font>
    <font>
      <sz val="10"/>
      <name val="Times New Roman"/>
      <family val="1"/>
    </font>
    <font>
      <sz val="8"/>
      <color indexed="9"/>
      <name val="CyrillicHelvet"/>
      <family val="2"/>
    </font>
    <font>
      <b/>
      <sz val="10"/>
      <color indexed="32"/>
      <name val="CyrillicHelvet"/>
      <family val="2"/>
    </font>
    <font>
      <b/>
      <sz val="8"/>
      <color indexed="32"/>
      <name val="CyrillicHelvet"/>
      <family val="2"/>
    </font>
    <font>
      <sz val="10"/>
      <name val="MS Sans Serif"/>
      <family val="2"/>
    </font>
    <font>
      <sz val="10"/>
      <color indexed="18"/>
      <name val="CyrillicHelvet"/>
      <family val="2"/>
    </font>
    <font>
      <b/>
      <sz val="10"/>
      <color indexed="18"/>
      <name val="CyrillicHelvet"/>
      <family val="2"/>
    </font>
    <font>
      <sz val="8"/>
      <color indexed="18"/>
      <name val="CyrillicHelvet"/>
      <family val="2"/>
    </font>
    <font>
      <sz val="10"/>
      <color indexed="12"/>
      <name val="CyrillicHelvet"/>
      <family val="2"/>
    </font>
    <font>
      <u/>
      <sz val="5"/>
      <color indexed="36"/>
      <name val="Arial"/>
      <family val="2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vertAlign val="superscript"/>
      <sz val="11"/>
      <name val="Calibri"/>
      <family val="2"/>
      <charset val="204"/>
      <scheme val="minor"/>
    </font>
    <font>
      <sz val="16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u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i/>
      <u/>
      <sz val="13"/>
      <color theme="1"/>
      <name val="Times New Roman"/>
      <family val="1"/>
      <charset val="204"/>
    </font>
    <font>
      <b/>
      <i/>
      <sz val="13"/>
      <color theme="1"/>
      <name val="Times New Roman"/>
      <family val="1"/>
      <charset val="204"/>
    </font>
    <font>
      <b/>
      <i/>
      <sz val="11"/>
      <color theme="1"/>
      <name val="Times New Roman"/>
      <family val="1"/>
      <charset val="204"/>
    </font>
    <font>
      <i/>
      <sz val="13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i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i/>
      <u/>
      <sz val="11"/>
      <color theme="1"/>
      <name val="Arial"/>
      <family val="2"/>
      <charset val="204"/>
    </font>
    <font>
      <i/>
      <u/>
      <sz val="11"/>
      <color theme="1"/>
      <name val="Times New Roman"/>
      <family val="1"/>
      <charset val="204"/>
    </font>
    <font>
      <sz val="20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FFFFFF"/>
        <bgColor rgb="FFFFFFFF"/>
      </patternFill>
    </fill>
    <fill>
      <patternFill patternType="solid">
        <fgColor indexed="1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43"/>
      </top>
      <bottom/>
      <diagonal/>
    </border>
    <border>
      <left style="thin">
        <color indexed="43"/>
      </left>
      <right/>
      <top style="thin">
        <color indexed="43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32"/>
      </top>
      <bottom/>
      <diagonal/>
    </border>
    <border>
      <left/>
      <right style="hair">
        <color indexed="32"/>
      </right>
      <top style="hair">
        <color indexed="32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806">
    <xf numFmtId="0" fontId="0" fillId="0" borderId="0"/>
    <xf numFmtId="44" fontId="1" fillId="0" borderId="0" applyFont="0" applyFill="0" applyBorder="0" applyAlignment="0" applyProtection="0"/>
    <xf numFmtId="0" fontId="8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0" borderId="0" applyNumberFormat="0" applyBorder="0" applyProtection="0"/>
    <xf numFmtId="0" fontId="12" fillId="0" borderId="0" applyNumberFormat="0" applyBorder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/>
    <xf numFmtId="0" fontId="12" fillId="0" borderId="0"/>
    <xf numFmtId="0" fontId="9" fillId="0" borderId="0"/>
    <xf numFmtId="0" fontId="16" fillId="0" borderId="0" applyNumberFormat="0" applyBorder="0" applyProtection="0">
      <alignment horizontal="left"/>
    </xf>
    <xf numFmtId="0" fontId="9" fillId="0" borderId="0"/>
    <xf numFmtId="0" fontId="1" fillId="0" borderId="0"/>
    <xf numFmtId="0" fontId="1" fillId="0" borderId="0"/>
    <xf numFmtId="0" fontId="9" fillId="0" borderId="0"/>
    <xf numFmtId="0" fontId="12" fillId="0" borderId="0" applyNumberFormat="0" applyFont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 applyNumberFormat="0" applyBorder="0" applyProtection="0"/>
    <xf numFmtId="0" fontId="17" fillId="0" borderId="0">
      <alignment horizontal="left"/>
    </xf>
    <xf numFmtId="0" fontId="16" fillId="0" borderId="0" applyNumberFormat="0" applyBorder="0" applyProtection="0">
      <alignment horizontal="left"/>
    </xf>
    <xf numFmtId="0" fontId="1" fillId="0" borderId="0"/>
    <xf numFmtId="0" fontId="18" fillId="0" borderId="0"/>
    <xf numFmtId="0" fontId="1" fillId="0" borderId="0"/>
    <xf numFmtId="0" fontId="16" fillId="0" borderId="0" applyNumberFormat="0" applyBorder="0" applyProtection="0">
      <alignment horizontal="lef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 applyNumberFormat="0" applyBorder="0" applyProtection="0">
      <alignment horizontal="left"/>
    </xf>
    <xf numFmtId="0" fontId="1" fillId="0" borderId="0"/>
    <xf numFmtId="0" fontId="1" fillId="0" borderId="0"/>
    <xf numFmtId="0" fontId="16" fillId="0" borderId="0" applyNumberFormat="0" applyBorder="0" applyProtection="0">
      <alignment horizontal="left"/>
    </xf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8" fillId="0" borderId="0"/>
    <xf numFmtId="0" fontId="1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20" fillId="6" borderId="0"/>
    <xf numFmtId="0" fontId="1" fillId="0" borderId="0"/>
    <xf numFmtId="0" fontId="1" fillId="0" borderId="0"/>
    <xf numFmtId="166" fontId="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2" fillId="0" borderId="0"/>
    <xf numFmtId="43" fontId="8" fillId="0" borderId="0" applyFont="0" applyFill="0" applyBorder="0" applyAlignment="0" applyProtection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2" fillId="0" borderId="0" applyNumberFormat="0" applyFont="0" applyBorder="0" applyProtection="0"/>
    <xf numFmtId="0" fontId="17" fillId="0" borderId="0">
      <alignment horizontal="left"/>
    </xf>
    <xf numFmtId="0" fontId="16" fillId="0" borderId="0" applyNumberFormat="0" applyBorder="0" applyProtection="0">
      <alignment horizontal="lef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 applyNumberFormat="0" applyBorder="0" applyProtection="0">
      <alignment horizontal="left"/>
    </xf>
    <xf numFmtId="0" fontId="16" fillId="0" borderId="0" applyNumberFormat="0" applyBorder="0" applyProtection="0">
      <alignment horizontal="left"/>
    </xf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1" fillId="0" borderId="0"/>
    <xf numFmtId="0" fontId="8" fillId="0" borderId="0"/>
    <xf numFmtId="0" fontId="9" fillId="0" borderId="0"/>
    <xf numFmtId="0" fontId="12" fillId="0" borderId="0" applyNumberFormat="0" applyFont="0" applyBorder="0" applyProtection="0"/>
    <xf numFmtId="0" fontId="17" fillId="0" borderId="0">
      <alignment horizontal="left"/>
    </xf>
    <xf numFmtId="0" fontId="16" fillId="0" borderId="0" applyNumberFormat="0" applyBorder="0" applyProtection="0">
      <alignment horizontal="left"/>
    </xf>
    <xf numFmtId="0" fontId="16" fillId="0" borderId="0" applyNumberFormat="0" applyBorder="0" applyProtection="0">
      <alignment horizontal="left"/>
    </xf>
    <xf numFmtId="0" fontId="12" fillId="0" borderId="0"/>
    <xf numFmtId="166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3" fillId="0" borderId="0"/>
    <xf numFmtId="166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6" fillId="0" borderId="1">
      <alignment horizontal="center"/>
    </xf>
    <xf numFmtId="0" fontId="9" fillId="0" borderId="0">
      <alignment vertical="top"/>
    </xf>
    <xf numFmtId="0" fontId="6" fillId="0" borderId="1">
      <alignment horizontal="center"/>
    </xf>
    <xf numFmtId="0" fontId="6" fillId="0" borderId="0">
      <alignment vertical="top"/>
    </xf>
    <xf numFmtId="0" fontId="9" fillId="0" borderId="0"/>
    <xf numFmtId="0" fontId="6" fillId="0" borderId="0">
      <alignment horizontal="right" vertical="top" wrapText="1"/>
    </xf>
    <xf numFmtId="0" fontId="6" fillId="0" borderId="0"/>
    <xf numFmtId="0" fontId="9" fillId="0" borderId="0"/>
    <xf numFmtId="0" fontId="9" fillId="0" borderId="0"/>
    <xf numFmtId="0" fontId="6" fillId="0" borderId="0"/>
    <xf numFmtId="0" fontId="9" fillId="0" borderId="0"/>
    <xf numFmtId="0" fontId="9" fillId="0" borderId="0"/>
    <xf numFmtId="0" fontId="6" fillId="0" borderId="1">
      <alignment horizontal="center" wrapText="1"/>
    </xf>
    <xf numFmtId="0" fontId="9" fillId="0" borderId="0">
      <alignment vertical="top"/>
    </xf>
    <xf numFmtId="0" fontId="9" fillId="0" borderId="0"/>
    <xf numFmtId="0" fontId="9" fillId="0" borderId="0"/>
    <xf numFmtId="0" fontId="6" fillId="0" borderId="0"/>
    <xf numFmtId="0" fontId="6" fillId="0" borderId="1">
      <alignment horizontal="center" wrapText="1"/>
    </xf>
    <xf numFmtId="0" fontId="6" fillId="0" borderId="1">
      <alignment horizontal="center"/>
    </xf>
    <xf numFmtId="0" fontId="6" fillId="0" borderId="1">
      <alignment horizontal="center" wrapText="1"/>
    </xf>
    <xf numFmtId="0" fontId="9" fillId="0" borderId="0"/>
    <xf numFmtId="0" fontId="6" fillId="0" borderId="0">
      <alignment horizontal="center"/>
    </xf>
    <xf numFmtId="166" fontId="24" fillId="0" borderId="0" applyFont="0" applyFill="0" applyBorder="0" applyAlignment="0" applyProtection="0"/>
    <xf numFmtId="0" fontId="6" fillId="0" borderId="0">
      <alignment horizontal="left" vertical="top"/>
    </xf>
    <xf numFmtId="0" fontId="6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17" fillId="0" borderId="0">
      <alignment horizontal="left"/>
    </xf>
    <xf numFmtId="0" fontId="8" fillId="0" borderId="0"/>
    <xf numFmtId="0" fontId="1" fillId="0" borderId="0"/>
    <xf numFmtId="0" fontId="8" fillId="0" borderId="0"/>
    <xf numFmtId="168" fontId="25" fillId="0" borderId="0" applyBorder="0" applyProtection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7" fillId="0" borderId="0">
      <alignment horizontal="left"/>
    </xf>
    <xf numFmtId="0" fontId="16" fillId="0" borderId="0" applyNumberFormat="0" applyBorder="0" applyProtection="0">
      <alignment horizontal="left"/>
    </xf>
    <xf numFmtId="0" fontId="12" fillId="0" borderId="0"/>
    <xf numFmtId="0" fontId="12" fillId="0" borderId="0"/>
    <xf numFmtId="0" fontId="9" fillId="0" borderId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8" fillId="0" borderId="0"/>
    <xf numFmtId="0" fontId="19" fillId="0" borderId="0"/>
    <xf numFmtId="0" fontId="9" fillId="0" borderId="0"/>
    <xf numFmtId="9" fontId="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9" fillId="0" borderId="0"/>
    <xf numFmtId="0" fontId="27" fillId="7" borderId="2">
      <alignment vertical="center"/>
    </xf>
    <xf numFmtId="170" fontId="27" fillId="7" borderId="2" applyBorder="0">
      <alignment vertical="center"/>
    </xf>
    <xf numFmtId="0" fontId="27" fillId="7" borderId="2">
      <alignment vertical="center"/>
    </xf>
    <xf numFmtId="0" fontId="28" fillId="7" borderId="3">
      <alignment vertical="center"/>
    </xf>
    <xf numFmtId="0" fontId="29" fillId="0" borderId="0" applyFill="0" applyAlignment="0" applyProtection="0"/>
    <xf numFmtId="0" fontId="30" fillId="8" borderId="4">
      <alignment horizontal="center"/>
    </xf>
    <xf numFmtId="167" fontId="22" fillId="0" borderId="0" applyFont="0" applyFill="0" applyBorder="0" applyAlignment="0" applyProtection="0"/>
    <xf numFmtId="0" fontId="31" fillId="9" borderId="3"/>
    <xf numFmtId="170" fontId="32" fillId="9" borderId="3" applyBorder="0">
      <alignment horizontal="center"/>
    </xf>
    <xf numFmtId="0" fontId="31" fillId="9" borderId="3"/>
    <xf numFmtId="0" fontId="33" fillId="0" borderId="0"/>
    <xf numFmtId="0" fontId="22" fillId="0" borderId="0"/>
    <xf numFmtId="169" fontId="22" fillId="0" borderId="0" applyFont="0" applyFill="0" applyBorder="0" applyAlignment="0" applyProtection="0"/>
    <xf numFmtId="0" fontId="34" fillId="10" borderId="5" applyBorder="0">
      <alignment horizontal="center" vertical="center"/>
    </xf>
    <xf numFmtId="0" fontId="35" fillId="11" borderId="6">
      <alignment vertical="center"/>
    </xf>
    <xf numFmtId="0" fontId="36" fillId="10" borderId="0">
      <alignment horizontal="left" vertical="center"/>
    </xf>
    <xf numFmtId="0" fontId="37" fillId="10" borderId="5">
      <alignment vertical="center"/>
    </xf>
    <xf numFmtId="0" fontId="1" fillId="0" borderId="0"/>
    <xf numFmtId="0" fontId="38" fillId="0" borderId="0" applyNumberFormat="0" applyFill="0" applyBorder="0" applyAlignment="0" applyProtection="0">
      <alignment vertical="top"/>
      <protection locked="0"/>
    </xf>
    <xf numFmtId="164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0" fontId="26" fillId="0" borderId="0">
      <alignment vertical="center"/>
    </xf>
    <xf numFmtId="0" fontId="26" fillId="0" borderId="0"/>
    <xf numFmtId="0" fontId="19" fillId="0" borderId="0"/>
    <xf numFmtId="0" fontId="27" fillId="7" borderId="2">
      <alignment vertical="center"/>
    </xf>
    <xf numFmtId="170" fontId="27" fillId="7" borderId="2" applyBorder="0">
      <alignment vertical="center"/>
    </xf>
    <xf numFmtId="0" fontId="28" fillId="7" borderId="3">
      <alignment vertical="center"/>
    </xf>
    <xf numFmtId="0" fontId="31" fillId="9" borderId="3"/>
    <xf numFmtId="170" fontId="32" fillId="9" borderId="3" applyBorder="0">
      <alignment horizont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7" fillId="7" borderId="2">
      <alignment vertical="center"/>
    </xf>
    <xf numFmtId="170" fontId="27" fillId="7" borderId="2" applyBorder="0">
      <alignment vertical="center"/>
    </xf>
    <xf numFmtId="0" fontId="28" fillId="7" borderId="3">
      <alignment vertical="center"/>
    </xf>
    <xf numFmtId="0" fontId="31" fillId="9" borderId="3"/>
    <xf numFmtId="170" fontId="32" fillId="9" borderId="3" applyBorder="0">
      <alignment horizontal="center"/>
    </xf>
    <xf numFmtId="0" fontId="1" fillId="0" borderId="0"/>
    <xf numFmtId="0" fontId="27" fillId="7" borderId="2">
      <alignment vertical="center"/>
    </xf>
    <xf numFmtId="170" fontId="27" fillId="7" borderId="2" applyBorder="0">
      <alignment vertical="center"/>
    </xf>
    <xf numFmtId="0" fontId="28" fillId="7" borderId="3">
      <alignment vertical="center"/>
    </xf>
    <xf numFmtId="0" fontId="31" fillId="9" borderId="3"/>
    <xf numFmtId="170" fontId="32" fillId="9" borderId="3" applyBorder="0">
      <alignment horizont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7" fillId="7" borderId="2">
      <alignment vertical="center"/>
    </xf>
    <xf numFmtId="170" fontId="27" fillId="7" borderId="2" applyBorder="0">
      <alignment vertical="center"/>
    </xf>
    <xf numFmtId="0" fontId="28" fillId="7" borderId="3">
      <alignment vertical="center"/>
    </xf>
    <xf numFmtId="0" fontId="31" fillId="9" borderId="3"/>
    <xf numFmtId="170" fontId="32" fillId="9" borderId="3" applyBorder="0">
      <alignment horizontal="center"/>
    </xf>
    <xf numFmtId="0" fontId="1" fillId="0" borderId="0"/>
    <xf numFmtId="0" fontId="27" fillId="7" borderId="2">
      <alignment vertical="center"/>
    </xf>
    <xf numFmtId="170" fontId="27" fillId="7" borderId="2" applyBorder="0">
      <alignment vertical="center"/>
    </xf>
    <xf numFmtId="0" fontId="28" fillId="7" borderId="3">
      <alignment vertical="center"/>
    </xf>
    <xf numFmtId="0" fontId="31" fillId="9" borderId="3"/>
    <xf numFmtId="170" fontId="32" fillId="9" borderId="3" applyBorder="0">
      <alignment horizont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22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ont="1" applyBorder="1" applyAlignment="1">
      <alignment horizontal="left" vertical="center" wrapText="1"/>
    </xf>
    <xf numFmtId="49" fontId="2" fillId="0" borderId="0" xfId="0" applyNumberFormat="1" applyFont="1"/>
    <xf numFmtId="0" fontId="3" fillId="3" borderId="7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40" fillId="0" borderId="7" xfId="0" applyFont="1" applyBorder="1" applyAlignment="1">
      <alignment horizontal="center" vertical="center" wrapText="1"/>
    </xf>
    <xf numFmtId="0" fontId="39" fillId="2" borderId="8" xfId="0" applyFont="1" applyFill="1" applyBorder="1" applyAlignment="1">
      <alignment horizontal="center" vertical="center"/>
    </xf>
    <xf numFmtId="0" fontId="0" fillId="12" borderId="0" xfId="0" applyFill="1"/>
    <xf numFmtId="0" fontId="44" fillId="0" borderId="0" xfId="0" applyFont="1"/>
    <xf numFmtId="0" fontId="44" fillId="0" borderId="0" xfId="0" applyFont="1" applyAlignment="1"/>
    <xf numFmtId="0" fontId="45" fillId="0" borderId="0" xfId="0" applyFont="1"/>
    <xf numFmtId="0" fontId="0" fillId="0" borderId="0" xfId="0" applyAlignment="1">
      <alignment horizontal="left"/>
    </xf>
    <xf numFmtId="0" fontId="45" fillId="0" borderId="0" xfId="0" applyFont="1" applyAlignment="1">
      <alignment horizontal="center"/>
    </xf>
    <xf numFmtId="0" fontId="46" fillId="0" borderId="0" xfId="0" applyFont="1" applyAlignment="1">
      <alignment horizontal="right"/>
    </xf>
    <xf numFmtId="0" fontId="47" fillId="0" borderId="0" xfId="0" applyFont="1" applyBorder="1" applyAlignment="1">
      <alignment horizontal="center" vertical="center"/>
    </xf>
    <xf numFmtId="0" fontId="47" fillId="0" borderId="0" xfId="0" applyFont="1" applyBorder="1" applyAlignment="1">
      <alignment horizontal="center"/>
    </xf>
    <xf numFmtId="0" fontId="48" fillId="0" borderId="0" xfId="0" applyFont="1"/>
    <xf numFmtId="0" fontId="7" fillId="0" borderId="0" xfId="0" applyFont="1"/>
    <xf numFmtId="0" fontId="7" fillId="0" borderId="0" xfId="0" applyFont="1" applyBorder="1" applyAlignment="1"/>
    <xf numFmtId="0" fontId="50" fillId="0" borderId="9" xfId="0" applyFont="1" applyBorder="1" applyAlignment="1"/>
    <xf numFmtId="0" fontId="51" fillId="0" borderId="9" xfId="0" applyFont="1" applyBorder="1" applyAlignment="1"/>
    <xf numFmtId="0" fontId="4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2" fillId="0" borderId="9" xfId="0" applyFont="1" applyBorder="1" applyAlignment="1"/>
    <xf numFmtId="14" fontId="52" fillId="0" borderId="9" xfId="0" applyNumberFormat="1" applyFont="1" applyBorder="1" applyAlignment="1"/>
    <xf numFmtId="0" fontId="46" fillId="0" borderId="0" xfId="0" applyFont="1" applyAlignment="1"/>
    <xf numFmtId="0" fontId="52" fillId="0" borderId="9" xfId="0" applyFont="1" applyBorder="1" applyAlignment="1">
      <alignment horizontal="center"/>
    </xf>
    <xf numFmtId="0" fontId="53" fillId="0" borderId="0" xfId="0" applyFont="1" applyBorder="1" applyAlignment="1">
      <alignment horizontal="center"/>
    </xf>
    <xf numFmtId="0" fontId="46" fillId="0" borderId="0" xfId="0" applyFont="1" applyAlignment="1">
      <alignment horizontal="center" vertical="center"/>
    </xf>
    <xf numFmtId="0" fontId="52" fillId="0" borderId="9" xfId="0" applyFont="1" applyBorder="1" applyAlignment="1">
      <alignment wrapText="1"/>
    </xf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vertical="top"/>
    </xf>
    <xf numFmtId="0" fontId="52" fillId="0" borderId="9" xfId="0" applyFont="1" applyBorder="1" applyAlignment="1">
      <alignment horizontal="center" vertical="center" wrapText="1"/>
    </xf>
    <xf numFmtId="0" fontId="52" fillId="0" borderId="9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46" fillId="0" borderId="0" xfId="0" applyFont="1"/>
    <xf numFmtId="0" fontId="46" fillId="0" borderId="0" xfId="0" applyFont="1" applyAlignment="1">
      <alignment horizontal="center"/>
    </xf>
    <xf numFmtId="0" fontId="49" fillId="0" borderId="0" xfId="0" applyFont="1" applyBorder="1" applyAlignment="1">
      <alignment vertical="top" wrapText="1"/>
    </xf>
    <xf numFmtId="0" fontId="49" fillId="0" borderId="0" xfId="0" applyFont="1" applyBorder="1" applyAlignment="1">
      <alignment wrapText="1"/>
    </xf>
    <xf numFmtId="0" fontId="46" fillId="0" borderId="0" xfId="0" applyFont="1" applyAlignment="1">
      <alignment horizontal="left"/>
    </xf>
    <xf numFmtId="0" fontId="49" fillId="0" borderId="0" xfId="0" applyFont="1" applyAlignment="1">
      <alignment horizontal="left"/>
    </xf>
    <xf numFmtId="0" fontId="52" fillId="0" borderId="0" xfId="0" applyFont="1"/>
    <xf numFmtId="171" fontId="49" fillId="0" borderId="0" xfId="0" applyNumberFormat="1" applyFont="1" applyBorder="1" applyAlignment="1"/>
    <xf numFmtId="0" fontId="7" fillId="0" borderId="0" xfId="0" applyFont="1" applyAlignment="1">
      <alignment wrapText="1"/>
    </xf>
    <xf numFmtId="0" fontId="45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/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57" fillId="0" borderId="0" xfId="0" applyFont="1"/>
    <xf numFmtId="0" fontId="48" fillId="0" borderId="9" xfId="0" applyFont="1" applyBorder="1" applyAlignment="1">
      <alignment horizontal="center"/>
    </xf>
    <xf numFmtId="0" fontId="58" fillId="0" borderId="0" xfId="0" applyFont="1" applyAlignment="1">
      <alignment vertical="center"/>
    </xf>
    <xf numFmtId="0" fontId="7" fillId="0" borderId="0" xfId="0" applyFont="1" applyAlignment="1"/>
    <xf numFmtId="0" fontId="2" fillId="0" borderId="0" xfId="0" applyFont="1" applyAlignment="1">
      <alignment horizontal="center"/>
    </xf>
    <xf numFmtId="0" fontId="52" fillId="0" borderId="9" xfId="0" quotePrefix="1" applyFont="1" applyBorder="1" applyAlignment="1">
      <alignment horizontal="center" wrapText="1"/>
    </xf>
    <xf numFmtId="0" fontId="42" fillId="0" borderId="11" xfId="0" applyFont="1" applyFill="1" applyBorder="1" applyAlignment="1">
      <alignment horizontal="center" vertical="center" wrapText="1"/>
    </xf>
    <xf numFmtId="0" fontId="42" fillId="0" borderId="12" xfId="0" applyFont="1" applyFill="1" applyBorder="1" applyAlignment="1">
      <alignment horizontal="center" vertical="center" wrapText="1"/>
    </xf>
    <xf numFmtId="44" fontId="42" fillId="0" borderId="12" xfId="1" applyNumberFormat="1" applyFont="1" applyFill="1" applyBorder="1" applyAlignment="1">
      <alignment horizontal="center" vertical="center" wrapText="1"/>
    </xf>
    <xf numFmtId="49" fontId="42" fillId="0" borderId="12" xfId="0" applyNumberFormat="1" applyFont="1" applyFill="1" applyBorder="1" applyAlignment="1">
      <alignment horizontal="center" vertical="center" wrapText="1"/>
    </xf>
    <xf numFmtId="0" fontId="41" fillId="0" borderId="12" xfId="0" applyFont="1" applyFill="1" applyBorder="1" applyAlignment="1">
      <alignment horizontal="center" vertical="center" wrapText="1"/>
    </xf>
    <xf numFmtId="14" fontId="41" fillId="0" borderId="12" xfId="0" applyNumberFormat="1" applyFont="1" applyFill="1" applyBorder="1" applyAlignment="1">
      <alignment horizontal="center" vertical="center" wrapText="1"/>
    </xf>
    <xf numFmtId="0" fontId="41" fillId="0" borderId="12" xfId="0" applyNumberFormat="1" applyFont="1" applyFill="1" applyBorder="1" applyAlignment="1">
      <alignment horizontal="center" vertical="center" wrapText="1"/>
    </xf>
    <xf numFmtId="49" fontId="41" fillId="0" borderId="12" xfId="0" applyNumberFormat="1" applyFont="1" applyFill="1" applyBorder="1" applyAlignment="1">
      <alignment horizontal="center" vertical="center" wrapText="1"/>
    </xf>
    <xf numFmtId="3" fontId="41" fillId="0" borderId="12" xfId="0" applyNumberFormat="1" applyFont="1" applyFill="1" applyBorder="1" applyAlignment="1">
      <alignment horizontal="center" vertical="center" wrapText="1"/>
    </xf>
    <xf numFmtId="0" fontId="41" fillId="0" borderId="12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9" fillId="12" borderId="0" xfId="0" applyFont="1" applyFill="1" applyBorder="1" applyAlignment="1">
      <alignment horizontal="center" vertical="center"/>
    </xf>
    <xf numFmtId="0" fontId="0" fillId="0" borderId="0" xfId="0" applyNumberFormat="1"/>
    <xf numFmtId="14" fontId="0" fillId="0" borderId="0" xfId="0" applyNumberFormat="1"/>
    <xf numFmtId="49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left" vertical="center"/>
    </xf>
    <xf numFmtId="0" fontId="41" fillId="0" borderId="0" xfId="0" applyFont="1" applyFill="1"/>
    <xf numFmtId="0" fontId="42" fillId="0" borderId="0" xfId="0" applyFont="1" applyFill="1" applyAlignment="1">
      <alignment horizontal="center" vertical="center" wrapText="1"/>
    </xf>
    <xf numFmtId="0" fontId="52" fillId="0" borderId="9" xfId="0" applyFont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NumberFormat="1" applyAlignment="1">
      <alignment horizontal="left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45" fillId="0" borderId="0" xfId="0" applyFont="1" applyAlignment="1">
      <alignment horizontal="left" vertical="center"/>
    </xf>
    <xf numFmtId="0" fontId="45" fillId="0" borderId="9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9" fillId="0" borderId="0" xfId="0" applyFont="1" applyAlignment="1">
      <alignment horizontal="left" vertical="center" wrapText="1"/>
    </xf>
    <xf numFmtId="0" fontId="46" fillId="0" borderId="0" xfId="0" applyFont="1" applyAlignment="1">
      <alignment horizontal="left"/>
    </xf>
    <xf numFmtId="0" fontId="54" fillId="0" borderId="0" xfId="0" applyFont="1" applyAlignment="1">
      <alignment horizontal="left" wrapText="1"/>
    </xf>
    <xf numFmtId="0" fontId="46" fillId="0" borderId="0" xfId="0" applyFont="1" applyAlignment="1">
      <alignment horizontal="left" vertical="top"/>
    </xf>
    <xf numFmtId="0" fontId="49" fillId="0" borderId="0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49" fillId="0" borderId="0" xfId="0" applyFont="1" applyBorder="1" applyAlignment="1">
      <alignment horizontal="left" wrapText="1"/>
    </xf>
    <xf numFmtId="0" fontId="0" fillId="0" borderId="0" xfId="0" applyAlignment="1">
      <alignment horizontal="left" wrapText="1"/>
    </xf>
    <xf numFmtId="0" fontId="49" fillId="0" borderId="0" xfId="0" applyFont="1" applyAlignment="1">
      <alignment horizontal="left"/>
    </xf>
    <xf numFmtId="0" fontId="52" fillId="0" borderId="9" xfId="0" applyFont="1" applyBorder="1" applyAlignment="1">
      <alignment horizontal="left"/>
    </xf>
    <xf numFmtId="0" fontId="46" fillId="0" borderId="10" xfId="0" applyFont="1" applyBorder="1" applyAlignment="1">
      <alignment horizontal="center" vertical="top"/>
    </xf>
    <xf numFmtId="0" fontId="52" fillId="0" borderId="9" xfId="0" applyFont="1" applyBorder="1" applyAlignment="1">
      <alignment horizontal="left" wrapText="1"/>
    </xf>
    <xf numFmtId="0" fontId="52" fillId="0" borderId="0" xfId="0" applyFont="1" applyBorder="1" applyAlignment="1">
      <alignment horizontal="left" wrapText="1"/>
    </xf>
    <xf numFmtId="0" fontId="52" fillId="0" borderId="0" xfId="0" applyFont="1" applyAlignment="1">
      <alignment horizontal="left"/>
    </xf>
    <xf numFmtId="0" fontId="49" fillId="0" borderId="0" xfId="0" applyFont="1" applyAlignment="1">
      <alignment horizontal="left" wrapText="1"/>
    </xf>
    <xf numFmtId="0" fontId="7" fillId="0" borderId="0" xfId="0" applyFont="1" applyAlignment="1">
      <alignment horizontal="center" vertical="top"/>
    </xf>
    <xf numFmtId="0" fontId="52" fillId="0" borderId="9" xfId="0" applyFont="1" applyBorder="1" applyAlignment="1">
      <alignment horizontal="center" wrapText="1"/>
    </xf>
    <xf numFmtId="0" fontId="0" fillId="0" borderId="9" xfId="0" applyBorder="1" applyAlignment="1">
      <alignment horizontal="left" wrapText="1"/>
    </xf>
    <xf numFmtId="0" fontId="44" fillId="0" borderId="0" xfId="0" applyFont="1" applyAlignment="1">
      <alignment horizontal="right"/>
    </xf>
    <xf numFmtId="0" fontId="46" fillId="0" borderId="0" xfId="0" applyFont="1" applyAlignment="1">
      <alignment horizontal="center"/>
    </xf>
    <xf numFmtId="0" fontId="49" fillId="0" borderId="0" xfId="0" applyFont="1" applyBorder="1" applyAlignment="1">
      <alignment horizontal="left" vertical="center" wrapText="1"/>
    </xf>
    <xf numFmtId="0" fontId="52" fillId="0" borderId="9" xfId="0" applyFont="1" applyBorder="1" applyAlignment="1">
      <alignment horizontal="center"/>
    </xf>
    <xf numFmtId="0" fontId="7" fillId="0" borderId="0" xfId="0" applyFont="1" applyBorder="1" applyAlignment="1">
      <alignment horizontal="center" vertical="top"/>
    </xf>
    <xf numFmtId="0" fontId="7" fillId="0" borderId="10" xfId="0" applyFont="1" applyBorder="1" applyAlignment="1">
      <alignment horizontal="center" vertical="top"/>
    </xf>
    <xf numFmtId="0" fontId="49" fillId="0" borderId="0" xfId="0" applyFont="1" applyAlignment="1">
      <alignment horizontal="left" vertical="top" wrapText="1"/>
    </xf>
    <xf numFmtId="0" fontId="58" fillId="0" borderId="0" xfId="0" applyFont="1" applyAlignment="1">
      <alignment horizontal="left" vertical="center"/>
    </xf>
    <xf numFmtId="0" fontId="58" fillId="0" borderId="0" xfId="0" applyFont="1" applyAlignment="1">
      <alignment horizontal="left" wrapText="1"/>
    </xf>
    <xf numFmtId="0" fontId="59" fillId="12" borderId="0" xfId="0" applyFont="1" applyFill="1" applyAlignment="1">
      <alignment horizontal="center" vertical="center"/>
    </xf>
    <xf numFmtId="14" fontId="41" fillId="0" borderId="0" xfId="0" applyNumberFormat="1" applyFont="1" applyFill="1" applyBorder="1" applyAlignment="1">
      <alignment horizontal="center" vertical="center" wrapText="1"/>
    </xf>
    <xf numFmtId="0" fontId="41" fillId="0" borderId="0" xfId="0" applyNumberFormat="1" applyFont="1" applyFill="1"/>
  </cellXfs>
  <cellStyles count="2806">
    <cellStyle name="Âåðõíèé ñëîé" xfId="2724"/>
    <cellStyle name="Âåðõíèé ñëîé 2" xfId="2748"/>
    <cellStyle name="Âåðõíèé ñëîé 2 2" xfId="2772"/>
    <cellStyle name="Âåðõíèé ñëîé 2 3" xfId="2794"/>
    <cellStyle name="Âåðõíèé ñëîé 3" xfId="2766"/>
    <cellStyle name="Âåðõíèé ñëîé 4" xfId="2788"/>
    <cellStyle name="Âåðõíèé ñëîé date" xfId="2725"/>
    <cellStyle name="Âåðõíèé ñëîé date 2" xfId="2749"/>
    <cellStyle name="Âåðõíèé ñëîé date 2 2" xfId="2773"/>
    <cellStyle name="Âåðõíèé ñëîé date 2 3" xfId="2795"/>
    <cellStyle name="Âåðõíèé ñëîé date 3" xfId="2767"/>
    <cellStyle name="Âåðõíèé ñëîé date 4" xfId="2789"/>
    <cellStyle name="Âåðõíèé ñëîé_OLGU" xfId="2726"/>
    <cellStyle name="cf1" xfId="7"/>
    <cellStyle name="cf2" xfId="8"/>
    <cellStyle name="Classic" xfId="2727"/>
    <cellStyle name="Classic 2" xfId="2750"/>
    <cellStyle name="Classic 2 2" xfId="2774"/>
    <cellStyle name="Classic 2 3" xfId="2796"/>
    <cellStyle name="Classic 3" xfId="2768"/>
    <cellStyle name="Classic 4" xfId="2790"/>
    <cellStyle name="Excel Built-in Normal" xfId="9"/>
    <cellStyle name="Excel Built-in Normal 1" xfId="10"/>
    <cellStyle name="FORM" xfId="2728"/>
    <cellStyle name="Green" xfId="2729"/>
    <cellStyle name="Migliaia (0)_Fluid list.xls" xfId="2730"/>
    <cellStyle name="Mouse" xfId="2731"/>
    <cellStyle name="Mouse 2" xfId="2751"/>
    <cellStyle name="Mouse 2 2" xfId="2775"/>
    <cellStyle name="Mouse 2 3" xfId="2797"/>
    <cellStyle name="Mouse 3" xfId="2769"/>
    <cellStyle name="Mouse 4" xfId="2791"/>
    <cellStyle name="Mouse date" xfId="2732"/>
    <cellStyle name="Mouse date 2" xfId="2752"/>
    <cellStyle name="Mouse date 2 2" xfId="2776"/>
    <cellStyle name="Mouse date 2 3" xfId="2798"/>
    <cellStyle name="Mouse date 3" xfId="2770"/>
    <cellStyle name="Mouse date 4" xfId="2792"/>
    <cellStyle name="Mouse_OLGU" xfId="2733"/>
    <cellStyle name="Normal 2" xfId="4"/>
    <cellStyle name="Normal 2 10" xfId="789"/>
    <cellStyle name="Normal 2 2" xfId="54"/>
    <cellStyle name="Normal 2 2 2" xfId="99"/>
    <cellStyle name="Normal 2 2 2 2" xfId="193"/>
    <cellStyle name="Normal 2 2 2 2 2" xfId="380"/>
    <cellStyle name="Normal 2 2 2 2 2 2" xfId="753"/>
    <cellStyle name="Normal 2 2 2 2 2 2 2" xfId="2660"/>
    <cellStyle name="Normal 2 2 2 2 2 2 3" xfId="1674"/>
    <cellStyle name="Normal 2 2 2 2 2 3" xfId="2296"/>
    <cellStyle name="Normal 2 2 2 2 2 4" xfId="1310"/>
    <cellStyle name="Normal 2 2 2 2 3" xfId="567"/>
    <cellStyle name="Normal 2 2 2 2 3 2" xfId="2478"/>
    <cellStyle name="Normal 2 2 2 2 3 3" xfId="1492"/>
    <cellStyle name="Normal 2 2 2 2 4" xfId="2119"/>
    <cellStyle name="Normal 2 2 2 2 5" xfId="1133"/>
    <cellStyle name="Normal 2 2 2 3" xfId="287"/>
    <cellStyle name="Normal 2 2 2 3 2" xfId="660"/>
    <cellStyle name="Normal 2 2 2 3 2 2" xfId="2567"/>
    <cellStyle name="Normal 2 2 2 3 2 3" xfId="1581"/>
    <cellStyle name="Normal 2 2 2 3 3" xfId="2207"/>
    <cellStyle name="Normal 2 2 2 3 4" xfId="1221"/>
    <cellStyle name="Normal 2 2 2 4" xfId="474"/>
    <cellStyle name="Normal 2 2 2 4 2" xfId="2385"/>
    <cellStyle name="Normal 2 2 2 4 3" xfId="1399"/>
    <cellStyle name="Normal 2 2 2 5" xfId="2039"/>
    <cellStyle name="Normal 2 2 2 6" xfId="1053"/>
    <cellStyle name="Normal 2 2 3" xfId="151"/>
    <cellStyle name="Normal 2 2 3 2" xfId="338"/>
    <cellStyle name="Normal 2 2 3 2 2" xfId="711"/>
    <cellStyle name="Normal 2 2 3 2 2 2" xfId="2618"/>
    <cellStyle name="Normal 2 2 3 2 2 3" xfId="1632"/>
    <cellStyle name="Normal 2 2 3 2 3" xfId="2255"/>
    <cellStyle name="Normal 2 2 3 2 4" xfId="1269"/>
    <cellStyle name="Normal 2 2 3 3" xfId="525"/>
    <cellStyle name="Normal 2 2 3 3 2" xfId="2436"/>
    <cellStyle name="Normal 2 2 3 3 3" xfId="1450"/>
    <cellStyle name="Normal 2 2 3 4" xfId="2081"/>
    <cellStyle name="Normal 2 2 3 5" xfId="1095"/>
    <cellStyle name="Normal 2 2 4" xfId="245"/>
    <cellStyle name="Normal 2 2 4 2" xfId="618"/>
    <cellStyle name="Normal 2 2 4 2 2" xfId="2526"/>
    <cellStyle name="Normal 2 2 4 2 3" xfId="1540"/>
    <cellStyle name="Normal 2 2 4 3" xfId="2166"/>
    <cellStyle name="Normal 2 2 4 4" xfId="1180"/>
    <cellStyle name="Normal 2 2 5" xfId="432"/>
    <cellStyle name="Normal 2 2 5 2" xfId="2344"/>
    <cellStyle name="Normal 2 2 5 3" xfId="1358"/>
    <cellStyle name="Normal 2 2 6" xfId="2010"/>
    <cellStyle name="Normal 2 2 7" xfId="2721"/>
    <cellStyle name="Normal 2 2 8" xfId="1023"/>
    <cellStyle name="Normal 2 3" xfId="82"/>
    <cellStyle name="Normal 2 3 2" xfId="176"/>
    <cellStyle name="Normal 2 3 2 2" xfId="363"/>
    <cellStyle name="Normal 2 3 2 2 2" xfId="736"/>
    <cellStyle name="Normal 2 3 2 2 2 2" xfId="2643"/>
    <cellStyle name="Normal 2 3 2 2 2 3" xfId="1657"/>
    <cellStyle name="Normal 2 3 2 2 3" xfId="2279"/>
    <cellStyle name="Normal 2 3 2 2 4" xfId="1293"/>
    <cellStyle name="Normal 2 3 2 3" xfId="550"/>
    <cellStyle name="Normal 2 3 2 3 2" xfId="2461"/>
    <cellStyle name="Normal 2 3 2 3 3" xfId="1475"/>
    <cellStyle name="Normal 2 3 2 4" xfId="2104"/>
    <cellStyle name="Normal 2 3 2 5" xfId="1118"/>
    <cellStyle name="Normal 2 3 3" xfId="270"/>
    <cellStyle name="Normal 2 3 3 2" xfId="643"/>
    <cellStyle name="Normal 2 3 3 2 2" xfId="2550"/>
    <cellStyle name="Normal 2 3 3 2 3" xfId="1564"/>
    <cellStyle name="Normal 2 3 3 3" xfId="2190"/>
    <cellStyle name="Normal 2 3 3 4" xfId="1204"/>
    <cellStyle name="Normal 2 3 4" xfId="457"/>
    <cellStyle name="Normal 2 3 4 2" xfId="2368"/>
    <cellStyle name="Normal 2 3 4 3" xfId="1382"/>
    <cellStyle name="Normal 2 3 5" xfId="2025"/>
    <cellStyle name="Normal 2 3 6" xfId="1039"/>
    <cellStyle name="Normal 2 4" xfId="130"/>
    <cellStyle name="Normal 2 4 2" xfId="317"/>
    <cellStyle name="Normal 2 4 2 2" xfId="690"/>
    <cellStyle name="Normal 2 4 2 2 2" xfId="2597"/>
    <cellStyle name="Normal 2 4 2 2 3" xfId="1611"/>
    <cellStyle name="Normal 2 4 2 3" xfId="2237"/>
    <cellStyle name="Normal 2 4 2 4" xfId="1251"/>
    <cellStyle name="Normal 2 4 3" xfId="504"/>
    <cellStyle name="Normal 2 4 3 2" xfId="2415"/>
    <cellStyle name="Normal 2 4 3 3" xfId="1429"/>
    <cellStyle name="Normal 2 4 4" xfId="2063"/>
    <cellStyle name="Normal 2 4 5" xfId="1077"/>
    <cellStyle name="Normal 2 5" xfId="224"/>
    <cellStyle name="Normal 2 5 2" xfId="597"/>
    <cellStyle name="Normal 2 5 2 2" xfId="2508"/>
    <cellStyle name="Normal 2 5 2 3" xfId="1522"/>
    <cellStyle name="Normal 2 5 3" xfId="2148"/>
    <cellStyle name="Normal 2 5 4" xfId="1162"/>
    <cellStyle name="Normal 2 6" xfId="411"/>
    <cellStyle name="Normal 2 6 2" xfId="2326"/>
    <cellStyle name="Normal 2 6 3" xfId="1340"/>
    <cellStyle name="Normal 2 7" xfId="1998"/>
    <cellStyle name="Normal 2 8" xfId="1004"/>
    <cellStyle name="Normal 2 9" xfId="2734"/>
    <cellStyle name="Normal 3" xfId="2735"/>
    <cellStyle name="Standard_REPORT" xfId="801"/>
    <cellStyle name="Valuta (0)_Fluid list.xls" xfId="2736"/>
    <cellStyle name="Yellow" xfId="2737"/>
    <cellStyle name="Yellow 2" xfId="2738"/>
    <cellStyle name="Yellow date" xfId="2739"/>
    <cellStyle name="Yellow_Cause" xfId="2740"/>
    <cellStyle name="Акт" xfId="1731"/>
    <cellStyle name="АктМТСН" xfId="1732"/>
    <cellStyle name="ВедРесурсов" xfId="1733"/>
    <cellStyle name="ВедРесурсовАкт" xfId="1734"/>
    <cellStyle name="Гиперссылка 2" xfId="11"/>
    <cellStyle name="Гиперссылка 3" xfId="12"/>
    <cellStyle name="Гиперссылка 4" xfId="13"/>
    <cellStyle name="Гиперссылка 5" xfId="14"/>
    <cellStyle name="Денежный" xfId="1" builtinId="4"/>
    <cellStyle name="Индексы" xfId="1735"/>
    <cellStyle name="Итоги" xfId="1736"/>
    <cellStyle name="ИтогоАктБазЦ" xfId="1737"/>
    <cellStyle name="ИтогоАктБИМ" xfId="1738"/>
    <cellStyle name="ИтогоАктРесМет" xfId="1739"/>
    <cellStyle name="ИтогоБазЦ" xfId="1740"/>
    <cellStyle name="ИтогоБИМ" xfId="1741"/>
    <cellStyle name="ИтогоРесМет" xfId="1742"/>
    <cellStyle name="ЛокСмета" xfId="1743"/>
    <cellStyle name="ЛокСмМТСН" xfId="1744"/>
    <cellStyle name="М29" xfId="1745"/>
    <cellStyle name="ОбСмета" xfId="1746"/>
    <cellStyle name="Обычный" xfId="0" builtinId="0"/>
    <cellStyle name="Обычный 10" xfId="15"/>
    <cellStyle name="Обычный 11" xfId="16"/>
    <cellStyle name="Обычный 12" xfId="17"/>
    <cellStyle name="Обычный 13" xfId="18"/>
    <cellStyle name="Обычный 14" xfId="19"/>
    <cellStyle name="Обычный 14 10" xfId="1007"/>
    <cellStyle name="Обычный 14 11" xfId="2762"/>
    <cellStyle name="Обычный 14 12" xfId="804"/>
    <cellStyle name="Обычный 14 2" xfId="20"/>
    <cellStyle name="Обычный 14 2 2" xfId="57"/>
    <cellStyle name="Обычный 14 2 2 2" xfId="102"/>
    <cellStyle name="Обычный 14 2 2 2 2" xfId="196"/>
    <cellStyle name="Обычный 14 2 2 2 2 2" xfId="383"/>
    <cellStyle name="Обычный 14 2 2 2 2 2 2" xfId="756"/>
    <cellStyle name="Обычный 14 2 2 2 2 2 2 2" xfId="2663"/>
    <cellStyle name="Обычный 14 2 2 2 2 2 2 3" xfId="1677"/>
    <cellStyle name="Обычный 14 2 2 2 2 2 3" xfId="2299"/>
    <cellStyle name="Обычный 14 2 2 2 2 2 4" xfId="1313"/>
    <cellStyle name="Обычный 14 2 2 2 2 3" xfId="570"/>
    <cellStyle name="Обычный 14 2 2 2 2 3 2" xfId="2481"/>
    <cellStyle name="Обычный 14 2 2 2 2 3 3" xfId="1495"/>
    <cellStyle name="Обычный 14 2 2 2 2 4" xfId="2122"/>
    <cellStyle name="Обычный 14 2 2 2 2 5" xfId="1136"/>
    <cellStyle name="Обычный 14 2 2 2 3" xfId="290"/>
    <cellStyle name="Обычный 14 2 2 2 3 2" xfId="663"/>
    <cellStyle name="Обычный 14 2 2 2 3 2 2" xfId="2570"/>
    <cellStyle name="Обычный 14 2 2 2 3 2 3" xfId="1584"/>
    <cellStyle name="Обычный 14 2 2 2 3 3" xfId="2210"/>
    <cellStyle name="Обычный 14 2 2 2 3 4" xfId="1224"/>
    <cellStyle name="Обычный 14 2 2 2 4" xfId="477"/>
    <cellStyle name="Обычный 14 2 2 2 4 2" xfId="2388"/>
    <cellStyle name="Обычный 14 2 2 2 4 3" xfId="1402"/>
    <cellStyle name="Обычный 14 2 2 2 5" xfId="2042"/>
    <cellStyle name="Обычный 14 2 2 2 6" xfId="1056"/>
    <cellStyle name="Обычный 14 2 2 3" xfId="154"/>
    <cellStyle name="Обычный 14 2 2 3 2" xfId="341"/>
    <cellStyle name="Обычный 14 2 2 3 2 2" xfId="714"/>
    <cellStyle name="Обычный 14 2 2 3 2 2 2" xfId="2621"/>
    <cellStyle name="Обычный 14 2 2 3 2 2 3" xfId="1635"/>
    <cellStyle name="Обычный 14 2 2 3 2 3" xfId="2258"/>
    <cellStyle name="Обычный 14 2 2 3 2 4" xfId="1272"/>
    <cellStyle name="Обычный 14 2 2 3 3" xfId="528"/>
    <cellStyle name="Обычный 14 2 2 3 3 2" xfId="2439"/>
    <cellStyle name="Обычный 14 2 2 3 3 3" xfId="1453"/>
    <cellStyle name="Обычный 14 2 2 3 4" xfId="2084"/>
    <cellStyle name="Обычный 14 2 2 3 5" xfId="1098"/>
    <cellStyle name="Обычный 14 2 2 4" xfId="248"/>
    <cellStyle name="Обычный 14 2 2 4 2" xfId="621"/>
    <cellStyle name="Обычный 14 2 2 4 2 2" xfId="2529"/>
    <cellStyle name="Обычный 14 2 2 4 2 3" xfId="1543"/>
    <cellStyle name="Обычный 14 2 2 4 3" xfId="2169"/>
    <cellStyle name="Обычный 14 2 2 4 4" xfId="1183"/>
    <cellStyle name="Обычный 14 2 2 5" xfId="435"/>
    <cellStyle name="Обычный 14 2 2 5 2" xfId="2347"/>
    <cellStyle name="Обычный 14 2 2 5 3" xfId="1361"/>
    <cellStyle name="Обычный 14 2 2 6" xfId="2013"/>
    <cellStyle name="Обычный 14 2 2 7" xfId="1026"/>
    <cellStyle name="Обычный 14 2 3" xfId="84"/>
    <cellStyle name="Обычный 14 2 3 2" xfId="178"/>
    <cellStyle name="Обычный 14 2 3 2 2" xfId="365"/>
    <cellStyle name="Обычный 14 2 3 2 2 2" xfId="738"/>
    <cellStyle name="Обычный 14 2 3 2 2 2 2" xfId="2645"/>
    <cellStyle name="Обычный 14 2 3 2 2 2 3" xfId="1659"/>
    <cellStyle name="Обычный 14 2 3 2 2 3" xfId="2281"/>
    <cellStyle name="Обычный 14 2 3 2 2 4" xfId="1295"/>
    <cellStyle name="Обычный 14 2 3 2 3" xfId="552"/>
    <cellStyle name="Обычный 14 2 3 2 3 2" xfId="2463"/>
    <cellStyle name="Обычный 14 2 3 2 3 3" xfId="1477"/>
    <cellStyle name="Обычный 14 2 3 2 4" xfId="2106"/>
    <cellStyle name="Обычный 14 2 3 2 5" xfId="1120"/>
    <cellStyle name="Обычный 14 2 3 3" xfId="272"/>
    <cellStyle name="Обычный 14 2 3 3 2" xfId="645"/>
    <cellStyle name="Обычный 14 2 3 3 2 2" xfId="2552"/>
    <cellStyle name="Обычный 14 2 3 3 2 3" xfId="1566"/>
    <cellStyle name="Обычный 14 2 3 3 3" xfId="2192"/>
    <cellStyle name="Обычный 14 2 3 3 4" xfId="1206"/>
    <cellStyle name="Обычный 14 2 3 4" xfId="459"/>
    <cellStyle name="Обычный 14 2 3 4 2" xfId="2370"/>
    <cellStyle name="Обычный 14 2 3 4 3" xfId="1384"/>
    <cellStyle name="Обычный 14 2 3 5" xfId="2027"/>
    <cellStyle name="Обычный 14 2 3 6" xfId="1041"/>
    <cellStyle name="Обычный 14 2 4" xfId="133"/>
    <cellStyle name="Обычный 14 2 4 2" xfId="320"/>
    <cellStyle name="Обычный 14 2 4 2 2" xfId="693"/>
    <cellStyle name="Обычный 14 2 4 2 2 2" xfId="2600"/>
    <cellStyle name="Обычный 14 2 4 2 2 3" xfId="1614"/>
    <cellStyle name="Обычный 14 2 4 2 3" xfId="2240"/>
    <cellStyle name="Обычный 14 2 4 2 4" xfId="1254"/>
    <cellStyle name="Обычный 14 2 4 3" xfId="507"/>
    <cellStyle name="Обычный 14 2 4 3 2" xfId="2418"/>
    <cellStyle name="Обычный 14 2 4 3 3" xfId="1432"/>
    <cellStyle name="Обычный 14 2 4 4" xfId="2066"/>
    <cellStyle name="Обычный 14 2 4 5" xfId="1080"/>
    <cellStyle name="Обычный 14 2 5" xfId="227"/>
    <cellStyle name="Обычный 14 2 5 2" xfId="600"/>
    <cellStyle name="Обычный 14 2 5 2 2" xfId="2511"/>
    <cellStyle name="Обычный 14 2 5 2 3" xfId="1525"/>
    <cellStyle name="Обычный 14 2 5 3" xfId="2151"/>
    <cellStyle name="Обычный 14 2 5 4" xfId="1165"/>
    <cellStyle name="Обычный 14 2 6" xfId="414"/>
    <cellStyle name="Обычный 14 2 6 2" xfId="2329"/>
    <cellStyle name="Обычный 14 2 6 3" xfId="1343"/>
    <cellStyle name="Обычный 14 2 7" xfId="2001"/>
    <cellStyle name="Обычный 14 2 8" xfId="1008"/>
    <cellStyle name="Обычный 14 3" xfId="56"/>
    <cellStyle name="Обычный 14 3 2" xfId="101"/>
    <cellStyle name="Обычный 14 3 2 2" xfId="195"/>
    <cellStyle name="Обычный 14 3 2 2 2" xfId="382"/>
    <cellStyle name="Обычный 14 3 2 2 2 2" xfId="755"/>
    <cellStyle name="Обычный 14 3 2 2 2 2 2" xfId="2662"/>
    <cellStyle name="Обычный 14 3 2 2 2 2 3" xfId="1676"/>
    <cellStyle name="Обычный 14 3 2 2 2 3" xfId="2298"/>
    <cellStyle name="Обычный 14 3 2 2 2 4" xfId="1312"/>
    <cellStyle name="Обычный 14 3 2 2 3" xfId="569"/>
    <cellStyle name="Обычный 14 3 2 2 3 2" xfId="2480"/>
    <cellStyle name="Обычный 14 3 2 2 3 3" xfId="1494"/>
    <cellStyle name="Обычный 14 3 2 2 4" xfId="2121"/>
    <cellStyle name="Обычный 14 3 2 2 5" xfId="1135"/>
    <cellStyle name="Обычный 14 3 2 3" xfId="289"/>
    <cellStyle name="Обычный 14 3 2 3 2" xfId="662"/>
    <cellStyle name="Обычный 14 3 2 3 2 2" xfId="2569"/>
    <cellStyle name="Обычный 14 3 2 3 2 3" xfId="1583"/>
    <cellStyle name="Обычный 14 3 2 3 3" xfId="2209"/>
    <cellStyle name="Обычный 14 3 2 3 4" xfId="1223"/>
    <cellStyle name="Обычный 14 3 2 4" xfId="476"/>
    <cellStyle name="Обычный 14 3 2 4 2" xfId="2387"/>
    <cellStyle name="Обычный 14 3 2 4 3" xfId="1401"/>
    <cellStyle name="Обычный 14 3 2 5" xfId="2041"/>
    <cellStyle name="Обычный 14 3 2 6" xfId="1055"/>
    <cellStyle name="Обычный 14 3 3" xfId="153"/>
    <cellStyle name="Обычный 14 3 3 2" xfId="340"/>
    <cellStyle name="Обычный 14 3 3 2 2" xfId="713"/>
    <cellStyle name="Обычный 14 3 3 2 2 2" xfId="2620"/>
    <cellStyle name="Обычный 14 3 3 2 2 3" xfId="1634"/>
    <cellStyle name="Обычный 14 3 3 2 3" xfId="2257"/>
    <cellStyle name="Обычный 14 3 3 2 4" xfId="1271"/>
    <cellStyle name="Обычный 14 3 3 3" xfId="527"/>
    <cellStyle name="Обычный 14 3 3 3 2" xfId="2438"/>
    <cellStyle name="Обычный 14 3 3 3 3" xfId="1452"/>
    <cellStyle name="Обычный 14 3 3 4" xfId="2083"/>
    <cellStyle name="Обычный 14 3 3 5" xfId="1097"/>
    <cellStyle name="Обычный 14 3 4" xfId="247"/>
    <cellStyle name="Обычный 14 3 4 2" xfId="620"/>
    <cellStyle name="Обычный 14 3 4 2 2" xfId="2528"/>
    <cellStyle name="Обычный 14 3 4 2 3" xfId="1542"/>
    <cellStyle name="Обычный 14 3 4 3" xfId="2168"/>
    <cellStyle name="Обычный 14 3 4 4" xfId="1182"/>
    <cellStyle name="Обычный 14 3 5" xfId="434"/>
    <cellStyle name="Обычный 14 3 5 2" xfId="2346"/>
    <cellStyle name="Обычный 14 3 5 3" xfId="1360"/>
    <cellStyle name="Обычный 14 3 6" xfId="2012"/>
    <cellStyle name="Обычный 14 3 7" xfId="1025"/>
    <cellStyle name="Обычный 14 4" xfId="76"/>
    <cellStyle name="Обычный 14 4 2" xfId="172"/>
    <cellStyle name="Обычный 14 4 2 2" xfId="359"/>
    <cellStyle name="Обычный 14 4 2 2 2" xfId="732"/>
    <cellStyle name="Обычный 14 4 2 2 2 2" xfId="2639"/>
    <cellStyle name="Обычный 14 4 2 2 2 3" xfId="1653"/>
    <cellStyle name="Обычный 14 4 2 2 3" xfId="2276"/>
    <cellStyle name="Обычный 14 4 2 2 4" xfId="1290"/>
    <cellStyle name="Обычный 14 4 2 3" xfId="546"/>
    <cellStyle name="Обычный 14 4 2 3 2" xfId="2457"/>
    <cellStyle name="Обычный 14 4 2 3 3" xfId="1471"/>
    <cellStyle name="Обычный 14 4 2 4" xfId="2101"/>
    <cellStyle name="Обычный 14 4 2 5" xfId="1115"/>
    <cellStyle name="Обычный 14 4 3" xfId="266"/>
    <cellStyle name="Обычный 14 4 3 2" xfId="639"/>
    <cellStyle name="Обычный 14 4 3 2 2" xfId="2547"/>
    <cellStyle name="Обычный 14 4 3 2 3" xfId="1561"/>
    <cellStyle name="Обычный 14 4 3 3" xfId="2187"/>
    <cellStyle name="Обычный 14 4 3 4" xfId="1201"/>
    <cellStyle name="Обычный 14 4 4" xfId="453"/>
    <cellStyle name="Обычный 14 4 4 2" xfId="2365"/>
    <cellStyle name="Обычный 14 4 4 3" xfId="1379"/>
    <cellStyle name="Обычный 14 4 5" xfId="2022"/>
    <cellStyle name="Обычный 14 4 6" xfId="1035"/>
    <cellStyle name="Обычный 14 5" xfId="132"/>
    <cellStyle name="Обычный 14 5 2" xfId="319"/>
    <cellStyle name="Обычный 14 5 2 2" xfId="692"/>
    <cellStyle name="Обычный 14 5 2 2 2" xfId="2599"/>
    <cellStyle name="Обычный 14 5 2 2 3" xfId="1613"/>
    <cellStyle name="Обычный 14 5 2 3" xfId="2239"/>
    <cellStyle name="Обычный 14 5 2 4" xfId="1253"/>
    <cellStyle name="Обычный 14 5 3" xfId="506"/>
    <cellStyle name="Обычный 14 5 3 2" xfId="2417"/>
    <cellStyle name="Обычный 14 5 3 3" xfId="1431"/>
    <cellStyle name="Обычный 14 5 4" xfId="2065"/>
    <cellStyle name="Обычный 14 5 5" xfId="1079"/>
    <cellStyle name="Обычный 14 6" xfId="226"/>
    <cellStyle name="Обычный 14 6 2" xfId="599"/>
    <cellStyle name="Обычный 14 6 2 2" xfId="2510"/>
    <cellStyle name="Обычный 14 6 2 3" xfId="1524"/>
    <cellStyle name="Обычный 14 6 3" xfId="2150"/>
    <cellStyle name="Обычный 14 6 4" xfId="1164"/>
    <cellStyle name="Обычный 14 7" xfId="413"/>
    <cellStyle name="Обычный 14 7 2" xfId="2328"/>
    <cellStyle name="Обычный 14 7 3" xfId="1342"/>
    <cellStyle name="Обычный 14 8" xfId="1774"/>
    <cellStyle name="Обычный 14 8 2" xfId="2708"/>
    <cellStyle name="Обычный 14 9" xfId="2000"/>
    <cellStyle name="Обычный 15" xfId="21"/>
    <cellStyle name="Обычный 16" xfId="50"/>
    <cellStyle name="Обычный 16 2" xfId="78"/>
    <cellStyle name="Обычный 16 2 10" xfId="875"/>
    <cellStyle name="Обычный 16 2 10 2" xfId="968"/>
    <cellStyle name="Обычный 16 2 10 2 2" xfId="1962"/>
    <cellStyle name="Обычный 16 2 10 3" xfId="1869"/>
    <cellStyle name="Обычный 16 2 11" xfId="881"/>
    <cellStyle name="Обычный 16 2 11 2" xfId="974"/>
    <cellStyle name="Обычный 16 2 11 2 2" xfId="1968"/>
    <cellStyle name="Обычный 16 2 11 3" xfId="1875"/>
    <cellStyle name="Обычный 16 2 12" xfId="887"/>
    <cellStyle name="Обычный 16 2 12 2" xfId="980"/>
    <cellStyle name="Обычный 16 2 12 2 2" xfId="1974"/>
    <cellStyle name="Обычный 16 2 12 3" xfId="1881"/>
    <cellStyle name="Обычный 16 2 13" xfId="891"/>
    <cellStyle name="Обычный 16 2 13 2" xfId="984"/>
    <cellStyle name="Обычный 16 2 13 2 2" xfId="1978"/>
    <cellStyle name="Обычный 16 2 13 3" xfId="1885"/>
    <cellStyle name="Обычный 16 2 14" xfId="908"/>
    <cellStyle name="Обычный 16 2 14 2" xfId="1902"/>
    <cellStyle name="Обычный 16 2 15" xfId="1001"/>
    <cellStyle name="Обычный 16 2 15 2" xfId="1995"/>
    <cellStyle name="Обычный 16 2 16" xfId="817"/>
    <cellStyle name="Обычный 16 2 16 2" xfId="1811"/>
    <cellStyle name="Обычный 16 2 17" xfId="1805"/>
    <cellStyle name="Обычный 16 2 18" xfId="810"/>
    <cellStyle name="Обычный 16 2 19" xfId="2785"/>
    <cellStyle name="Обычный 16 2 2" xfId="173"/>
    <cellStyle name="Обычный 16 2 2 2" xfId="360"/>
    <cellStyle name="Обычный 16 2 2 2 2" xfId="733"/>
    <cellStyle name="Обычный 16 2 2 2 2 2" xfId="2640"/>
    <cellStyle name="Обычный 16 2 2 2 2 3" xfId="1654"/>
    <cellStyle name="Обычный 16 2 2 2 3" xfId="784"/>
    <cellStyle name="Обычный 16 2 2 2 3 2" xfId="1908"/>
    <cellStyle name="Обычный 16 2 2 2 4" xfId="914"/>
    <cellStyle name="Обычный 16 2 2 3" xfId="547"/>
    <cellStyle name="Обычный 16 2 2 3 2" xfId="2458"/>
    <cellStyle name="Обычный 16 2 2 3 3" xfId="1472"/>
    <cellStyle name="Обычный 16 2 2 4" xfId="1817"/>
    <cellStyle name="Обычный 16 2 2 5" xfId="823"/>
    <cellStyle name="Обычный 16 2 2 6" xfId="800"/>
    <cellStyle name="Обычный 16 2 20" xfId="795"/>
    <cellStyle name="Обычный 16 2 3" xfId="267"/>
    <cellStyle name="Обычный 16 2 3 2" xfId="640"/>
    <cellStyle name="Обычный 16 2 3 2 2" xfId="1919"/>
    <cellStyle name="Обычный 16 2 3 2 3" xfId="925"/>
    <cellStyle name="Обычный 16 2 3 3" xfId="1827"/>
    <cellStyle name="Обычный 16 2 3 4" xfId="833"/>
    <cellStyle name="Обычный 16 2 4" xfId="454"/>
    <cellStyle name="Обычный 16 2 4 2" xfId="932"/>
    <cellStyle name="Обычный 16 2 4 2 2" xfId="1926"/>
    <cellStyle name="Обычный 16 2 4 3" xfId="1833"/>
    <cellStyle name="Обычный 16 2 4 4" xfId="839"/>
    <cellStyle name="Обычный 16 2 5" xfId="845"/>
    <cellStyle name="Обычный 16 2 5 2" xfId="938"/>
    <cellStyle name="Обычный 16 2 5 2 2" xfId="1932"/>
    <cellStyle name="Обычный 16 2 5 3" xfId="1839"/>
    <cellStyle name="Обычный 16 2 6" xfId="851"/>
    <cellStyle name="Обычный 16 2 6 2" xfId="944"/>
    <cellStyle name="Обычный 16 2 6 2 2" xfId="1938"/>
    <cellStyle name="Обычный 16 2 6 3" xfId="1845"/>
    <cellStyle name="Обычный 16 2 7" xfId="857"/>
    <cellStyle name="Обычный 16 2 7 2" xfId="950"/>
    <cellStyle name="Обычный 16 2 7 2 2" xfId="1944"/>
    <cellStyle name="Обычный 16 2 7 3" xfId="1851"/>
    <cellStyle name="Обычный 16 2 8" xfId="863"/>
    <cellStyle name="Обычный 16 2 8 2" xfId="956"/>
    <cellStyle name="Обычный 16 2 8 2 2" xfId="1950"/>
    <cellStyle name="Обычный 16 2 8 3" xfId="1857"/>
    <cellStyle name="Обычный 16 2 9" xfId="869"/>
    <cellStyle name="Обычный 16 2 9 2" xfId="962"/>
    <cellStyle name="Обычный 16 2 9 2 2" xfId="1956"/>
    <cellStyle name="Обычный 16 2 9 3" xfId="1863"/>
    <cellStyle name="Обычный 16 3" xfId="782"/>
    <cellStyle name="Обычный 16 3 2" xfId="1790"/>
    <cellStyle name="Обычный 16 3 2 2" xfId="2714"/>
    <cellStyle name="Обычный 16 3 3" xfId="2689"/>
    <cellStyle name="Обычный 16 3 4" xfId="1703"/>
    <cellStyle name="Обычный 16 4" xfId="1760"/>
    <cellStyle name="Обычный 16 4 2" xfId="2700"/>
    <cellStyle name="Обычный 16 5" xfId="2760"/>
    <cellStyle name="Обычный 16 6" xfId="2783"/>
    <cellStyle name="Обычный 16 7" xfId="786"/>
    <cellStyle name="Обычный 16 7 2" xfId="2805"/>
    <cellStyle name="Обычный 16 7 2 2 2 2" xfId="1795"/>
    <cellStyle name="Обычный 16 7 2 2 2 2 2" xfId="2715"/>
    <cellStyle name="Обычный 17" xfId="49"/>
    <cellStyle name="Обычный 17 2" xfId="73"/>
    <cellStyle name="Обычный 17 2 2" xfId="117"/>
    <cellStyle name="Обычный 17 2 2 2" xfId="211"/>
    <cellStyle name="Обычный 17 2 2 2 2" xfId="398"/>
    <cellStyle name="Обычный 17 2 2 2 2 2" xfId="771"/>
    <cellStyle name="Обычный 17 2 2 2 2 2 2" xfId="2678"/>
    <cellStyle name="Обычный 17 2 2 2 2 2 3" xfId="1692"/>
    <cellStyle name="Обычный 17 2 2 2 2 3" xfId="2314"/>
    <cellStyle name="Обычный 17 2 2 2 2 4" xfId="1328"/>
    <cellStyle name="Обычный 17 2 2 2 3" xfId="585"/>
    <cellStyle name="Обычный 17 2 2 2 3 2" xfId="2496"/>
    <cellStyle name="Обычный 17 2 2 2 3 3" xfId="1510"/>
    <cellStyle name="Обычный 17 2 2 2 4" xfId="2137"/>
    <cellStyle name="Обычный 17 2 2 2 5" xfId="1151"/>
    <cellStyle name="Обычный 17 2 2 3" xfId="305"/>
    <cellStyle name="Обычный 17 2 2 3 2" xfId="678"/>
    <cellStyle name="Обычный 17 2 2 3 2 2" xfId="2585"/>
    <cellStyle name="Обычный 17 2 2 3 2 3" xfId="1599"/>
    <cellStyle name="Обычный 17 2 2 3 3" xfId="2225"/>
    <cellStyle name="Обычный 17 2 2 3 4" xfId="1239"/>
    <cellStyle name="Обычный 17 2 2 4" xfId="492"/>
    <cellStyle name="Обычный 17 2 2 4 2" xfId="2403"/>
    <cellStyle name="Обычный 17 2 2 4 3" xfId="1417"/>
    <cellStyle name="Обычный 17 2 2 5" xfId="2053"/>
    <cellStyle name="Обычный 17 2 2 6" xfId="1067"/>
    <cellStyle name="Обычный 17 2 3" xfId="169"/>
    <cellStyle name="Обычный 17 2 3 2" xfId="356"/>
    <cellStyle name="Обычный 17 2 3 2 2" xfId="729"/>
    <cellStyle name="Обычный 17 2 3 2 2 2" xfId="2636"/>
    <cellStyle name="Обычный 17 2 3 2 2 3" xfId="1650"/>
    <cellStyle name="Обычный 17 2 3 2 3" xfId="2273"/>
    <cellStyle name="Обычный 17 2 3 2 4" xfId="1287"/>
    <cellStyle name="Обычный 17 2 3 3" xfId="543"/>
    <cellStyle name="Обычный 17 2 3 3 2" xfId="2454"/>
    <cellStyle name="Обычный 17 2 3 3 3" xfId="1468"/>
    <cellStyle name="Обычный 17 2 3 4" xfId="2099"/>
    <cellStyle name="Обычный 17 2 3 5" xfId="1113"/>
    <cellStyle name="Обычный 17 2 4" xfId="263"/>
    <cellStyle name="Обычный 17 2 4 2" xfId="636"/>
    <cellStyle name="Обычный 17 2 4 2 2" xfId="2544"/>
    <cellStyle name="Обычный 17 2 4 2 3" xfId="1558"/>
    <cellStyle name="Обычный 17 2 4 3" xfId="2184"/>
    <cellStyle name="Обычный 17 2 4 4" xfId="1198"/>
    <cellStyle name="Обычный 17 2 5" xfId="450"/>
    <cellStyle name="Обычный 17 2 5 2" xfId="2362"/>
    <cellStyle name="Обычный 17 2 5 3" xfId="1376"/>
    <cellStyle name="Обычный 17 2 6" xfId="2020"/>
    <cellStyle name="Обычный 17 2 7" xfId="1033"/>
    <cellStyle name="Обычный 17 2 8" xfId="799"/>
    <cellStyle name="Обычный 17 3" xfId="148"/>
    <cellStyle name="Обычный 17 3 2" xfId="335"/>
    <cellStyle name="Обычный 17 3 2 2" xfId="708"/>
    <cellStyle name="Обычный 17 3 2 2 2" xfId="2615"/>
    <cellStyle name="Обычный 17 3 2 2 3" xfId="1629"/>
    <cellStyle name="Обычный 17 3 2 3" xfId="2252"/>
    <cellStyle name="Обычный 17 3 2 4" xfId="1266"/>
    <cellStyle name="Обычный 17 3 3" xfId="522"/>
    <cellStyle name="Обычный 17 3 3 2" xfId="2433"/>
    <cellStyle name="Обычный 17 3 3 3" xfId="1447"/>
    <cellStyle name="Обычный 17 3 4" xfId="2078"/>
    <cellStyle name="Обычный 17 3 5" xfId="79"/>
    <cellStyle name="Обычный 17 3 5 2" xfId="174"/>
    <cellStyle name="Обычный 17 3 5 2 2" xfId="361"/>
    <cellStyle name="Обычный 17 3 5 2 2 2" xfId="734"/>
    <cellStyle name="Обычный 17 3 5 2 2 2 2" xfId="2641"/>
    <cellStyle name="Обычный 17 3 5 2 2 2 3" xfId="1655"/>
    <cellStyle name="Обычный 17 3 5 2 2 3" xfId="2277"/>
    <cellStyle name="Обычный 17 3 5 2 2 4" xfId="1291"/>
    <cellStyle name="Обычный 17 3 5 2 3" xfId="548"/>
    <cellStyle name="Обычный 17 3 5 2 3 2" xfId="2459"/>
    <cellStyle name="Обычный 17 3 5 2 3 3" xfId="1473"/>
    <cellStyle name="Обычный 17 3 5 2 4" xfId="2102"/>
    <cellStyle name="Обычный 17 3 5 2 5" xfId="1116"/>
    <cellStyle name="Обычный 17 3 5 3" xfId="268"/>
    <cellStyle name="Обычный 17 3 5 3 2" xfId="641"/>
    <cellStyle name="Обычный 17 3 5 3 2 2" xfId="2548"/>
    <cellStyle name="Обычный 17 3 5 3 2 3" xfId="1562"/>
    <cellStyle name="Обычный 17 3 5 3 3" xfId="2188"/>
    <cellStyle name="Обычный 17 3 5 3 4" xfId="1202"/>
    <cellStyle name="Обычный 17 3 5 4" xfId="455"/>
    <cellStyle name="Обычный 17 3 5 4 2" xfId="2366"/>
    <cellStyle name="Обычный 17 3 5 4 3" xfId="1380"/>
    <cellStyle name="Обычный 17 3 5 5" xfId="2023"/>
    <cellStyle name="Обычный 17 3 5 6" xfId="1037"/>
    <cellStyle name="Обычный 17 3 6" xfId="1092"/>
    <cellStyle name="Обычный 17 4" xfId="242"/>
    <cellStyle name="Обычный 17 4 2" xfId="615"/>
    <cellStyle name="Обычный 17 4 2 2" xfId="2523"/>
    <cellStyle name="Обычный 17 4 2 3" xfId="1537"/>
    <cellStyle name="Обычный 17 4 3" xfId="2163"/>
    <cellStyle name="Обычный 17 4 4" xfId="1177"/>
    <cellStyle name="Обычный 17 5" xfId="429"/>
    <cellStyle name="Обычный 17 5 2" xfId="2341"/>
    <cellStyle name="Обычный 17 5 3" xfId="1355"/>
    <cellStyle name="Обычный 17 6" xfId="1764"/>
    <cellStyle name="Обычный 17 7" xfId="2007"/>
    <cellStyle name="Обычный 17 8" xfId="1020"/>
    <cellStyle name="Обычный 17 9" xfId="794"/>
    <cellStyle name="Обычный 18" xfId="52"/>
    <cellStyle name="Обычный 19" xfId="51"/>
    <cellStyle name="Обычный 19 2" xfId="97"/>
    <cellStyle name="Обычный 19 2 2" xfId="191"/>
    <cellStyle name="Обычный 19 2 2 2" xfId="378"/>
    <cellStyle name="Обычный 19 2 2 2 2" xfId="751"/>
    <cellStyle name="Обычный 19 2 2 2 2 2" xfId="2658"/>
    <cellStyle name="Обычный 19 2 2 2 2 3" xfId="1672"/>
    <cellStyle name="Обычный 19 2 2 2 3" xfId="2294"/>
    <cellStyle name="Обычный 19 2 2 2 4" xfId="1308"/>
    <cellStyle name="Обычный 19 2 2 3" xfId="565"/>
    <cellStyle name="Обычный 19 2 2 3 2" xfId="2476"/>
    <cellStyle name="Обычный 19 2 2 3 3" xfId="1490"/>
    <cellStyle name="Обычный 19 2 2 4" xfId="2117"/>
    <cellStyle name="Обычный 19 2 2 5" xfId="1131"/>
    <cellStyle name="Обычный 19 2 3" xfId="285"/>
    <cellStyle name="Обычный 19 2 3 2" xfId="658"/>
    <cellStyle name="Обычный 19 2 3 2 2" xfId="2565"/>
    <cellStyle name="Обычный 19 2 3 2 3" xfId="1579"/>
    <cellStyle name="Обычный 19 2 3 3" xfId="2205"/>
    <cellStyle name="Обычный 19 2 3 4" xfId="1219"/>
    <cellStyle name="Обычный 19 2 4" xfId="472"/>
    <cellStyle name="Обычный 19 2 4 2" xfId="2383"/>
    <cellStyle name="Обычный 19 2 4 3" xfId="1397"/>
    <cellStyle name="Обычный 19 2 5" xfId="2037"/>
    <cellStyle name="Обычный 19 2 6" xfId="1051"/>
    <cellStyle name="Обычный 19 3" xfId="149"/>
    <cellStyle name="Обычный 19 3 2" xfId="336"/>
    <cellStyle name="Обычный 19 3 2 2" xfId="709"/>
    <cellStyle name="Обычный 19 3 2 2 2" xfId="2616"/>
    <cellStyle name="Обычный 19 3 2 2 3" xfId="1630"/>
    <cellStyle name="Обычный 19 3 2 3" xfId="2253"/>
    <cellStyle name="Обычный 19 3 2 4" xfId="1267"/>
    <cellStyle name="Обычный 19 3 3" xfId="523"/>
    <cellStyle name="Обычный 19 3 3 2" xfId="2434"/>
    <cellStyle name="Обычный 19 3 3 3" xfId="1448"/>
    <cellStyle name="Обычный 19 3 4" xfId="2079"/>
    <cellStyle name="Обычный 19 3 5" xfId="1093"/>
    <cellStyle name="Обычный 19 4" xfId="243"/>
    <cellStyle name="Обычный 19 4 2" xfId="616"/>
    <cellStyle name="Обычный 19 4 2 2" xfId="2524"/>
    <cellStyle name="Обычный 19 4 2 3" xfId="1538"/>
    <cellStyle name="Обычный 19 4 3" xfId="2164"/>
    <cellStyle name="Обычный 19 4 4" xfId="1178"/>
    <cellStyle name="Обычный 19 5" xfId="430"/>
    <cellStyle name="Обычный 19 5 2" xfId="2342"/>
    <cellStyle name="Обычный 19 5 3" xfId="1356"/>
    <cellStyle name="Обычный 19 6" xfId="2008"/>
    <cellStyle name="Обычный 19 7" xfId="1021"/>
    <cellStyle name="Обычный 2" xfId="5"/>
    <cellStyle name="Обычный 2 10" xfId="785"/>
    <cellStyle name="Обычный 2 10 2" xfId="957"/>
    <cellStyle name="Обычный 2 10 2 2" xfId="1951"/>
    <cellStyle name="Обычный 2 10 3" xfId="1775"/>
    <cellStyle name="Обычный 2 10 4" xfId="1858"/>
    <cellStyle name="Обычный 2 10 5" xfId="864"/>
    <cellStyle name="Обычный 2 11" xfId="870"/>
    <cellStyle name="Обычный 2 11 2" xfId="963"/>
    <cellStyle name="Обычный 2 11 2 2" xfId="1957"/>
    <cellStyle name="Обычный 2 11 3" xfId="1788"/>
    <cellStyle name="Обычный 2 11 4" xfId="1864"/>
    <cellStyle name="Обычный 2 12" xfId="876"/>
    <cellStyle name="Обычный 2 12 2" xfId="969"/>
    <cellStyle name="Обычный 2 12 2 2" xfId="1963"/>
    <cellStyle name="Обычный 2 12 3" xfId="1765"/>
    <cellStyle name="Обычный 2 12 4" xfId="1870"/>
    <cellStyle name="Обычный 2 13" xfId="882"/>
    <cellStyle name="Обычный 2 13 2" xfId="975"/>
    <cellStyle name="Обычный 2 13 2 2" xfId="1969"/>
    <cellStyle name="Обычный 2 13 3" xfId="1791"/>
    <cellStyle name="Обычный 2 13 4" xfId="1876"/>
    <cellStyle name="Обычный 2 14" xfId="892"/>
    <cellStyle name="Обычный 2 14 2" xfId="985"/>
    <cellStyle name="Обычный 2 14 2 2" xfId="1979"/>
    <cellStyle name="Обычный 2 14 3" xfId="1705"/>
    <cellStyle name="Обычный 2 14 4" xfId="1886"/>
    <cellStyle name="Обычный 2 15" xfId="897"/>
    <cellStyle name="Обычный 2 15 2" xfId="990"/>
    <cellStyle name="Обычный 2 15 2 2" xfId="1984"/>
    <cellStyle name="Обычный 2 15 3" xfId="1891"/>
    <cellStyle name="Обычный 2 16" xfId="909"/>
    <cellStyle name="Обычный 2 16 2" xfId="1903"/>
    <cellStyle name="Обычный 2 17" xfId="903"/>
    <cellStyle name="Обычный 2 17 2" xfId="1897"/>
    <cellStyle name="Обычный 2 18" xfId="996"/>
    <cellStyle name="Обычный 2 18 2" xfId="1990"/>
    <cellStyle name="Обычный 2 19" xfId="818"/>
    <cellStyle name="Обычный 2 19 2" xfId="1812"/>
    <cellStyle name="Обычный 2 2" xfId="22"/>
    <cellStyle name="Обычный 2 2 10" xfId="872"/>
    <cellStyle name="Обычный 2 2 10 2" xfId="965"/>
    <cellStyle name="Обычный 2 2 10 2 2" xfId="1959"/>
    <cellStyle name="Обычный 2 2 10 3" xfId="1866"/>
    <cellStyle name="Обычный 2 2 11" xfId="878"/>
    <cellStyle name="Обычный 2 2 11 2" xfId="971"/>
    <cellStyle name="Обычный 2 2 11 2 2" xfId="1965"/>
    <cellStyle name="Обычный 2 2 11 3" xfId="1872"/>
    <cellStyle name="Обычный 2 2 12" xfId="884"/>
    <cellStyle name="Обычный 2 2 12 2" xfId="977"/>
    <cellStyle name="Обычный 2 2 12 2 2" xfId="1971"/>
    <cellStyle name="Обычный 2 2 12 3" xfId="1878"/>
    <cellStyle name="Обычный 2 2 13" xfId="894"/>
    <cellStyle name="Обычный 2 2 13 2" xfId="987"/>
    <cellStyle name="Обычный 2 2 13 2 2" xfId="1981"/>
    <cellStyle name="Обычный 2 2 13 3" xfId="1888"/>
    <cellStyle name="Обычный 2 2 14" xfId="899"/>
    <cellStyle name="Обычный 2 2 14 2" xfId="992"/>
    <cellStyle name="Обычный 2 2 14 2 2" xfId="1986"/>
    <cellStyle name="Обычный 2 2 14 3" xfId="1893"/>
    <cellStyle name="Обычный 2 2 15" xfId="911"/>
    <cellStyle name="Обычный 2 2 15 2" xfId="1905"/>
    <cellStyle name="Обычный 2 2 16" xfId="905"/>
    <cellStyle name="Обычный 2 2 16 2" xfId="1899"/>
    <cellStyle name="Обычный 2 2 17" xfId="998"/>
    <cellStyle name="Обычный 2 2 17 2" xfId="1992"/>
    <cellStyle name="Обычный 2 2 18" xfId="820"/>
    <cellStyle name="Обычный 2 2 18 2" xfId="1814"/>
    <cellStyle name="Обычный 2 2 19" xfId="1009"/>
    <cellStyle name="Обычный 2 2 2" xfId="23"/>
    <cellStyle name="Обычный 2 2 2 10" xfId="1803"/>
    <cellStyle name="Обычный 2 2 2 11" xfId="2741"/>
    <cellStyle name="Обычный 2 2 2 12" xfId="2771"/>
    <cellStyle name="Обычный 2 2 2 13" xfId="2793"/>
    <cellStyle name="Обычный 2 2 2 14" xfId="808"/>
    <cellStyle name="Обычный 2 2 2 2" xfId="24"/>
    <cellStyle name="Обычный 2 2 2 2 10" xfId="867"/>
    <cellStyle name="Обычный 2 2 2 2 10 2" xfId="960"/>
    <cellStyle name="Обычный 2 2 2 2 10 2 2" xfId="1954"/>
    <cellStyle name="Обычный 2 2 2 2 10 3" xfId="1861"/>
    <cellStyle name="Обычный 2 2 2 2 11" xfId="873"/>
    <cellStyle name="Обычный 2 2 2 2 11 2" xfId="966"/>
    <cellStyle name="Обычный 2 2 2 2 11 2 2" xfId="1960"/>
    <cellStyle name="Обычный 2 2 2 2 11 3" xfId="1867"/>
    <cellStyle name="Обычный 2 2 2 2 12" xfId="879"/>
    <cellStyle name="Обычный 2 2 2 2 12 2" xfId="972"/>
    <cellStyle name="Обычный 2 2 2 2 12 2 2" xfId="1966"/>
    <cellStyle name="Обычный 2 2 2 2 12 3" xfId="1873"/>
    <cellStyle name="Обычный 2 2 2 2 13" xfId="885"/>
    <cellStyle name="Обычный 2 2 2 2 13 2" xfId="978"/>
    <cellStyle name="Обычный 2 2 2 2 13 2 2" xfId="1972"/>
    <cellStyle name="Обычный 2 2 2 2 13 3" xfId="1879"/>
    <cellStyle name="Обычный 2 2 2 2 14" xfId="895"/>
    <cellStyle name="Обычный 2 2 2 2 14 2" xfId="988"/>
    <cellStyle name="Обычный 2 2 2 2 14 2 2" xfId="1982"/>
    <cellStyle name="Обычный 2 2 2 2 14 3" xfId="1889"/>
    <cellStyle name="Обычный 2 2 2 2 15" xfId="900"/>
    <cellStyle name="Обычный 2 2 2 2 15 2" xfId="993"/>
    <cellStyle name="Обычный 2 2 2 2 15 2 2" xfId="1987"/>
    <cellStyle name="Обычный 2 2 2 2 15 3" xfId="1894"/>
    <cellStyle name="Обычный 2 2 2 2 16" xfId="912"/>
    <cellStyle name="Обычный 2 2 2 2 16 2" xfId="1906"/>
    <cellStyle name="Обычный 2 2 2 2 17" xfId="906"/>
    <cellStyle name="Обычный 2 2 2 2 17 2" xfId="1900"/>
    <cellStyle name="Обычный 2 2 2 2 18" xfId="999"/>
    <cellStyle name="Обычный 2 2 2 2 18 2" xfId="1993"/>
    <cellStyle name="Обычный 2 2 2 2 19" xfId="821"/>
    <cellStyle name="Обычный 2 2 2 2 19 2" xfId="1815"/>
    <cellStyle name="Обычный 2 2 2 2 2" xfId="25"/>
    <cellStyle name="Обычный 2 2 2 2 2 10" xfId="874"/>
    <cellStyle name="Обычный 2 2 2 2 2 10 2" xfId="967"/>
    <cellStyle name="Обычный 2 2 2 2 2 10 2 2" xfId="1961"/>
    <cellStyle name="Обычный 2 2 2 2 2 10 3" xfId="1868"/>
    <cellStyle name="Обычный 2 2 2 2 2 11" xfId="880"/>
    <cellStyle name="Обычный 2 2 2 2 2 11 2" xfId="973"/>
    <cellStyle name="Обычный 2 2 2 2 2 11 2 2" xfId="1967"/>
    <cellStyle name="Обычный 2 2 2 2 2 11 3" xfId="1874"/>
    <cellStyle name="Обычный 2 2 2 2 2 12" xfId="886"/>
    <cellStyle name="Обычный 2 2 2 2 2 12 2" xfId="979"/>
    <cellStyle name="Обычный 2 2 2 2 2 12 2 2" xfId="1973"/>
    <cellStyle name="Обычный 2 2 2 2 2 12 3" xfId="1880"/>
    <cellStyle name="Обычный 2 2 2 2 2 13" xfId="896"/>
    <cellStyle name="Обычный 2 2 2 2 2 13 2" xfId="989"/>
    <cellStyle name="Обычный 2 2 2 2 2 13 2 2" xfId="1983"/>
    <cellStyle name="Обычный 2 2 2 2 2 13 3" xfId="1890"/>
    <cellStyle name="Обычный 2 2 2 2 2 14" xfId="901"/>
    <cellStyle name="Обычный 2 2 2 2 2 14 2" xfId="994"/>
    <cellStyle name="Обычный 2 2 2 2 2 14 2 2" xfId="1988"/>
    <cellStyle name="Обычный 2 2 2 2 2 14 3" xfId="1895"/>
    <cellStyle name="Обычный 2 2 2 2 2 15" xfId="913"/>
    <cellStyle name="Обычный 2 2 2 2 2 15 2" xfId="1907"/>
    <cellStyle name="Обычный 2 2 2 2 2 16" xfId="907"/>
    <cellStyle name="Обычный 2 2 2 2 2 16 2" xfId="1901"/>
    <cellStyle name="Обычный 2 2 2 2 2 17" xfId="1000"/>
    <cellStyle name="Обычный 2 2 2 2 2 17 2" xfId="1994"/>
    <cellStyle name="Обычный 2 2 2 2 2 18" xfId="822"/>
    <cellStyle name="Обычный 2 2 2 2 2 18 2" xfId="1816"/>
    <cellStyle name="Обычный 2 2 2 2 2 19" xfId="1810"/>
    <cellStyle name="Обычный 2 2 2 2 2 2" xfId="60"/>
    <cellStyle name="Обычный 2 2 2 2 2 2 2" xfId="105"/>
    <cellStyle name="Обычный 2 2 2 2 2 2 2 2" xfId="199"/>
    <cellStyle name="Обычный 2 2 2 2 2 2 2 2 2" xfId="386"/>
    <cellStyle name="Обычный 2 2 2 2 2 2 2 2 2 2" xfId="759"/>
    <cellStyle name="Обычный 2 2 2 2 2 2 2 2 2 2 2" xfId="2666"/>
    <cellStyle name="Обычный 2 2 2 2 2 2 2 2 2 2 3" xfId="1680"/>
    <cellStyle name="Обычный 2 2 2 2 2 2 2 2 2 3" xfId="2302"/>
    <cellStyle name="Обычный 2 2 2 2 2 2 2 2 2 4" xfId="1316"/>
    <cellStyle name="Обычный 2 2 2 2 2 2 2 2 3" xfId="573"/>
    <cellStyle name="Обычный 2 2 2 2 2 2 2 2 3 2" xfId="2484"/>
    <cellStyle name="Обычный 2 2 2 2 2 2 2 2 3 3" xfId="1498"/>
    <cellStyle name="Обычный 2 2 2 2 2 2 2 2 4" xfId="2125"/>
    <cellStyle name="Обычный 2 2 2 2 2 2 2 2 5" xfId="1139"/>
    <cellStyle name="Обычный 2 2 2 2 2 2 2 3" xfId="293"/>
    <cellStyle name="Обычный 2 2 2 2 2 2 2 3 2" xfId="666"/>
    <cellStyle name="Обычный 2 2 2 2 2 2 2 3 2 2" xfId="2573"/>
    <cellStyle name="Обычный 2 2 2 2 2 2 2 3 2 3" xfId="1587"/>
    <cellStyle name="Обычный 2 2 2 2 2 2 2 3 3" xfId="2213"/>
    <cellStyle name="Обычный 2 2 2 2 2 2 2 3 4" xfId="1227"/>
    <cellStyle name="Обычный 2 2 2 2 2 2 2 4" xfId="480"/>
    <cellStyle name="Обычный 2 2 2 2 2 2 2 4 2" xfId="2391"/>
    <cellStyle name="Обычный 2 2 2 2 2 2 2 4 3" xfId="1405"/>
    <cellStyle name="Обычный 2 2 2 2 2 2 2 5" xfId="1913"/>
    <cellStyle name="Обычный 2 2 2 2 2 2 2 6" xfId="919"/>
    <cellStyle name="Обычный 2 2 2 2 2 2 3" xfId="157"/>
    <cellStyle name="Обычный 2 2 2 2 2 2 3 2" xfId="344"/>
    <cellStyle name="Обычный 2 2 2 2 2 2 3 2 2" xfId="717"/>
    <cellStyle name="Обычный 2 2 2 2 2 2 3 2 2 2" xfId="2624"/>
    <cellStyle name="Обычный 2 2 2 2 2 2 3 2 2 3" xfId="1638"/>
    <cellStyle name="Обычный 2 2 2 2 2 2 3 2 3" xfId="2261"/>
    <cellStyle name="Обычный 2 2 2 2 2 2 3 2 4" xfId="1275"/>
    <cellStyle name="Обычный 2 2 2 2 2 2 3 3" xfId="531"/>
    <cellStyle name="Обычный 2 2 2 2 2 2 3 3 2" xfId="2442"/>
    <cellStyle name="Обычный 2 2 2 2 2 2 3 3 3" xfId="1456"/>
    <cellStyle name="Обычный 2 2 2 2 2 2 3 4" xfId="2087"/>
    <cellStyle name="Обычный 2 2 2 2 2 2 3 5" xfId="1101"/>
    <cellStyle name="Обычный 2 2 2 2 2 2 4" xfId="251"/>
    <cellStyle name="Обычный 2 2 2 2 2 2 4 2" xfId="624"/>
    <cellStyle name="Обычный 2 2 2 2 2 2 4 2 2" xfId="2532"/>
    <cellStyle name="Обычный 2 2 2 2 2 2 4 2 3" xfId="1546"/>
    <cellStyle name="Обычный 2 2 2 2 2 2 4 3" xfId="2172"/>
    <cellStyle name="Обычный 2 2 2 2 2 2 4 4" xfId="1186"/>
    <cellStyle name="Обычный 2 2 2 2 2 2 5" xfId="438"/>
    <cellStyle name="Обычный 2 2 2 2 2 2 5 2" xfId="2350"/>
    <cellStyle name="Обычный 2 2 2 2 2 2 5 3" xfId="1364"/>
    <cellStyle name="Обычный 2 2 2 2 2 2 6" xfId="1821"/>
    <cellStyle name="Обычный 2 2 2 2 2 2 7" xfId="827"/>
    <cellStyle name="Обычный 2 2 2 2 2 20" xfId="816"/>
    <cellStyle name="Обычный 2 2 2 2 2 3" xfId="85"/>
    <cellStyle name="Обычный 2 2 2 2 2 3 2" xfId="179"/>
    <cellStyle name="Обычный 2 2 2 2 2 3 2 2" xfId="366"/>
    <cellStyle name="Обычный 2 2 2 2 2 3 2 2 2" xfId="739"/>
    <cellStyle name="Обычный 2 2 2 2 2 3 2 2 2 2" xfId="2646"/>
    <cellStyle name="Обычный 2 2 2 2 2 3 2 2 2 3" xfId="1660"/>
    <cellStyle name="Обычный 2 2 2 2 2 3 2 2 3" xfId="2282"/>
    <cellStyle name="Обычный 2 2 2 2 2 3 2 2 4" xfId="1296"/>
    <cellStyle name="Обычный 2 2 2 2 2 3 2 3" xfId="553"/>
    <cellStyle name="Обычный 2 2 2 2 2 3 2 3 2" xfId="2464"/>
    <cellStyle name="Обычный 2 2 2 2 2 3 2 3 3" xfId="1478"/>
    <cellStyle name="Обычный 2 2 2 2 2 3 2 4" xfId="1918"/>
    <cellStyle name="Обычный 2 2 2 2 2 3 2 5" xfId="924"/>
    <cellStyle name="Обычный 2 2 2 2 2 3 3" xfId="273"/>
    <cellStyle name="Обычный 2 2 2 2 2 3 3 2" xfId="646"/>
    <cellStyle name="Обычный 2 2 2 2 2 3 3 2 2" xfId="2553"/>
    <cellStyle name="Обычный 2 2 2 2 2 3 3 2 3" xfId="1567"/>
    <cellStyle name="Обычный 2 2 2 2 2 3 3 3" xfId="2193"/>
    <cellStyle name="Обычный 2 2 2 2 2 3 3 4" xfId="1207"/>
    <cellStyle name="Обычный 2 2 2 2 2 3 4" xfId="460"/>
    <cellStyle name="Обычный 2 2 2 2 2 3 4 2" xfId="2371"/>
    <cellStyle name="Обычный 2 2 2 2 2 3 4 3" xfId="1385"/>
    <cellStyle name="Обычный 2 2 2 2 2 3 5" xfId="1826"/>
    <cellStyle name="Обычный 2 2 2 2 2 3 6" xfId="832"/>
    <cellStyle name="Обычный 2 2 2 2 2 4" xfId="136"/>
    <cellStyle name="Обычный 2 2 2 2 2 4 2" xfId="323"/>
    <cellStyle name="Обычный 2 2 2 2 2 4 2 2" xfId="696"/>
    <cellStyle name="Обычный 2 2 2 2 2 4 2 2 2" xfId="2603"/>
    <cellStyle name="Обычный 2 2 2 2 2 4 2 2 3" xfId="1617"/>
    <cellStyle name="Обычный 2 2 2 2 2 4 2 3" xfId="1925"/>
    <cellStyle name="Обычный 2 2 2 2 2 4 2 4" xfId="931"/>
    <cellStyle name="Обычный 2 2 2 2 2 4 3" xfId="510"/>
    <cellStyle name="Обычный 2 2 2 2 2 4 3 2" xfId="2421"/>
    <cellStyle name="Обычный 2 2 2 2 2 4 3 3" xfId="1435"/>
    <cellStyle name="Обычный 2 2 2 2 2 4 4" xfId="1832"/>
    <cellStyle name="Обычный 2 2 2 2 2 4 5" xfId="838"/>
    <cellStyle name="Обычный 2 2 2 2 2 5" xfId="230"/>
    <cellStyle name="Обычный 2 2 2 2 2 5 2" xfId="603"/>
    <cellStyle name="Обычный 2 2 2 2 2 5 2 2" xfId="1931"/>
    <cellStyle name="Обычный 2 2 2 2 2 5 2 3" xfId="937"/>
    <cellStyle name="Обычный 2 2 2 2 2 5 3" xfId="1838"/>
    <cellStyle name="Обычный 2 2 2 2 2 5 4" xfId="844"/>
    <cellStyle name="Обычный 2 2 2 2 2 6" xfId="417"/>
    <cellStyle name="Обычный 2 2 2 2 2 6 2" xfId="943"/>
    <cellStyle name="Обычный 2 2 2 2 2 6 2 2" xfId="1937"/>
    <cellStyle name="Обычный 2 2 2 2 2 6 3" xfId="1844"/>
    <cellStyle name="Обычный 2 2 2 2 2 6 4" xfId="850"/>
    <cellStyle name="Обычный 2 2 2 2 2 7" xfId="856"/>
    <cellStyle name="Обычный 2 2 2 2 2 7 2" xfId="949"/>
    <cellStyle name="Обычный 2 2 2 2 2 7 2 2" xfId="1943"/>
    <cellStyle name="Обычный 2 2 2 2 2 7 3" xfId="1850"/>
    <cellStyle name="Обычный 2 2 2 2 2 8" xfId="862"/>
    <cellStyle name="Обычный 2 2 2 2 2 8 2" xfId="955"/>
    <cellStyle name="Обычный 2 2 2 2 2 8 2 2" xfId="1949"/>
    <cellStyle name="Обычный 2 2 2 2 2 8 3" xfId="1856"/>
    <cellStyle name="Обычный 2 2 2 2 2 9" xfId="868"/>
    <cellStyle name="Обычный 2 2 2 2 2 9 2" xfId="961"/>
    <cellStyle name="Обычный 2 2 2 2 2 9 2 2" xfId="1955"/>
    <cellStyle name="Обычный 2 2 2 2 2 9 3" xfId="1862"/>
    <cellStyle name="Обычный 2 2 2 2 20" xfId="1809"/>
    <cellStyle name="Обычный 2 2 2 2 21" xfId="2756"/>
    <cellStyle name="Обычный 2 2 2 2 22" xfId="2780"/>
    <cellStyle name="Обычный 2 2 2 2 23" xfId="2802"/>
    <cellStyle name="Обычный 2 2 2 2 24" xfId="815"/>
    <cellStyle name="Обычный 2 2 2 2 3" xfId="59"/>
    <cellStyle name="Обычный 2 2 2 2 3 2" xfId="104"/>
    <cellStyle name="Обычный 2 2 2 2 3 2 2" xfId="198"/>
    <cellStyle name="Обычный 2 2 2 2 3 2 2 2" xfId="385"/>
    <cellStyle name="Обычный 2 2 2 2 3 2 2 2 2" xfId="758"/>
    <cellStyle name="Обычный 2 2 2 2 3 2 2 2 2 2" xfId="2665"/>
    <cellStyle name="Обычный 2 2 2 2 3 2 2 2 2 3" xfId="1679"/>
    <cellStyle name="Обычный 2 2 2 2 3 2 2 2 3" xfId="2301"/>
    <cellStyle name="Обычный 2 2 2 2 3 2 2 2 4" xfId="1315"/>
    <cellStyle name="Обычный 2 2 2 2 3 2 2 3" xfId="572"/>
    <cellStyle name="Обычный 2 2 2 2 3 2 2 3 2" xfId="2483"/>
    <cellStyle name="Обычный 2 2 2 2 3 2 2 3 3" xfId="1497"/>
    <cellStyle name="Обычный 2 2 2 2 3 2 2 4" xfId="2124"/>
    <cellStyle name="Обычный 2 2 2 2 3 2 2 5" xfId="1138"/>
    <cellStyle name="Обычный 2 2 2 2 3 2 3" xfId="292"/>
    <cellStyle name="Обычный 2 2 2 2 3 2 3 2" xfId="665"/>
    <cellStyle name="Обычный 2 2 2 2 3 2 3 2 2" xfId="2572"/>
    <cellStyle name="Обычный 2 2 2 2 3 2 3 2 3" xfId="1586"/>
    <cellStyle name="Обычный 2 2 2 2 3 2 3 3" xfId="2212"/>
    <cellStyle name="Обычный 2 2 2 2 3 2 3 4" xfId="1226"/>
    <cellStyle name="Обычный 2 2 2 2 3 2 4" xfId="479"/>
    <cellStyle name="Обычный 2 2 2 2 3 2 4 2" xfId="2390"/>
    <cellStyle name="Обычный 2 2 2 2 3 2 4 3" xfId="1404"/>
    <cellStyle name="Обычный 2 2 2 2 3 2 5" xfId="1912"/>
    <cellStyle name="Обычный 2 2 2 2 3 2 6" xfId="918"/>
    <cellStyle name="Обычный 2 2 2 2 3 3" xfId="156"/>
    <cellStyle name="Обычный 2 2 2 2 3 3 2" xfId="343"/>
    <cellStyle name="Обычный 2 2 2 2 3 3 2 2" xfId="716"/>
    <cellStyle name="Обычный 2 2 2 2 3 3 2 2 2" xfId="2623"/>
    <cellStyle name="Обычный 2 2 2 2 3 3 2 2 3" xfId="1637"/>
    <cellStyle name="Обычный 2 2 2 2 3 3 2 3" xfId="2260"/>
    <cellStyle name="Обычный 2 2 2 2 3 3 2 4" xfId="1274"/>
    <cellStyle name="Обычный 2 2 2 2 3 3 3" xfId="530"/>
    <cellStyle name="Обычный 2 2 2 2 3 3 3 2" xfId="2441"/>
    <cellStyle name="Обычный 2 2 2 2 3 3 3 3" xfId="1455"/>
    <cellStyle name="Обычный 2 2 2 2 3 3 4" xfId="2086"/>
    <cellStyle name="Обычный 2 2 2 2 3 3 5" xfId="1100"/>
    <cellStyle name="Обычный 2 2 2 2 3 4" xfId="250"/>
    <cellStyle name="Обычный 2 2 2 2 3 4 2" xfId="623"/>
    <cellStyle name="Обычный 2 2 2 2 3 4 2 2" xfId="2531"/>
    <cellStyle name="Обычный 2 2 2 2 3 4 2 3" xfId="1545"/>
    <cellStyle name="Обычный 2 2 2 2 3 4 3" xfId="2171"/>
    <cellStyle name="Обычный 2 2 2 2 3 4 4" xfId="1185"/>
    <cellStyle name="Обычный 2 2 2 2 3 5" xfId="437"/>
    <cellStyle name="Обычный 2 2 2 2 3 5 2" xfId="2349"/>
    <cellStyle name="Обычный 2 2 2 2 3 5 3" xfId="1363"/>
    <cellStyle name="Обычный 2 2 2 2 3 6" xfId="1820"/>
    <cellStyle name="Обычный 2 2 2 2 3 7" xfId="826"/>
    <cellStyle name="Обычный 2 2 2 2 4" xfId="75"/>
    <cellStyle name="Обычный 2 2 2 2 4 2" xfId="171"/>
    <cellStyle name="Обычный 2 2 2 2 4 2 2" xfId="358"/>
    <cellStyle name="Обычный 2 2 2 2 4 2 2 2" xfId="731"/>
    <cellStyle name="Обычный 2 2 2 2 4 2 2 2 2" xfId="2638"/>
    <cellStyle name="Обычный 2 2 2 2 4 2 2 2 3" xfId="1652"/>
    <cellStyle name="Обычный 2 2 2 2 4 2 2 3" xfId="2275"/>
    <cellStyle name="Обычный 2 2 2 2 4 2 2 4" xfId="1289"/>
    <cellStyle name="Обычный 2 2 2 2 4 2 3" xfId="545"/>
    <cellStyle name="Обычный 2 2 2 2 4 2 3 2" xfId="2456"/>
    <cellStyle name="Обычный 2 2 2 2 4 2 3 3" xfId="1470"/>
    <cellStyle name="Обычный 2 2 2 2 4 2 4" xfId="1917"/>
    <cellStyle name="Обычный 2 2 2 2 4 2 5" xfId="923"/>
    <cellStyle name="Обычный 2 2 2 2 4 3" xfId="265"/>
    <cellStyle name="Обычный 2 2 2 2 4 3 2" xfId="638"/>
    <cellStyle name="Обычный 2 2 2 2 4 3 2 2" xfId="2546"/>
    <cellStyle name="Обычный 2 2 2 2 4 3 2 3" xfId="1560"/>
    <cellStyle name="Обычный 2 2 2 2 4 3 3" xfId="2186"/>
    <cellStyle name="Обычный 2 2 2 2 4 3 4" xfId="1200"/>
    <cellStyle name="Обычный 2 2 2 2 4 4" xfId="452"/>
    <cellStyle name="Обычный 2 2 2 2 4 4 2" xfId="2364"/>
    <cellStyle name="Обычный 2 2 2 2 4 4 3" xfId="1378"/>
    <cellStyle name="Обычный 2 2 2 2 4 5" xfId="1825"/>
    <cellStyle name="Обычный 2 2 2 2 4 6" xfId="831"/>
    <cellStyle name="Обычный 2 2 2 2 5" xfId="135"/>
    <cellStyle name="Обычный 2 2 2 2 5 2" xfId="322"/>
    <cellStyle name="Обычный 2 2 2 2 5 2 2" xfId="695"/>
    <cellStyle name="Обычный 2 2 2 2 5 2 2 2" xfId="2602"/>
    <cellStyle name="Обычный 2 2 2 2 5 2 2 3" xfId="1616"/>
    <cellStyle name="Обычный 2 2 2 2 5 2 3" xfId="1924"/>
    <cellStyle name="Обычный 2 2 2 2 5 2 4" xfId="930"/>
    <cellStyle name="Обычный 2 2 2 2 5 3" xfId="509"/>
    <cellStyle name="Обычный 2 2 2 2 5 3 2" xfId="2420"/>
    <cellStyle name="Обычный 2 2 2 2 5 3 3" xfId="1434"/>
    <cellStyle name="Обычный 2 2 2 2 5 4" xfId="1831"/>
    <cellStyle name="Обычный 2 2 2 2 5 5" xfId="837"/>
    <cellStyle name="Обычный 2 2 2 2 6" xfId="229"/>
    <cellStyle name="Обычный 2 2 2 2 6 2" xfId="602"/>
    <cellStyle name="Обычный 2 2 2 2 6 2 2" xfId="1930"/>
    <cellStyle name="Обычный 2 2 2 2 6 2 3" xfId="936"/>
    <cellStyle name="Обычный 2 2 2 2 6 3" xfId="1837"/>
    <cellStyle name="Обычный 2 2 2 2 6 4" xfId="843"/>
    <cellStyle name="Обычный 2 2 2 2 7" xfId="416"/>
    <cellStyle name="Обычный 2 2 2 2 7 2" xfId="942"/>
    <cellStyle name="Обычный 2 2 2 2 7 2 2" xfId="1936"/>
    <cellStyle name="Обычный 2 2 2 2 7 3" xfId="1843"/>
    <cellStyle name="Обычный 2 2 2 2 7 4" xfId="849"/>
    <cellStyle name="Обычный 2 2 2 2 8" xfId="855"/>
    <cellStyle name="Обычный 2 2 2 2 8 2" xfId="948"/>
    <cellStyle name="Обычный 2 2 2 2 8 2 2" xfId="1942"/>
    <cellStyle name="Обычный 2 2 2 2 8 3" xfId="1849"/>
    <cellStyle name="Обычный 2 2 2 2 9" xfId="861"/>
    <cellStyle name="Обычный 2 2 2 2 9 2" xfId="954"/>
    <cellStyle name="Обычный 2 2 2 2 9 2 2" xfId="1948"/>
    <cellStyle name="Обычный 2 2 2 2 9 3" xfId="1855"/>
    <cellStyle name="Обычный 2 2 2 3" xfId="26"/>
    <cellStyle name="Обычный 2 2 2 3 2" xfId="61"/>
    <cellStyle name="Обычный 2 2 2 3 2 2" xfId="106"/>
    <cellStyle name="Обычный 2 2 2 3 2 2 2" xfId="200"/>
    <cellStyle name="Обычный 2 2 2 3 2 2 2 2" xfId="387"/>
    <cellStyle name="Обычный 2 2 2 3 2 2 2 2 2" xfId="760"/>
    <cellStyle name="Обычный 2 2 2 3 2 2 2 2 2 2" xfId="2667"/>
    <cellStyle name="Обычный 2 2 2 3 2 2 2 2 2 3" xfId="1681"/>
    <cellStyle name="Обычный 2 2 2 3 2 2 2 2 3" xfId="2303"/>
    <cellStyle name="Обычный 2 2 2 3 2 2 2 2 4" xfId="1317"/>
    <cellStyle name="Обычный 2 2 2 3 2 2 2 3" xfId="574"/>
    <cellStyle name="Обычный 2 2 2 3 2 2 2 3 2" xfId="2485"/>
    <cellStyle name="Обычный 2 2 2 3 2 2 2 3 3" xfId="1499"/>
    <cellStyle name="Обычный 2 2 2 3 2 2 2 4" xfId="2126"/>
    <cellStyle name="Обычный 2 2 2 3 2 2 2 5" xfId="1140"/>
    <cellStyle name="Обычный 2 2 2 3 2 2 3" xfId="294"/>
    <cellStyle name="Обычный 2 2 2 3 2 2 3 2" xfId="667"/>
    <cellStyle name="Обычный 2 2 2 3 2 2 3 2 2" xfId="2574"/>
    <cellStyle name="Обычный 2 2 2 3 2 2 3 2 3" xfId="1588"/>
    <cellStyle name="Обычный 2 2 2 3 2 2 3 3" xfId="2214"/>
    <cellStyle name="Обычный 2 2 2 3 2 2 3 4" xfId="1228"/>
    <cellStyle name="Обычный 2 2 2 3 2 2 4" xfId="481"/>
    <cellStyle name="Обычный 2 2 2 3 2 2 4 2" xfId="2392"/>
    <cellStyle name="Обычный 2 2 2 3 2 2 4 3" xfId="1406"/>
    <cellStyle name="Обычный 2 2 2 3 2 2 5" xfId="2044"/>
    <cellStyle name="Обычный 2 2 2 3 2 2 6" xfId="1058"/>
    <cellStyle name="Обычный 2 2 2 3 2 3" xfId="158"/>
    <cellStyle name="Обычный 2 2 2 3 2 3 2" xfId="345"/>
    <cellStyle name="Обычный 2 2 2 3 2 3 2 2" xfId="718"/>
    <cellStyle name="Обычный 2 2 2 3 2 3 2 2 2" xfId="2625"/>
    <cellStyle name="Обычный 2 2 2 3 2 3 2 2 3" xfId="1639"/>
    <cellStyle name="Обычный 2 2 2 3 2 3 2 3" xfId="2262"/>
    <cellStyle name="Обычный 2 2 2 3 2 3 2 4" xfId="1276"/>
    <cellStyle name="Обычный 2 2 2 3 2 3 3" xfId="532"/>
    <cellStyle name="Обычный 2 2 2 3 2 3 3 2" xfId="2443"/>
    <cellStyle name="Обычный 2 2 2 3 2 3 3 3" xfId="1457"/>
    <cellStyle name="Обычный 2 2 2 3 2 3 4" xfId="2088"/>
    <cellStyle name="Обычный 2 2 2 3 2 3 5" xfId="1102"/>
    <cellStyle name="Обычный 2 2 2 3 2 4" xfId="252"/>
    <cellStyle name="Обычный 2 2 2 3 2 4 2" xfId="625"/>
    <cellStyle name="Обычный 2 2 2 3 2 4 2 2" xfId="2533"/>
    <cellStyle name="Обычный 2 2 2 3 2 4 2 3" xfId="1547"/>
    <cellStyle name="Обычный 2 2 2 3 2 4 3" xfId="2173"/>
    <cellStyle name="Обычный 2 2 2 3 2 4 4" xfId="1187"/>
    <cellStyle name="Обычный 2 2 2 3 2 5" xfId="439"/>
    <cellStyle name="Обычный 2 2 2 3 2 5 2" xfId="2351"/>
    <cellStyle name="Обычный 2 2 2 3 2 5 3" xfId="1365"/>
    <cellStyle name="Обычный 2 2 2 3 2 6" xfId="1976"/>
    <cellStyle name="Обычный 2 2 2 3 2 7" xfId="982"/>
    <cellStyle name="Обычный 2 2 2 3 3" xfId="86"/>
    <cellStyle name="Обычный 2 2 2 3 3 2" xfId="180"/>
    <cellStyle name="Обычный 2 2 2 3 3 2 2" xfId="367"/>
    <cellStyle name="Обычный 2 2 2 3 3 2 2 2" xfId="740"/>
    <cellStyle name="Обычный 2 2 2 3 3 2 2 2 2" xfId="2647"/>
    <cellStyle name="Обычный 2 2 2 3 3 2 2 2 3" xfId="1661"/>
    <cellStyle name="Обычный 2 2 2 3 3 2 2 3" xfId="2283"/>
    <cellStyle name="Обычный 2 2 2 3 3 2 2 4" xfId="1297"/>
    <cellStyle name="Обычный 2 2 2 3 3 2 3" xfId="554"/>
    <cellStyle name="Обычный 2 2 2 3 3 2 3 2" xfId="2465"/>
    <cellStyle name="Обычный 2 2 2 3 3 2 3 3" xfId="1479"/>
    <cellStyle name="Обычный 2 2 2 3 3 2 4" xfId="2107"/>
    <cellStyle name="Обычный 2 2 2 3 3 2 5" xfId="1121"/>
    <cellStyle name="Обычный 2 2 2 3 3 3" xfId="274"/>
    <cellStyle name="Обычный 2 2 2 3 3 3 2" xfId="647"/>
    <cellStyle name="Обычный 2 2 2 3 3 3 2 2" xfId="2554"/>
    <cellStyle name="Обычный 2 2 2 3 3 3 2 3" xfId="1568"/>
    <cellStyle name="Обычный 2 2 2 3 3 3 3" xfId="2194"/>
    <cellStyle name="Обычный 2 2 2 3 3 3 4" xfId="1208"/>
    <cellStyle name="Обычный 2 2 2 3 3 4" xfId="461"/>
    <cellStyle name="Обычный 2 2 2 3 3 4 2" xfId="2372"/>
    <cellStyle name="Обычный 2 2 2 3 3 4 3" xfId="1386"/>
    <cellStyle name="Обычный 2 2 2 3 3 5" xfId="2028"/>
    <cellStyle name="Обычный 2 2 2 3 3 6" xfId="1042"/>
    <cellStyle name="Обычный 2 2 2 3 4" xfId="137"/>
    <cellStyle name="Обычный 2 2 2 3 4 2" xfId="324"/>
    <cellStyle name="Обычный 2 2 2 3 4 2 2" xfId="697"/>
    <cellStyle name="Обычный 2 2 2 3 4 2 2 2" xfId="2604"/>
    <cellStyle name="Обычный 2 2 2 3 4 2 2 3" xfId="1618"/>
    <cellStyle name="Обычный 2 2 2 3 4 2 3" xfId="2242"/>
    <cellStyle name="Обычный 2 2 2 3 4 2 4" xfId="1256"/>
    <cellStyle name="Обычный 2 2 2 3 4 3" xfId="511"/>
    <cellStyle name="Обычный 2 2 2 3 4 3 2" xfId="2422"/>
    <cellStyle name="Обычный 2 2 2 3 4 3 3" xfId="1436"/>
    <cellStyle name="Обычный 2 2 2 3 4 4" xfId="2068"/>
    <cellStyle name="Обычный 2 2 2 3 4 5" xfId="1082"/>
    <cellStyle name="Обычный 2 2 2 3 5" xfId="231"/>
    <cellStyle name="Обычный 2 2 2 3 5 2" xfId="604"/>
    <cellStyle name="Обычный 2 2 2 3 5 2 2" xfId="2513"/>
    <cellStyle name="Обычный 2 2 2 3 5 2 3" xfId="1527"/>
    <cellStyle name="Обычный 2 2 2 3 5 3" xfId="2153"/>
    <cellStyle name="Обычный 2 2 2 3 5 4" xfId="1167"/>
    <cellStyle name="Обычный 2 2 2 3 6" xfId="418"/>
    <cellStyle name="Обычный 2 2 2 3 6 2" xfId="2331"/>
    <cellStyle name="Обычный 2 2 2 3 6 3" xfId="1345"/>
    <cellStyle name="Обычный 2 2 2 3 7" xfId="1777"/>
    <cellStyle name="Обычный 2 2 2 3 7 2" xfId="2709"/>
    <cellStyle name="Обычный 2 2 2 3 8" xfId="1883"/>
    <cellStyle name="Обычный 2 2 2 3 9" xfId="889"/>
    <cellStyle name="Обычный 2 2 2 4" xfId="58"/>
    <cellStyle name="Обычный 2 2 2 4 2" xfId="103"/>
    <cellStyle name="Обычный 2 2 2 4 2 2" xfId="197"/>
    <cellStyle name="Обычный 2 2 2 4 2 2 2" xfId="384"/>
    <cellStyle name="Обычный 2 2 2 4 2 2 2 2" xfId="757"/>
    <cellStyle name="Обычный 2 2 2 4 2 2 2 2 2" xfId="2664"/>
    <cellStyle name="Обычный 2 2 2 4 2 2 2 2 3" xfId="1678"/>
    <cellStyle name="Обычный 2 2 2 4 2 2 2 3" xfId="2300"/>
    <cellStyle name="Обычный 2 2 2 4 2 2 2 4" xfId="1314"/>
    <cellStyle name="Обычный 2 2 2 4 2 2 3" xfId="571"/>
    <cellStyle name="Обычный 2 2 2 4 2 2 3 2" xfId="2482"/>
    <cellStyle name="Обычный 2 2 2 4 2 2 3 3" xfId="1496"/>
    <cellStyle name="Обычный 2 2 2 4 2 2 4" xfId="2123"/>
    <cellStyle name="Обычный 2 2 2 4 2 2 5" xfId="1137"/>
    <cellStyle name="Обычный 2 2 2 4 2 3" xfId="291"/>
    <cellStyle name="Обычный 2 2 2 4 2 3 2" xfId="664"/>
    <cellStyle name="Обычный 2 2 2 4 2 3 2 2" xfId="2571"/>
    <cellStyle name="Обычный 2 2 2 4 2 3 2 3" xfId="1585"/>
    <cellStyle name="Обычный 2 2 2 4 2 3 3" xfId="2211"/>
    <cellStyle name="Обычный 2 2 2 4 2 3 4" xfId="1225"/>
    <cellStyle name="Обычный 2 2 2 4 2 4" xfId="478"/>
    <cellStyle name="Обычный 2 2 2 4 2 4 2" xfId="2389"/>
    <cellStyle name="Обычный 2 2 2 4 2 4 3" xfId="1403"/>
    <cellStyle name="Обычный 2 2 2 4 2 5" xfId="2043"/>
    <cellStyle name="Обычный 2 2 2 4 2 6" xfId="1057"/>
    <cellStyle name="Обычный 2 2 2 4 3" xfId="155"/>
    <cellStyle name="Обычный 2 2 2 4 3 2" xfId="342"/>
    <cellStyle name="Обычный 2 2 2 4 3 2 2" xfId="715"/>
    <cellStyle name="Обычный 2 2 2 4 3 2 2 2" xfId="2622"/>
    <cellStyle name="Обычный 2 2 2 4 3 2 2 3" xfId="1636"/>
    <cellStyle name="Обычный 2 2 2 4 3 2 3" xfId="2259"/>
    <cellStyle name="Обычный 2 2 2 4 3 2 4" xfId="1273"/>
    <cellStyle name="Обычный 2 2 2 4 3 3" xfId="529"/>
    <cellStyle name="Обычный 2 2 2 4 3 3 2" xfId="2440"/>
    <cellStyle name="Обычный 2 2 2 4 3 3 3" xfId="1454"/>
    <cellStyle name="Обычный 2 2 2 4 3 4" xfId="2085"/>
    <cellStyle name="Обычный 2 2 2 4 3 5" xfId="1099"/>
    <cellStyle name="Обычный 2 2 2 4 4" xfId="249"/>
    <cellStyle name="Обычный 2 2 2 4 4 2" xfId="622"/>
    <cellStyle name="Обычный 2 2 2 4 4 2 2" xfId="2530"/>
    <cellStyle name="Обычный 2 2 2 4 4 2 3" xfId="1544"/>
    <cellStyle name="Обычный 2 2 2 4 4 3" xfId="2170"/>
    <cellStyle name="Обычный 2 2 2 4 4 4" xfId="1184"/>
    <cellStyle name="Обычный 2 2 2 4 5" xfId="436"/>
    <cellStyle name="Обычный 2 2 2 4 5 2" xfId="2348"/>
    <cellStyle name="Обычный 2 2 2 4 5 3" xfId="1362"/>
    <cellStyle name="Обычный 2 2 2 4 6" xfId="1793"/>
    <cellStyle name="Обычный 2 2 2 4 7" xfId="1911"/>
    <cellStyle name="Обычный 2 2 2 4 8" xfId="917"/>
    <cellStyle name="Обычный 2 2 2 5" xfId="74"/>
    <cellStyle name="Обычный 2 2 2 5 2" xfId="170"/>
    <cellStyle name="Обычный 2 2 2 5 2 2" xfId="357"/>
    <cellStyle name="Обычный 2 2 2 5 2 2 2" xfId="730"/>
    <cellStyle name="Обычный 2 2 2 5 2 2 2 2" xfId="2637"/>
    <cellStyle name="Обычный 2 2 2 5 2 2 2 3" xfId="1651"/>
    <cellStyle name="Обычный 2 2 2 5 2 2 3" xfId="2274"/>
    <cellStyle name="Обычный 2 2 2 5 2 2 4" xfId="1288"/>
    <cellStyle name="Обычный 2 2 2 5 2 3" xfId="544"/>
    <cellStyle name="Обычный 2 2 2 5 2 3 2" xfId="2455"/>
    <cellStyle name="Обычный 2 2 2 5 2 3 3" xfId="1469"/>
    <cellStyle name="Обычный 2 2 2 5 2 4" xfId="2100"/>
    <cellStyle name="Обычный 2 2 2 5 2 5" xfId="1114"/>
    <cellStyle name="Обычный 2 2 2 5 3" xfId="264"/>
    <cellStyle name="Обычный 2 2 2 5 3 2" xfId="637"/>
    <cellStyle name="Обычный 2 2 2 5 3 2 2" xfId="2545"/>
    <cellStyle name="Обычный 2 2 2 5 3 2 3" xfId="1559"/>
    <cellStyle name="Обычный 2 2 2 5 3 3" xfId="2185"/>
    <cellStyle name="Обычный 2 2 2 5 3 4" xfId="1199"/>
    <cellStyle name="Обычный 2 2 2 5 4" xfId="451"/>
    <cellStyle name="Обычный 2 2 2 5 4 2" xfId="2363"/>
    <cellStyle name="Обычный 2 2 2 5 4 3" xfId="1377"/>
    <cellStyle name="Обычный 2 2 2 5 5" xfId="2021"/>
    <cellStyle name="Обычный 2 2 2 5 6" xfId="1034"/>
    <cellStyle name="Обычный 2 2 2 6" xfId="134"/>
    <cellStyle name="Обычный 2 2 2 6 2" xfId="321"/>
    <cellStyle name="Обычный 2 2 2 6 2 2" xfId="694"/>
    <cellStyle name="Обычный 2 2 2 6 2 2 2" xfId="2601"/>
    <cellStyle name="Обычный 2 2 2 6 2 2 3" xfId="1615"/>
    <cellStyle name="Обычный 2 2 2 6 2 3" xfId="2241"/>
    <cellStyle name="Обычный 2 2 2 6 2 4" xfId="1255"/>
    <cellStyle name="Обычный 2 2 2 6 3" xfId="508"/>
    <cellStyle name="Обычный 2 2 2 6 3 2" xfId="2419"/>
    <cellStyle name="Обычный 2 2 2 6 3 3" xfId="1433"/>
    <cellStyle name="Обычный 2 2 2 6 4" xfId="2067"/>
    <cellStyle name="Обычный 2 2 2 6 5" xfId="1081"/>
    <cellStyle name="Обычный 2 2 2 7" xfId="228"/>
    <cellStyle name="Обычный 2 2 2 7 2" xfId="601"/>
    <cellStyle name="Обычный 2 2 2 7 2 2" xfId="2512"/>
    <cellStyle name="Обычный 2 2 2 7 2 3" xfId="1526"/>
    <cellStyle name="Обычный 2 2 2 7 3" xfId="2152"/>
    <cellStyle name="Обычный 2 2 2 7 4" xfId="1166"/>
    <cellStyle name="Обычный 2 2 2 8" xfId="415"/>
    <cellStyle name="Обычный 2 2 2 8 2" xfId="2330"/>
    <cellStyle name="Обычный 2 2 2 8 3" xfId="1344"/>
    <cellStyle name="Обычный 2 2 2 9" xfId="1708"/>
    <cellStyle name="Обычный 2 2 2 9 2" xfId="2692"/>
    <cellStyle name="Обычный 2 2 20" xfId="1808"/>
    <cellStyle name="Обычный 2 2 21" xfId="814"/>
    <cellStyle name="Обычный 2 2 22" xfId="2720"/>
    <cellStyle name="Обычный 2 2 23" xfId="2764"/>
    <cellStyle name="Обычный 2 2 24" xfId="2786"/>
    <cellStyle name="Обычный 2 2 25" xfId="788"/>
    <cellStyle name="Обычный 2 2 3" xfId="118"/>
    <cellStyle name="Обычный 2 2 3 10" xfId="830"/>
    <cellStyle name="Обычный 2 2 3 2" xfId="212"/>
    <cellStyle name="Обычный 2 2 3 2 2" xfId="399"/>
    <cellStyle name="Обычный 2 2 3 2 2 2" xfId="772"/>
    <cellStyle name="Обычный 2 2 3 2 2 2 2" xfId="2679"/>
    <cellStyle name="Обычный 2 2 3 2 2 2 3" xfId="1693"/>
    <cellStyle name="Обычный 2 2 3 2 2 3" xfId="2315"/>
    <cellStyle name="Обычный 2 2 3 2 2 4" xfId="1329"/>
    <cellStyle name="Обычный 2 2 3 2 3" xfId="586"/>
    <cellStyle name="Обычный 2 2 3 2 3 2" xfId="2497"/>
    <cellStyle name="Обычный 2 2 3 2 3 3" xfId="1511"/>
    <cellStyle name="Обычный 2 2 3 2 4" xfId="1709"/>
    <cellStyle name="Обычный 2 2 3 2 4 2" xfId="2693"/>
    <cellStyle name="Обычный 2 2 3 2 5" xfId="1916"/>
    <cellStyle name="Обычный 2 2 3 2 6" xfId="2755"/>
    <cellStyle name="Обычный 2 2 3 2 7" xfId="2779"/>
    <cellStyle name="Обычный 2 2 3 2 8" xfId="2801"/>
    <cellStyle name="Обычный 2 2 3 2 9" xfId="922"/>
    <cellStyle name="Обычный 2 2 3 3" xfId="306"/>
    <cellStyle name="Обычный 2 2 3 3 2" xfId="679"/>
    <cellStyle name="Обычный 2 2 3 3 2 2" xfId="2586"/>
    <cellStyle name="Обычный 2 2 3 3 2 3" xfId="1600"/>
    <cellStyle name="Обычный 2 2 3 3 3" xfId="2226"/>
    <cellStyle name="Обычный 2 2 3 3 4" xfId="1240"/>
    <cellStyle name="Обычный 2 2 3 4" xfId="493"/>
    <cellStyle name="Обычный 2 2 3 4 2" xfId="2404"/>
    <cellStyle name="Обычный 2 2 3 4 3" xfId="1418"/>
    <cellStyle name="Обычный 2 2 3 5" xfId="1706"/>
    <cellStyle name="Обычный 2 2 3 5 2" xfId="2691"/>
    <cellStyle name="Обычный 2 2 3 6" xfId="1824"/>
    <cellStyle name="Обычный 2 2 3 7" xfId="2722"/>
    <cellStyle name="Обычный 2 2 3 8" xfId="2765"/>
    <cellStyle name="Обычный 2 2 3 9" xfId="2787"/>
    <cellStyle name="Обычный 2 2 4" xfId="836"/>
    <cellStyle name="Обычный 2 2 4 2" xfId="929"/>
    <cellStyle name="Обычный 2 2 4 2 2" xfId="1923"/>
    <cellStyle name="Обычный 2 2 4 2 3" xfId="2758"/>
    <cellStyle name="Обычный 2 2 4 2 4" xfId="2781"/>
    <cellStyle name="Обычный 2 2 4 2 5" xfId="2803"/>
    <cellStyle name="Обычный 2 2 4 3" xfId="1830"/>
    <cellStyle name="Обычный 2 2 4 4" xfId="2753"/>
    <cellStyle name="Обычный 2 2 4 5" xfId="2777"/>
    <cellStyle name="Обычный 2 2 4 6" xfId="2799"/>
    <cellStyle name="Обычный 2 2 5" xfId="842"/>
    <cellStyle name="Обычный 2 2 5 2" xfId="935"/>
    <cellStyle name="Обычный 2 2 5 2 2" xfId="1929"/>
    <cellStyle name="Обычный 2 2 5 3" xfId="1717"/>
    <cellStyle name="Обычный 2 2 5 4" xfId="1836"/>
    <cellStyle name="Обычный 2 2 5 5" xfId="2754"/>
    <cellStyle name="Обычный 2 2 5 6" xfId="2778"/>
    <cellStyle name="Обычный 2 2 5 7" xfId="2800"/>
    <cellStyle name="Обычный 2 2 6" xfId="848"/>
    <cellStyle name="Обычный 2 2 6 2" xfId="941"/>
    <cellStyle name="Обычный 2 2 6 2 2" xfId="1935"/>
    <cellStyle name="Обычный 2 2 6 3" xfId="1842"/>
    <cellStyle name="Обычный 2 2 7" xfId="854"/>
    <cellStyle name="Обычный 2 2 7 2" xfId="947"/>
    <cellStyle name="Обычный 2 2 7 2 2" xfId="1941"/>
    <cellStyle name="Обычный 2 2 7 3" xfId="1792"/>
    <cellStyle name="Обычный 2 2 7 4" xfId="1848"/>
    <cellStyle name="Обычный 2 2 8" xfId="860"/>
    <cellStyle name="Обычный 2 2 8 2" xfId="953"/>
    <cellStyle name="Обычный 2 2 8 2 2" xfId="1947"/>
    <cellStyle name="Обычный 2 2 8 3" xfId="1854"/>
    <cellStyle name="Обычный 2 2 9" xfId="866"/>
    <cellStyle name="Обычный 2 2 9 2" xfId="959"/>
    <cellStyle name="Обычный 2 2 9 2 2" xfId="1953"/>
    <cellStyle name="Обычный 2 2 9 3" xfId="1860"/>
    <cellStyle name="Обычный 2 2_Справочник Москва 2010" xfId="27"/>
    <cellStyle name="Обычный 2 20" xfId="1005"/>
    <cellStyle name="Обычный 2 21" xfId="811"/>
    <cellStyle name="Обычный 2 22" xfId="1806"/>
    <cellStyle name="Обычный 2 23" xfId="805"/>
    <cellStyle name="Обычный 2 24" xfId="787"/>
    <cellStyle name="Обычный 2 3" xfId="28"/>
    <cellStyle name="Обычный 2 3 10" xfId="2723"/>
    <cellStyle name="Обычный 2 3 11" xfId="791"/>
    <cellStyle name="Обычный 2 3 2" xfId="119"/>
    <cellStyle name="Обычный 2 3 2 2" xfId="120"/>
    <cellStyle name="Обычный 2 3 2 2 2" xfId="214"/>
    <cellStyle name="Обычный 2 3 2 2 2 2" xfId="401"/>
    <cellStyle name="Обычный 2 3 2 2 2 2 2" xfId="774"/>
    <cellStyle name="Обычный 2 3 2 2 2 2 2 2" xfId="2681"/>
    <cellStyle name="Обычный 2 3 2 2 2 2 2 3" xfId="1695"/>
    <cellStyle name="Обычный 2 3 2 2 2 2 3" xfId="2317"/>
    <cellStyle name="Обычный 2 3 2 2 2 2 4" xfId="1331"/>
    <cellStyle name="Обычный 2 3 2 2 2 3" xfId="588"/>
    <cellStyle name="Обычный 2 3 2 2 2 3 2" xfId="2499"/>
    <cellStyle name="Обычный 2 3 2 2 2 3 3" xfId="1513"/>
    <cellStyle name="Обычный 2 3 2 2 2 4" xfId="2139"/>
    <cellStyle name="Обычный 2 3 2 2 2 5" xfId="1153"/>
    <cellStyle name="Обычный 2 3 2 2 3" xfId="308"/>
    <cellStyle name="Обычный 2 3 2 2 3 2" xfId="681"/>
    <cellStyle name="Обычный 2 3 2 2 3 2 2" xfId="2588"/>
    <cellStyle name="Обычный 2 3 2 2 3 2 3" xfId="1602"/>
    <cellStyle name="Обычный 2 3 2 2 3 3" xfId="2228"/>
    <cellStyle name="Обычный 2 3 2 2 3 4" xfId="1242"/>
    <cellStyle name="Обычный 2 3 2 2 4" xfId="495"/>
    <cellStyle name="Обычный 2 3 2 2 4 2" xfId="2406"/>
    <cellStyle name="Обычный 2 3 2 2 4 3" xfId="1420"/>
    <cellStyle name="Обычный 2 3 2 2 5" xfId="1780"/>
    <cellStyle name="Обычный 2 3 2 2 6" xfId="2054"/>
    <cellStyle name="Обычный 2 3 2 2 7" xfId="1068"/>
    <cellStyle name="Обычный 2 3 2 3" xfId="213"/>
    <cellStyle name="Обычный 2 3 2 3 2" xfId="400"/>
    <cellStyle name="Обычный 2 3 2 3 2 2" xfId="773"/>
    <cellStyle name="Обычный 2 3 2 3 2 2 2" xfId="2680"/>
    <cellStyle name="Обычный 2 3 2 3 2 2 3" xfId="1694"/>
    <cellStyle name="Обычный 2 3 2 3 2 3" xfId="2316"/>
    <cellStyle name="Обычный 2 3 2 3 2 4" xfId="1330"/>
    <cellStyle name="Обычный 2 3 2 3 3" xfId="587"/>
    <cellStyle name="Обычный 2 3 2 3 3 2" xfId="2498"/>
    <cellStyle name="Обычный 2 3 2 3 3 3" xfId="1512"/>
    <cellStyle name="Обычный 2 3 2 3 4" xfId="1773"/>
    <cellStyle name="Обычный 2 3 2 3 4 2" xfId="2707"/>
    <cellStyle name="Обычный 2 3 2 3 5" xfId="2138"/>
    <cellStyle name="Обычный 2 3 2 3 6" xfId="1152"/>
    <cellStyle name="Обычный 2 3 2 4" xfId="307"/>
    <cellStyle name="Обычный 2 3 2 4 2" xfId="680"/>
    <cellStyle name="Обычный 2 3 2 4 2 2" xfId="2587"/>
    <cellStyle name="Обычный 2 3 2 4 2 3" xfId="1601"/>
    <cellStyle name="Обычный 2 3 2 4 3" xfId="2227"/>
    <cellStyle name="Обычный 2 3 2 4 4" xfId="1241"/>
    <cellStyle name="Обычный 2 3 2 5" xfId="494"/>
    <cellStyle name="Обычный 2 3 2 5 2" xfId="2405"/>
    <cellStyle name="Обычный 2 3 2 5 3" xfId="1419"/>
    <cellStyle name="Обычный 2 3 2 6" xfId="1718"/>
    <cellStyle name="Обычный 2 3 2 7" xfId="1909"/>
    <cellStyle name="Обычный 2 3 2 8" xfId="915"/>
    <cellStyle name="Обычный 2 3 2 9" xfId="797"/>
    <cellStyle name="Обычный 2 3 3" xfId="121"/>
    <cellStyle name="Обычный 2 3 3 2" xfId="215"/>
    <cellStyle name="Обычный 2 3 3 2 2" xfId="402"/>
    <cellStyle name="Обычный 2 3 3 2 2 2" xfId="775"/>
    <cellStyle name="Обычный 2 3 3 2 2 2 2" xfId="2682"/>
    <cellStyle name="Обычный 2 3 3 2 2 2 3" xfId="1696"/>
    <cellStyle name="Обычный 2 3 3 2 2 3" xfId="2318"/>
    <cellStyle name="Обычный 2 3 3 2 2 4" xfId="1332"/>
    <cellStyle name="Обычный 2 3 3 2 3" xfId="589"/>
    <cellStyle name="Обычный 2 3 3 2 3 2" xfId="2500"/>
    <cellStyle name="Обычный 2 3 3 2 3 3" xfId="1514"/>
    <cellStyle name="Обычный 2 3 3 2 4" xfId="2140"/>
    <cellStyle name="Обычный 2 3 3 2 5" xfId="1154"/>
    <cellStyle name="Обычный 2 3 3 3" xfId="309"/>
    <cellStyle name="Обычный 2 3 3 3 2" xfId="682"/>
    <cellStyle name="Обычный 2 3 3 3 2 2" xfId="2589"/>
    <cellStyle name="Обычный 2 3 3 3 2 3" xfId="1603"/>
    <cellStyle name="Обычный 2 3 3 3 3" xfId="2229"/>
    <cellStyle name="Обычный 2 3 3 3 4" xfId="1243"/>
    <cellStyle name="Обычный 2 3 3 4" xfId="496"/>
    <cellStyle name="Обычный 2 3 3 4 2" xfId="2407"/>
    <cellStyle name="Обычный 2 3 3 4 3" xfId="1421"/>
    <cellStyle name="Обычный 2 3 3 5" xfId="1778"/>
    <cellStyle name="Обычный 2 3 3 6" xfId="2055"/>
    <cellStyle name="Обычный 2 3 3 7" xfId="1069"/>
    <cellStyle name="Обычный 2 3 4" xfId="1770"/>
    <cellStyle name="Обычный 2 3 4 2" xfId="2704"/>
    <cellStyle name="Обычный 2 3 5" xfId="1710"/>
    <cellStyle name="Обычный 2 3 6" xfId="1800"/>
    <cellStyle name="Обычный 2 3 6 2" xfId="2719"/>
    <cellStyle name="Обычный 2 3 7" xfId="1010"/>
    <cellStyle name="Обычный 2 3 8" xfId="1818"/>
    <cellStyle name="Обычный 2 3 9" xfId="824"/>
    <cellStyle name="Обычный 2 4" xfId="29"/>
    <cellStyle name="Обычный 2 4 2" xfId="920"/>
    <cellStyle name="Обычный 2 4 2 2" xfId="1719"/>
    <cellStyle name="Обычный 2 4 2 3" xfId="1914"/>
    <cellStyle name="Обычный 2 4 3" xfId="1711"/>
    <cellStyle name="Обычный 2 4 4" xfId="1011"/>
    <cellStyle name="Обычный 2 4 5" xfId="1822"/>
    <cellStyle name="Обычный 2 4 6" xfId="828"/>
    <cellStyle name="Обычный 2 4 7" xfId="796"/>
    <cellStyle name="Обычный 2 5" xfId="77"/>
    <cellStyle name="Обычный 2 5 2" xfId="927"/>
    <cellStyle name="Обычный 2 5 2 2" xfId="1716"/>
    <cellStyle name="Обычный 2 5 2 3" xfId="1921"/>
    <cellStyle name="Обычный 2 5 3" xfId="1712"/>
    <cellStyle name="Обычный 2 5 3 2" xfId="2694"/>
    <cellStyle name="Обычный 2 5 4" xfId="1036"/>
    <cellStyle name="Обычный 2 5 5" xfId="1828"/>
    <cellStyle name="Обычный 2 5 6" xfId="834"/>
    <cellStyle name="Обычный 2 6" xfId="840"/>
    <cellStyle name="Обычный 2 6 2" xfId="933"/>
    <cellStyle name="Обычный 2 6 2 2" xfId="1927"/>
    <cellStyle name="Обычный 2 6 3" xfId="1723"/>
    <cellStyle name="Обычный 2 6 4" xfId="1834"/>
    <cellStyle name="Обычный 2 7" xfId="846"/>
    <cellStyle name="Обычный 2 7 2" xfId="939"/>
    <cellStyle name="Обычный 2 7 2 2" xfId="1933"/>
    <cellStyle name="Обычный 2 7 3" xfId="1726"/>
    <cellStyle name="Обычный 2 7 4" xfId="1840"/>
    <cellStyle name="Обычный 2 8" xfId="852"/>
    <cellStyle name="Обычный 2 8 2" xfId="945"/>
    <cellStyle name="Обычный 2 8 2 2" xfId="1939"/>
    <cellStyle name="Обычный 2 8 3" xfId="1725"/>
    <cellStyle name="Обычный 2 8 4" xfId="1846"/>
    <cellStyle name="Обычный 2 9" xfId="858"/>
    <cellStyle name="Обычный 2 9 2" xfId="951"/>
    <cellStyle name="Обычный 2 9 2 2" xfId="1945"/>
    <cellStyle name="Обычный 2 9 3" xfId="1724"/>
    <cellStyle name="Обычный 2 9 4" xfId="1852"/>
    <cellStyle name="Обычный 20" xfId="80"/>
    <cellStyle name="Обычный 21" xfId="128"/>
    <cellStyle name="Обычный 22" xfId="127"/>
    <cellStyle name="Обычный 22 2" xfId="315"/>
    <cellStyle name="Обычный 22 2 2" xfId="688"/>
    <cellStyle name="Обычный 22 2 2 2" xfId="2595"/>
    <cellStyle name="Обычный 22 2 2 3" xfId="1609"/>
    <cellStyle name="Обычный 22 2 3" xfId="2235"/>
    <cellStyle name="Обычный 22 2 4" xfId="1249"/>
    <cellStyle name="Обычный 22 3" xfId="502"/>
    <cellStyle name="Обычный 22 3 2" xfId="2413"/>
    <cellStyle name="Обычный 22 3 3" xfId="1427"/>
    <cellStyle name="Обычный 22 4" xfId="2061"/>
    <cellStyle name="Обычный 22 5" xfId="1075"/>
    <cellStyle name="Обычный 23" xfId="222"/>
    <cellStyle name="Обычный 24" xfId="221"/>
    <cellStyle name="Обычный 24 2" xfId="595"/>
    <cellStyle name="Обычный 24 2 2" xfId="2506"/>
    <cellStyle name="Обычный 24 2 3" xfId="1520"/>
    <cellStyle name="Обычный 24 3" xfId="2146"/>
    <cellStyle name="Обычный 24 4" xfId="1160"/>
    <cellStyle name="Обычный 25" xfId="409"/>
    <cellStyle name="Обычный 26" xfId="408"/>
    <cellStyle name="Обычный 26 2" xfId="2324"/>
    <cellStyle name="Обычный 26 3" xfId="1338"/>
    <cellStyle name="Обычный 27" xfId="781"/>
    <cellStyle name="Обычный 27 2" xfId="2688"/>
    <cellStyle name="Обычный 27 3" xfId="1702"/>
    <cellStyle name="Обычный 28" xfId="783"/>
    <cellStyle name="Обычный 28 2" xfId="2690"/>
    <cellStyle name="Обычный 28 3" xfId="1704"/>
    <cellStyle name="Обычный 29" xfId="1796"/>
    <cellStyle name="Обычный 29 2" xfId="1797"/>
    <cellStyle name="Обычный 29 2 2" xfId="2717"/>
    <cellStyle name="Обычный 29 3" xfId="2716"/>
    <cellStyle name="Обычный 3" xfId="30"/>
    <cellStyle name="Обычный 3 10" xfId="31"/>
    <cellStyle name="Обычный 3 11" xfId="232"/>
    <cellStyle name="Обычный 3 11 2" xfId="605"/>
    <cellStyle name="Обычный 3 11 2 2" xfId="2514"/>
    <cellStyle name="Обычный 3 11 2 3" xfId="1528"/>
    <cellStyle name="Обычный 3 11 3" xfId="2154"/>
    <cellStyle name="Обычный 3 11 4" xfId="1168"/>
    <cellStyle name="Обычный 3 12" xfId="419"/>
    <cellStyle name="Обычный 3 12 2" xfId="2332"/>
    <cellStyle name="Обычный 3 12 3" xfId="1346"/>
    <cellStyle name="Обычный 3 13" xfId="1707"/>
    <cellStyle name="Обычный 3 14" xfId="1801"/>
    <cellStyle name="Обычный 3 15" xfId="813"/>
    <cellStyle name="Обычный 3 16" xfId="806"/>
    <cellStyle name="Обычный 3 17" xfId="2747"/>
    <cellStyle name="Обычный 3 18" xfId="2761"/>
    <cellStyle name="Обычный 3 19" xfId="802"/>
    <cellStyle name="Обычный 3 2" xfId="32"/>
    <cellStyle name="Обычный 3 2 10" xfId="2757"/>
    <cellStyle name="Обычный 3 2 11" xfId="1012"/>
    <cellStyle name="Обычный 3 2 2" xfId="3"/>
    <cellStyle name="Обычный 3 2 2 10" xfId="1997"/>
    <cellStyle name="Обычный 3 2 2 11" xfId="1003"/>
    <cellStyle name="Обычный 3 2 2 2" xfId="6"/>
    <cellStyle name="Обычный 3 2 2 2 2" xfId="55"/>
    <cellStyle name="Обычный 3 2 2 2 2 2" xfId="100"/>
    <cellStyle name="Обычный 3 2 2 2 2 2 2" xfId="194"/>
    <cellStyle name="Обычный 3 2 2 2 2 2 2 2" xfId="381"/>
    <cellStyle name="Обычный 3 2 2 2 2 2 2 2 2" xfId="754"/>
    <cellStyle name="Обычный 3 2 2 2 2 2 2 2 2 2" xfId="2661"/>
    <cellStyle name="Обычный 3 2 2 2 2 2 2 2 2 3" xfId="1675"/>
    <cellStyle name="Обычный 3 2 2 2 2 2 2 2 3" xfId="2297"/>
    <cellStyle name="Обычный 3 2 2 2 2 2 2 2 4" xfId="1311"/>
    <cellStyle name="Обычный 3 2 2 2 2 2 2 3" xfId="568"/>
    <cellStyle name="Обычный 3 2 2 2 2 2 2 3 2" xfId="2479"/>
    <cellStyle name="Обычный 3 2 2 2 2 2 2 3 3" xfId="1493"/>
    <cellStyle name="Обычный 3 2 2 2 2 2 2 4" xfId="2120"/>
    <cellStyle name="Обычный 3 2 2 2 2 2 2 5" xfId="1134"/>
    <cellStyle name="Обычный 3 2 2 2 2 2 3" xfId="288"/>
    <cellStyle name="Обычный 3 2 2 2 2 2 3 2" xfId="661"/>
    <cellStyle name="Обычный 3 2 2 2 2 2 3 2 2" xfId="2568"/>
    <cellStyle name="Обычный 3 2 2 2 2 2 3 2 3" xfId="1582"/>
    <cellStyle name="Обычный 3 2 2 2 2 2 3 3" xfId="2208"/>
    <cellStyle name="Обычный 3 2 2 2 2 2 3 4" xfId="1222"/>
    <cellStyle name="Обычный 3 2 2 2 2 2 4" xfId="475"/>
    <cellStyle name="Обычный 3 2 2 2 2 2 4 2" xfId="2386"/>
    <cellStyle name="Обычный 3 2 2 2 2 2 4 3" xfId="1400"/>
    <cellStyle name="Обычный 3 2 2 2 2 2 5" xfId="2040"/>
    <cellStyle name="Обычный 3 2 2 2 2 2 6" xfId="1054"/>
    <cellStyle name="Обычный 3 2 2 2 2 3" xfId="152"/>
    <cellStyle name="Обычный 3 2 2 2 2 3 2" xfId="339"/>
    <cellStyle name="Обычный 3 2 2 2 2 3 2 2" xfId="712"/>
    <cellStyle name="Обычный 3 2 2 2 2 3 2 2 2" xfId="2619"/>
    <cellStyle name="Обычный 3 2 2 2 2 3 2 2 3" xfId="1633"/>
    <cellStyle name="Обычный 3 2 2 2 2 3 2 3" xfId="2256"/>
    <cellStyle name="Обычный 3 2 2 2 2 3 2 4" xfId="1270"/>
    <cellStyle name="Обычный 3 2 2 2 2 3 3" xfId="526"/>
    <cellStyle name="Обычный 3 2 2 2 2 3 3 2" xfId="2437"/>
    <cellStyle name="Обычный 3 2 2 2 2 3 3 3" xfId="1451"/>
    <cellStyle name="Обычный 3 2 2 2 2 3 4" xfId="2082"/>
    <cellStyle name="Обычный 3 2 2 2 2 3 5" xfId="1096"/>
    <cellStyle name="Обычный 3 2 2 2 2 4" xfId="246"/>
    <cellStyle name="Обычный 3 2 2 2 2 4 2" xfId="619"/>
    <cellStyle name="Обычный 3 2 2 2 2 4 2 2" xfId="2527"/>
    <cellStyle name="Обычный 3 2 2 2 2 4 2 3" xfId="1541"/>
    <cellStyle name="Обычный 3 2 2 2 2 4 3" xfId="2167"/>
    <cellStyle name="Обычный 3 2 2 2 2 4 4" xfId="1181"/>
    <cellStyle name="Обычный 3 2 2 2 2 5" xfId="433"/>
    <cellStyle name="Обычный 3 2 2 2 2 5 2" xfId="2345"/>
    <cellStyle name="Обычный 3 2 2 2 2 5 3" xfId="1359"/>
    <cellStyle name="Обычный 3 2 2 2 2 6" xfId="2011"/>
    <cellStyle name="Обычный 3 2 2 2 2 7" xfId="1024"/>
    <cellStyle name="Обычный 3 2 2 2 3" xfId="83"/>
    <cellStyle name="Обычный 3 2 2 2 3 2" xfId="177"/>
    <cellStyle name="Обычный 3 2 2 2 3 2 2" xfId="364"/>
    <cellStyle name="Обычный 3 2 2 2 3 2 2 2" xfId="737"/>
    <cellStyle name="Обычный 3 2 2 2 3 2 2 2 2" xfId="2644"/>
    <cellStyle name="Обычный 3 2 2 2 3 2 2 2 3" xfId="1658"/>
    <cellStyle name="Обычный 3 2 2 2 3 2 2 3" xfId="2280"/>
    <cellStyle name="Обычный 3 2 2 2 3 2 2 4" xfId="1294"/>
    <cellStyle name="Обычный 3 2 2 2 3 2 3" xfId="551"/>
    <cellStyle name="Обычный 3 2 2 2 3 2 3 2" xfId="2462"/>
    <cellStyle name="Обычный 3 2 2 2 3 2 3 3" xfId="1476"/>
    <cellStyle name="Обычный 3 2 2 2 3 2 4" xfId="2105"/>
    <cellStyle name="Обычный 3 2 2 2 3 2 5" xfId="1119"/>
    <cellStyle name="Обычный 3 2 2 2 3 3" xfId="271"/>
    <cellStyle name="Обычный 3 2 2 2 3 3 2" xfId="644"/>
    <cellStyle name="Обычный 3 2 2 2 3 3 2 2" xfId="2551"/>
    <cellStyle name="Обычный 3 2 2 2 3 3 2 3" xfId="1565"/>
    <cellStyle name="Обычный 3 2 2 2 3 3 3" xfId="2191"/>
    <cellStyle name="Обычный 3 2 2 2 3 3 4" xfId="1205"/>
    <cellStyle name="Обычный 3 2 2 2 3 4" xfId="458"/>
    <cellStyle name="Обычный 3 2 2 2 3 4 2" xfId="2369"/>
    <cellStyle name="Обычный 3 2 2 2 3 4 3" xfId="1383"/>
    <cellStyle name="Обычный 3 2 2 2 3 5" xfId="2026"/>
    <cellStyle name="Обычный 3 2 2 2 3 6" xfId="1040"/>
    <cellStyle name="Обычный 3 2 2 2 4" xfId="131"/>
    <cellStyle name="Обычный 3 2 2 2 4 2" xfId="318"/>
    <cellStyle name="Обычный 3 2 2 2 4 2 2" xfId="691"/>
    <cellStyle name="Обычный 3 2 2 2 4 2 2 2" xfId="2598"/>
    <cellStyle name="Обычный 3 2 2 2 4 2 2 3" xfId="1612"/>
    <cellStyle name="Обычный 3 2 2 2 4 2 3" xfId="2238"/>
    <cellStyle name="Обычный 3 2 2 2 4 2 4" xfId="1252"/>
    <cellStyle name="Обычный 3 2 2 2 4 3" xfId="505"/>
    <cellStyle name="Обычный 3 2 2 2 4 3 2" xfId="2416"/>
    <cellStyle name="Обычный 3 2 2 2 4 3 3" xfId="1430"/>
    <cellStyle name="Обычный 3 2 2 2 4 4" xfId="2064"/>
    <cellStyle name="Обычный 3 2 2 2 4 5" xfId="1078"/>
    <cellStyle name="Обычный 3 2 2 2 5" xfId="225"/>
    <cellStyle name="Обычный 3 2 2 2 5 2" xfId="598"/>
    <cellStyle name="Обычный 3 2 2 2 5 2 2" xfId="2509"/>
    <cellStyle name="Обычный 3 2 2 2 5 2 3" xfId="1523"/>
    <cellStyle name="Обычный 3 2 2 2 5 3" xfId="2149"/>
    <cellStyle name="Обычный 3 2 2 2 5 4" xfId="1163"/>
    <cellStyle name="Обычный 3 2 2 2 6" xfId="412"/>
    <cellStyle name="Обычный 3 2 2 2 6 2" xfId="2327"/>
    <cellStyle name="Обычный 3 2 2 2 6 3" xfId="1341"/>
    <cellStyle name="Обычный 3 2 2 2 7" xfId="1999"/>
    <cellStyle name="Обычный 3 2 2 2 8" xfId="1006"/>
    <cellStyle name="Обычный 3 2 2 3" xfId="48"/>
    <cellStyle name="Обычный 3 2 2 3 2" xfId="71"/>
    <cellStyle name="Обычный 3 2 2 3 2 2" xfId="116"/>
    <cellStyle name="Обычный 3 2 2 3 2 2 2" xfId="210"/>
    <cellStyle name="Обычный 3 2 2 3 2 2 2 2" xfId="397"/>
    <cellStyle name="Обычный 3 2 2 3 2 2 2 2 2" xfId="770"/>
    <cellStyle name="Обычный 3 2 2 3 2 2 2 2 2 2" xfId="2677"/>
    <cellStyle name="Обычный 3 2 2 3 2 2 2 2 2 3" xfId="1691"/>
    <cellStyle name="Обычный 3 2 2 3 2 2 2 2 3" xfId="2313"/>
    <cellStyle name="Обычный 3 2 2 3 2 2 2 2 4" xfId="1327"/>
    <cellStyle name="Обычный 3 2 2 3 2 2 2 3" xfId="584"/>
    <cellStyle name="Обычный 3 2 2 3 2 2 2 3 2" xfId="2495"/>
    <cellStyle name="Обычный 3 2 2 3 2 2 2 3 3" xfId="1509"/>
    <cellStyle name="Обычный 3 2 2 3 2 2 2 4" xfId="2136"/>
    <cellStyle name="Обычный 3 2 2 3 2 2 2 5" xfId="1150"/>
    <cellStyle name="Обычный 3 2 2 3 2 2 3" xfId="304"/>
    <cellStyle name="Обычный 3 2 2 3 2 2 3 2" xfId="677"/>
    <cellStyle name="Обычный 3 2 2 3 2 2 3 2 2" xfId="2584"/>
    <cellStyle name="Обычный 3 2 2 3 2 2 3 2 3" xfId="1598"/>
    <cellStyle name="Обычный 3 2 2 3 2 2 3 3" xfId="2224"/>
    <cellStyle name="Обычный 3 2 2 3 2 2 3 4" xfId="1238"/>
    <cellStyle name="Обычный 3 2 2 3 2 2 4" xfId="491"/>
    <cellStyle name="Обычный 3 2 2 3 2 2 4 2" xfId="2402"/>
    <cellStyle name="Обычный 3 2 2 3 2 2 4 3" xfId="1416"/>
    <cellStyle name="Обычный 3 2 2 3 2 2 5" xfId="1977"/>
    <cellStyle name="Обычный 3 2 2 3 2 2 6" xfId="983"/>
    <cellStyle name="Обычный 3 2 2 3 2 2 7" xfId="798"/>
    <cellStyle name="Обычный 3 2 2 3 2 3" xfId="168"/>
    <cellStyle name="Обычный 3 2 2 3 2 3 2" xfId="355"/>
    <cellStyle name="Обычный 3 2 2 3 2 3 2 2" xfId="728"/>
    <cellStyle name="Обычный 3 2 2 3 2 3 2 2 2" xfId="2635"/>
    <cellStyle name="Обычный 3 2 2 3 2 3 2 2 3" xfId="1649"/>
    <cellStyle name="Обычный 3 2 2 3 2 3 2 3" xfId="2272"/>
    <cellStyle name="Обычный 3 2 2 3 2 3 2 4" xfId="1286"/>
    <cellStyle name="Обычный 3 2 2 3 2 3 3" xfId="542"/>
    <cellStyle name="Обычный 3 2 2 3 2 3 3 2" xfId="2453"/>
    <cellStyle name="Обычный 3 2 2 3 2 3 3 3" xfId="1467"/>
    <cellStyle name="Обычный 3 2 2 3 2 3 4" xfId="2098"/>
    <cellStyle name="Обычный 3 2 2 3 2 3 5" xfId="1112"/>
    <cellStyle name="Обычный 3 2 2 3 2 4" xfId="262"/>
    <cellStyle name="Обычный 3 2 2 3 2 4 2" xfId="635"/>
    <cellStyle name="Обычный 3 2 2 3 2 4 2 2" xfId="2543"/>
    <cellStyle name="Обычный 3 2 2 3 2 4 2 3" xfId="1557"/>
    <cellStyle name="Обычный 3 2 2 3 2 4 3" xfId="2183"/>
    <cellStyle name="Обычный 3 2 2 3 2 4 4" xfId="1197"/>
    <cellStyle name="Обычный 3 2 2 3 2 5" xfId="449"/>
    <cellStyle name="Обычный 3 2 2 3 2 5 2" xfId="2361"/>
    <cellStyle name="Обычный 3 2 2 3 2 5 3" xfId="1375"/>
    <cellStyle name="Обычный 3 2 2 3 2 6" xfId="1884"/>
    <cellStyle name="Обычный 3 2 2 3 2 7" xfId="890"/>
    <cellStyle name="Обычный 3 2 2 3 2 8" xfId="793"/>
    <cellStyle name="Обычный 3 2 2 3 3" xfId="96"/>
    <cellStyle name="Обычный 3 2 2 3 3 2" xfId="190"/>
    <cellStyle name="Обычный 3 2 2 3 3 2 2" xfId="377"/>
    <cellStyle name="Обычный 3 2 2 3 3 2 2 2" xfId="750"/>
    <cellStyle name="Обычный 3 2 2 3 3 2 2 2 2" xfId="2657"/>
    <cellStyle name="Обычный 3 2 2 3 3 2 2 2 3" xfId="1671"/>
    <cellStyle name="Обычный 3 2 2 3 3 2 2 3" xfId="2293"/>
    <cellStyle name="Обычный 3 2 2 3 3 2 2 4" xfId="1307"/>
    <cellStyle name="Обычный 3 2 2 3 3 2 3" xfId="564"/>
    <cellStyle name="Обычный 3 2 2 3 3 2 3 2" xfId="2475"/>
    <cellStyle name="Обычный 3 2 2 3 3 2 3 3" xfId="1489"/>
    <cellStyle name="Обычный 3 2 2 3 3 2 4" xfId="2116"/>
    <cellStyle name="Обычный 3 2 2 3 3 2 5" xfId="1130"/>
    <cellStyle name="Обычный 3 2 2 3 3 3" xfId="284"/>
    <cellStyle name="Обычный 3 2 2 3 3 3 2" xfId="657"/>
    <cellStyle name="Обычный 3 2 2 3 3 3 2 2" xfId="2564"/>
    <cellStyle name="Обычный 3 2 2 3 3 3 2 3" xfId="1578"/>
    <cellStyle name="Обычный 3 2 2 3 3 3 3" xfId="2204"/>
    <cellStyle name="Обычный 3 2 2 3 3 3 4" xfId="1218"/>
    <cellStyle name="Обычный 3 2 2 3 3 4" xfId="471"/>
    <cellStyle name="Обычный 3 2 2 3 3 4 2" xfId="2382"/>
    <cellStyle name="Обычный 3 2 2 3 3 4 3" xfId="1396"/>
    <cellStyle name="Обычный 3 2 2 3 3 5" xfId="1920"/>
    <cellStyle name="Обычный 3 2 2 3 3 6" xfId="926"/>
    <cellStyle name="Обычный 3 2 2 3 4" xfId="147"/>
    <cellStyle name="Обычный 3 2 2 3 4 2" xfId="334"/>
    <cellStyle name="Обычный 3 2 2 3 4 2 2" xfId="707"/>
    <cellStyle name="Обычный 3 2 2 3 4 2 2 2" xfId="2614"/>
    <cellStyle name="Обычный 3 2 2 3 4 2 2 3" xfId="1628"/>
    <cellStyle name="Обычный 3 2 2 3 4 2 3" xfId="2251"/>
    <cellStyle name="Обычный 3 2 2 3 4 2 4" xfId="1265"/>
    <cellStyle name="Обычный 3 2 2 3 4 3" xfId="521"/>
    <cellStyle name="Обычный 3 2 2 3 4 3 2" xfId="2432"/>
    <cellStyle name="Обычный 3 2 2 3 4 3 3" xfId="1446"/>
    <cellStyle name="Обычный 3 2 2 3 4 4" xfId="2077"/>
    <cellStyle name="Обычный 3 2 2 3 4 5" xfId="1091"/>
    <cellStyle name="Обычный 3 2 2 3 5" xfId="241"/>
    <cellStyle name="Обычный 3 2 2 3 5 2" xfId="614"/>
    <cellStyle name="Обычный 3 2 2 3 5 2 2" xfId="2522"/>
    <cellStyle name="Обычный 3 2 2 3 5 2 3" xfId="1536"/>
    <cellStyle name="Обычный 3 2 2 3 5 3" xfId="2162"/>
    <cellStyle name="Обычный 3 2 2 3 5 4" xfId="1176"/>
    <cellStyle name="Обычный 3 2 2 3 6" xfId="428"/>
    <cellStyle name="Обычный 3 2 2 3 6 2" xfId="2340"/>
    <cellStyle name="Обычный 3 2 2 3 6 3" xfId="1354"/>
    <cellStyle name="Обычный 3 2 2 3 7" xfId="1804"/>
    <cellStyle name="Обычный 3 2 2 3 8" xfId="809"/>
    <cellStyle name="Обычный 3 2 2 3 9" xfId="790"/>
    <cellStyle name="Обычный 3 2 2 4" xfId="53"/>
    <cellStyle name="Обычный 3 2 2 4 2" xfId="98"/>
    <cellStyle name="Обычный 3 2 2 4 2 2" xfId="192"/>
    <cellStyle name="Обычный 3 2 2 4 2 2 2" xfId="379"/>
    <cellStyle name="Обычный 3 2 2 4 2 2 2 2" xfId="752"/>
    <cellStyle name="Обычный 3 2 2 4 2 2 2 2 2" xfId="2659"/>
    <cellStyle name="Обычный 3 2 2 4 2 2 2 2 3" xfId="1673"/>
    <cellStyle name="Обычный 3 2 2 4 2 2 2 3" xfId="2295"/>
    <cellStyle name="Обычный 3 2 2 4 2 2 2 4" xfId="1309"/>
    <cellStyle name="Обычный 3 2 2 4 2 2 3" xfId="566"/>
    <cellStyle name="Обычный 3 2 2 4 2 2 3 2" xfId="2477"/>
    <cellStyle name="Обычный 3 2 2 4 2 2 3 3" xfId="1491"/>
    <cellStyle name="Обычный 3 2 2 4 2 2 4" xfId="2118"/>
    <cellStyle name="Обычный 3 2 2 4 2 2 5" xfId="1132"/>
    <cellStyle name="Обычный 3 2 2 4 2 3" xfId="286"/>
    <cellStyle name="Обычный 3 2 2 4 2 3 2" xfId="659"/>
    <cellStyle name="Обычный 3 2 2 4 2 3 2 2" xfId="2566"/>
    <cellStyle name="Обычный 3 2 2 4 2 3 2 3" xfId="1580"/>
    <cellStyle name="Обычный 3 2 2 4 2 3 3" xfId="2206"/>
    <cellStyle name="Обычный 3 2 2 4 2 3 4" xfId="1220"/>
    <cellStyle name="Обычный 3 2 2 4 2 4" xfId="473"/>
    <cellStyle name="Обычный 3 2 2 4 2 4 2" xfId="2384"/>
    <cellStyle name="Обычный 3 2 2 4 2 4 3" xfId="1398"/>
    <cellStyle name="Обычный 3 2 2 4 2 5" xfId="2038"/>
    <cellStyle name="Обычный 3 2 2 4 2 6" xfId="1052"/>
    <cellStyle name="Обычный 3 2 2 4 3" xfId="150"/>
    <cellStyle name="Обычный 3 2 2 4 3 2" xfId="337"/>
    <cellStyle name="Обычный 3 2 2 4 3 2 2" xfId="710"/>
    <cellStyle name="Обычный 3 2 2 4 3 2 2 2" xfId="2617"/>
    <cellStyle name="Обычный 3 2 2 4 3 2 2 3" xfId="1631"/>
    <cellStyle name="Обычный 3 2 2 4 3 2 3" xfId="2254"/>
    <cellStyle name="Обычный 3 2 2 4 3 2 4" xfId="1268"/>
    <cellStyle name="Обычный 3 2 2 4 3 3" xfId="524"/>
    <cellStyle name="Обычный 3 2 2 4 3 3 2" xfId="2435"/>
    <cellStyle name="Обычный 3 2 2 4 3 3 3" xfId="1449"/>
    <cellStyle name="Обычный 3 2 2 4 3 4" xfId="2080"/>
    <cellStyle name="Обычный 3 2 2 4 3 5" xfId="1094"/>
    <cellStyle name="Обычный 3 2 2 4 4" xfId="244"/>
    <cellStyle name="Обычный 3 2 2 4 4 2" xfId="617"/>
    <cellStyle name="Обычный 3 2 2 4 4 2 2" xfId="2525"/>
    <cellStyle name="Обычный 3 2 2 4 4 2 3" xfId="1539"/>
    <cellStyle name="Обычный 3 2 2 4 4 3" xfId="2165"/>
    <cellStyle name="Обычный 3 2 2 4 4 4" xfId="1179"/>
    <cellStyle name="Обычный 3 2 2 4 5" xfId="431"/>
    <cellStyle name="Обычный 3 2 2 4 5 2" xfId="2343"/>
    <cellStyle name="Обычный 3 2 2 4 5 3" xfId="1357"/>
    <cellStyle name="Обычный 3 2 2 4 6" xfId="2009"/>
    <cellStyle name="Обычный 3 2 2 4 7" xfId="1022"/>
    <cellStyle name="Обычный 3 2 2 5" xfId="81"/>
    <cellStyle name="Обычный 3 2 2 5 2" xfId="175"/>
    <cellStyle name="Обычный 3 2 2 5 2 2" xfId="362"/>
    <cellStyle name="Обычный 3 2 2 5 2 2 2" xfId="735"/>
    <cellStyle name="Обычный 3 2 2 5 2 2 2 2" xfId="2642"/>
    <cellStyle name="Обычный 3 2 2 5 2 2 2 3" xfId="1656"/>
    <cellStyle name="Обычный 3 2 2 5 2 2 3" xfId="2278"/>
    <cellStyle name="Обычный 3 2 2 5 2 2 4" xfId="1292"/>
    <cellStyle name="Обычный 3 2 2 5 2 3" xfId="549"/>
    <cellStyle name="Обычный 3 2 2 5 2 3 2" xfId="2460"/>
    <cellStyle name="Обычный 3 2 2 5 2 3 3" xfId="1474"/>
    <cellStyle name="Обычный 3 2 2 5 2 4" xfId="2103"/>
    <cellStyle name="Обычный 3 2 2 5 2 5" xfId="1117"/>
    <cellStyle name="Обычный 3 2 2 5 3" xfId="269"/>
    <cellStyle name="Обычный 3 2 2 5 3 2" xfId="642"/>
    <cellStyle name="Обычный 3 2 2 5 3 2 2" xfId="2549"/>
    <cellStyle name="Обычный 3 2 2 5 3 2 3" xfId="1563"/>
    <cellStyle name="Обычный 3 2 2 5 3 3" xfId="2189"/>
    <cellStyle name="Обычный 3 2 2 5 3 4" xfId="1203"/>
    <cellStyle name="Обычный 3 2 2 5 4" xfId="456"/>
    <cellStyle name="Обычный 3 2 2 5 4 2" xfId="2367"/>
    <cellStyle name="Обычный 3 2 2 5 4 3" xfId="1381"/>
    <cellStyle name="Обычный 3 2 2 5 5" xfId="2024"/>
    <cellStyle name="Обычный 3 2 2 5 6" xfId="1038"/>
    <cellStyle name="Обычный 3 2 2 6" xfId="129"/>
    <cellStyle name="Обычный 3 2 2 6 2" xfId="316"/>
    <cellStyle name="Обычный 3 2 2 6 2 2" xfId="689"/>
    <cellStyle name="Обычный 3 2 2 6 2 2 2" xfId="2596"/>
    <cellStyle name="Обычный 3 2 2 6 2 2 3" xfId="1610"/>
    <cellStyle name="Обычный 3 2 2 6 2 3" xfId="2236"/>
    <cellStyle name="Обычный 3 2 2 6 2 4" xfId="1250"/>
    <cellStyle name="Обычный 3 2 2 6 3" xfId="503"/>
    <cellStyle name="Обычный 3 2 2 6 3 2" xfId="2414"/>
    <cellStyle name="Обычный 3 2 2 6 3 3" xfId="1428"/>
    <cellStyle name="Обычный 3 2 2 6 4" xfId="2062"/>
    <cellStyle name="Обычный 3 2 2 6 5" xfId="1076"/>
    <cellStyle name="Обычный 3 2 2 7" xfId="223"/>
    <cellStyle name="Обычный 3 2 2 7 2" xfId="596"/>
    <cellStyle name="Обычный 3 2 2 7 2 2" xfId="2507"/>
    <cellStyle name="Обычный 3 2 2 7 2 3" xfId="1521"/>
    <cellStyle name="Обычный 3 2 2 7 3" xfId="2147"/>
    <cellStyle name="Обычный 3 2 2 7 4" xfId="1161"/>
    <cellStyle name="Обычный 3 2 2 8" xfId="410"/>
    <cellStyle name="Обычный 3 2 2 8 2" xfId="2325"/>
    <cellStyle name="Обычный 3 2 2 8 3" xfId="1339"/>
    <cellStyle name="Обычный 3 2 2 9" xfId="1771"/>
    <cellStyle name="Обычный 3 2 2 9 2" xfId="2705"/>
    <cellStyle name="Обычный 3 2 3" xfId="63"/>
    <cellStyle name="Обычный 3 2 3 2" xfId="108"/>
    <cellStyle name="Обычный 3 2 3 2 2" xfId="202"/>
    <cellStyle name="Обычный 3 2 3 2 2 2" xfId="389"/>
    <cellStyle name="Обычный 3 2 3 2 2 2 2" xfId="762"/>
    <cellStyle name="Обычный 3 2 3 2 2 2 2 2" xfId="2669"/>
    <cellStyle name="Обычный 3 2 3 2 2 2 2 3" xfId="1683"/>
    <cellStyle name="Обычный 3 2 3 2 2 2 3" xfId="2305"/>
    <cellStyle name="Обычный 3 2 3 2 2 2 4" xfId="1319"/>
    <cellStyle name="Обычный 3 2 3 2 2 3" xfId="576"/>
    <cellStyle name="Обычный 3 2 3 2 2 3 2" xfId="2487"/>
    <cellStyle name="Обычный 3 2 3 2 2 3 3" xfId="1501"/>
    <cellStyle name="Обычный 3 2 3 2 2 4" xfId="2128"/>
    <cellStyle name="Обычный 3 2 3 2 2 5" xfId="1142"/>
    <cellStyle name="Обычный 3 2 3 2 3" xfId="296"/>
    <cellStyle name="Обычный 3 2 3 2 3 2" xfId="669"/>
    <cellStyle name="Обычный 3 2 3 2 3 2 2" xfId="2576"/>
    <cellStyle name="Обычный 3 2 3 2 3 2 3" xfId="1590"/>
    <cellStyle name="Обычный 3 2 3 2 3 3" xfId="2216"/>
    <cellStyle name="Обычный 3 2 3 2 3 4" xfId="1230"/>
    <cellStyle name="Обычный 3 2 3 2 4" xfId="483"/>
    <cellStyle name="Обычный 3 2 3 2 4 2" xfId="2394"/>
    <cellStyle name="Обычный 3 2 3 2 4 3" xfId="1408"/>
    <cellStyle name="Обычный 3 2 3 2 5" xfId="2046"/>
    <cellStyle name="Обычный 3 2 3 2 6" xfId="1060"/>
    <cellStyle name="Обычный 3 2 3 3" xfId="160"/>
    <cellStyle name="Обычный 3 2 3 3 2" xfId="347"/>
    <cellStyle name="Обычный 3 2 3 3 2 2" xfId="720"/>
    <cellStyle name="Обычный 3 2 3 3 2 2 2" xfId="2627"/>
    <cellStyle name="Обычный 3 2 3 3 2 2 3" xfId="1641"/>
    <cellStyle name="Обычный 3 2 3 3 2 3" xfId="2264"/>
    <cellStyle name="Обычный 3 2 3 3 2 4" xfId="1278"/>
    <cellStyle name="Обычный 3 2 3 3 3" xfId="534"/>
    <cellStyle name="Обычный 3 2 3 3 3 2" xfId="2445"/>
    <cellStyle name="Обычный 3 2 3 3 3 3" xfId="1459"/>
    <cellStyle name="Обычный 3 2 3 3 4" xfId="2090"/>
    <cellStyle name="Обычный 3 2 3 3 5" xfId="1104"/>
    <cellStyle name="Обычный 3 2 3 4" xfId="254"/>
    <cellStyle name="Обычный 3 2 3 4 2" xfId="627"/>
    <cellStyle name="Обычный 3 2 3 4 2 2" xfId="2535"/>
    <cellStyle name="Обычный 3 2 3 4 2 3" xfId="1549"/>
    <cellStyle name="Обычный 3 2 3 4 3" xfId="2175"/>
    <cellStyle name="Обычный 3 2 3 4 4" xfId="1189"/>
    <cellStyle name="Обычный 3 2 3 5" xfId="441"/>
    <cellStyle name="Обычный 3 2 3 5 2" xfId="2353"/>
    <cellStyle name="Обычный 3 2 3 5 3" xfId="1367"/>
    <cellStyle name="Обычный 3 2 3 6" xfId="1784"/>
    <cellStyle name="Обычный 3 2 3 7" xfId="2015"/>
    <cellStyle name="Обычный 3 2 3 8" xfId="1028"/>
    <cellStyle name="Обычный 3 2 4" xfId="88"/>
    <cellStyle name="Обычный 3 2 4 2" xfId="182"/>
    <cellStyle name="Обычный 3 2 4 2 2" xfId="369"/>
    <cellStyle name="Обычный 3 2 4 2 2 2" xfId="742"/>
    <cellStyle name="Обычный 3 2 4 2 2 2 2" xfId="2649"/>
    <cellStyle name="Обычный 3 2 4 2 2 2 3" xfId="1663"/>
    <cellStyle name="Обычный 3 2 4 2 2 3" xfId="2285"/>
    <cellStyle name="Обычный 3 2 4 2 2 4" xfId="1299"/>
    <cellStyle name="Обычный 3 2 4 2 3" xfId="556"/>
    <cellStyle name="Обычный 3 2 4 2 3 2" xfId="2467"/>
    <cellStyle name="Обычный 3 2 4 2 3 3" xfId="1481"/>
    <cellStyle name="Обычный 3 2 4 2 4" xfId="2109"/>
    <cellStyle name="Обычный 3 2 4 2 5" xfId="1123"/>
    <cellStyle name="Обычный 3 2 4 3" xfId="276"/>
    <cellStyle name="Обычный 3 2 4 3 2" xfId="649"/>
    <cellStyle name="Обычный 3 2 4 3 2 2" xfId="2556"/>
    <cellStyle name="Обычный 3 2 4 3 2 3" xfId="1570"/>
    <cellStyle name="Обычный 3 2 4 3 3" xfId="2196"/>
    <cellStyle name="Обычный 3 2 4 3 4" xfId="1210"/>
    <cellStyle name="Обычный 3 2 4 4" xfId="463"/>
    <cellStyle name="Обычный 3 2 4 4 2" xfId="2374"/>
    <cellStyle name="Обычный 3 2 4 4 3" xfId="1388"/>
    <cellStyle name="Обычный 3 2 4 5" xfId="1766"/>
    <cellStyle name="Обычный 3 2 4 5 2" xfId="2702"/>
    <cellStyle name="Обычный 3 2 4 6" xfId="2030"/>
    <cellStyle name="Обычный 3 2 4 7" xfId="1044"/>
    <cellStyle name="Обычный 3 2 5" xfId="139"/>
    <cellStyle name="Обычный 3 2 5 2" xfId="326"/>
    <cellStyle name="Обычный 3 2 5 2 2" xfId="699"/>
    <cellStyle name="Обычный 3 2 5 2 2 2" xfId="2606"/>
    <cellStyle name="Обычный 3 2 5 2 2 3" xfId="1620"/>
    <cellStyle name="Обычный 3 2 5 2 3" xfId="2244"/>
    <cellStyle name="Обычный 3 2 5 2 4" xfId="1258"/>
    <cellStyle name="Обычный 3 2 5 3" xfId="513"/>
    <cellStyle name="Обычный 3 2 5 3 2" xfId="2424"/>
    <cellStyle name="Обычный 3 2 5 3 3" xfId="1438"/>
    <cellStyle name="Обычный 3 2 5 4" xfId="2070"/>
    <cellStyle name="Обычный 3 2 5 5" xfId="1084"/>
    <cellStyle name="Обычный 3 2 6" xfId="233"/>
    <cellStyle name="Обычный 3 2 6 2" xfId="606"/>
    <cellStyle name="Обычный 3 2 6 2 2" xfId="2515"/>
    <cellStyle name="Обычный 3 2 6 2 3" xfId="1529"/>
    <cellStyle name="Обычный 3 2 6 3" xfId="2155"/>
    <cellStyle name="Обычный 3 2 6 4" xfId="1169"/>
    <cellStyle name="Обычный 3 2 7" xfId="420"/>
    <cellStyle name="Обычный 3 2 7 2" xfId="2333"/>
    <cellStyle name="Обычный 3 2 7 3" xfId="1347"/>
    <cellStyle name="Обычный 3 2 8" xfId="1727"/>
    <cellStyle name="Обычный 3 2 9" xfId="2002"/>
    <cellStyle name="Обычный 3 3" xfId="33"/>
    <cellStyle name="Обычный 3 3 2" xfId="122"/>
    <cellStyle name="Обычный 3 3 2 2" xfId="123"/>
    <cellStyle name="Обычный 3 3 2 2 2" xfId="217"/>
    <cellStyle name="Обычный 3 3 2 2 2 2" xfId="404"/>
    <cellStyle name="Обычный 3 3 2 2 2 2 2" xfId="777"/>
    <cellStyle name="Обычный 3 3 2 2 2 2 2 2" xfId="2684"/>
    <cellStyle name="Обычный 3 3 2 2 2 2 2 3" xfId="1698"/>
    <cellStyle name="Обычный 3 3 2 2 2 2 3" xfId="2320"/>
    <cellStyle name="Обычный 3 3 2 2 2 2 4" xfId="1334"/>
    <cellStyle name="Обычный 3 3 2 2 2 3" xfId="591"/>
    <cellStyle name="Обычный 3 3 2 2 2 3 2" xfId="2502"/>
    <cellStyle name="Обычный 3 3 2 2 2 3 3" xfId="1516"/>
    <cellStyle name="Обычный 3 3 2 2 2 4" xfId="2142"/>
    <cellStyle name="Обычный 3 3 2 2 2 5" xfId="1156"/>
    <cellStyle name="Обычный 3 3 2 2 3" xfId="311"/>
    <cellStyle name="Обычный 3 3 2 2 3 2" xfId="684"/>
    <cellStyle name="Обычный 3 3 2 2 3 2 2" xfId="2591"/>
    <cellStyle name="Обычный 3 3 2 2 3 2 3" xfId="1605"/>
    <cellStyle name="Обычный 3 3 2 2 3 3" xfId="2231"/>
    <cellStyle name="Обычный 3 3 2 2 3 4" xfId="1245"/>
    <cellStyle name="Обычный 3 3 2 2 4" xfId="498"/>
    <cellStyle name="Обычный 3 3 2 2 4 2" xfId="2409"/>
    <cellStyle name="Обычный 3 3 2 2 4 3" xfId="1423"/>
    <cellStyle name="Обычный 3 3 2 2 5" xfId="2057"/>
    <cellStyle name="Обычный 3 3 2 2 6" xfId="1071"/>
    <cellStyle name="Обычный 3 3 2 3" xfId="216"/>
    <cellStyle name="Обычный 3 3 2 3 2" xfId="403"/>
    <cellStyle name="Обычный 3 3 2 3 2 2" xfId="776"/>
    <cellStyle name="Обычный 3 3 2 3 2 2 2" xfId="2683"/>
    <cellStyle name="Обычный 3 3 2 3 2 2 3" xfId="1697"/>
    <cellStyle name="Обычный 3 3 2 3 2 3" xfId="2319"/>
    <cellStyle name="Обычный 3 3 2 3 2 4" xfId="1333"/>
    <cellStyle name="Обычный 3 3 2 3 3" xfId="590"/>
    <cellStyle name="Обычный 3 3 2 3 3 2" xfId="2501"/>
    <cellStyle name="Обычный 3 3 2 3 3 3" xfId="1515"/>
    <cellStyle name="Обычный 3 3 2 3 4" xfId="2141"/>
    <cellStyle name="Обычный 3 3 2 3 5" xfId="1155"/>
    <cellStyle name="Обычный 3 3 2 4" xfId="310"/>
    <cellStyle name="Обычный 3 3 2 4 2" xfId="683"/>
    <cellStyle name="Обычный 3 3 2 4 2 2" xfId="2590"/>
    <cellStyle name="Обычный 3 3 2 4 2 3" xfId="1604"/>
    <cellStyle name="Обычный 3 3 2 4 3" xfId="2230"/>
    <cellStyle name="Обычный 3 3 2 4 4" xfId="1244"/>
    <cellStyle name="Обычный 3 3 2 5" xfId="497"/>
    <cellStyle name="Обычный 3 3 2 5 2" xfId="2408"/>
    <cellStyle name="Обычный 3 3 2 5 3" xfId="1422"/>
    <cellStyle name="Обычный 3 3 2 6" xfId="1772"/>
    <cellStyle name="Обычный 3 3 2 6 2" xfId="2706"/>
    <cellStyle name="Обычный 3 3 2 7" xfId="2056"/>
    <cellStyle name="Обычный 3 3 2 8" xfId="1070"/>
    <cellStyle name="Обычный 3 3 3" xfId="124"/>
    <cellStyle name="Обычный 3 3 3 2" xfId="218"/>
    <cellStyle name="Обычный 3 3 3 2 2" xfId="405"/>
    <cellStyle name="Обычный 3 3 3 2 2 2" xfId="778"/>
    <cellStyle name="Обычный 3 3 3 2 2 2 2" xfId="2685"/>
    <cellStyle name="Обычный 3 3 3 2 2 2 3" xfId="1699"/>
    <cellStyle name="Обычный 3 3 3 2 2 3" xfId="2321"/>
    <cellStyle name="Обычный 3 3 3 2 2 4" xfId="1335"/>
    <cellStyle name="Обычный 3 3 3 2 3" xfId="592"/>
    <cellStyle name="Обычный 3 3 3 2 3 2" xfId="2503"/>
    <cellStyle name="Обычный 3 3 3 2 3 3" xfId="1517"/>
    <cellStyle name="Обычный 3 3 3 2 4" xfId="2143"/>
    <cellStyle name="Обычный 3 3 3 2 5" xfId="1157"/>
    <cellStyle name="Обычный 3 3 3 3" xfId="312"/>
    <cellStyle name="Обычный 3 3 3 3 2" xfId="685"/>
    <cellStyle name="Обычный 3 3 3 3 2 2" xfId="2592"/>
    <cellStyle name="Обычный 3 3 3 3 2 3" xfId="1606"/>
    <cellStyle name="Обычный 3 3 3 3 3" xfId="2232"/>
    <cellStyle name="Обычный 3 3 3 3 4" xfId="1246"/>
    <cellStyle name="Обычный 3 3 3 4" xfId="499"/>
    <cellStyle name="Обычный 3 3 3 4 2" xfId="2410"/>
    <cellStyle name="Обычный 3 3 3 4 3" xfId="1424"/>
    <cellStyle name="Обычный 3 3 3 5" xfId="1781"/>
    <cellStyle name="Обычный 3 3 3 6" xfId="2058"/>
    <cellStyle name="Обычный 3 3 3 7" xfId="1072"/>
    <cellStyle name="Обычный 3 3 4" xfId="1767"/>
    <cellStyle name="Обычный 3 3 4 2" xfId="2703"/>
    <cellStyle name="Обычный 3 4" xfId="34"/>
    <cellStyle name="Обычный 3 4 10" xfId="1013"/>
    <cellStyle name="Обычный 3 4 2" xfId="35"/>
    <cellStyle name="Обычный 3 4 2 2" xfId="65"/>
    <cellStyle name="Обычный 3 4 2 2 2" xfId="110"/>
    <cellStyle name="Обычный 3 4 2 2 2 2" xfId="204"/>
    <cellStyle name="Обычный 3 4 2 2 2 2 2" xfId="391"/>
    <cellStyle name="Обычный 3 4 2 2 2 2 2 2" xfId="764"/>
    <cellStyle name="Обычный 3 4 2 2 2 2 2 2 2" xfId="2671"/>
    <cellStyle name="Обычный 3 4 2 2 2 2 2 2 3" xfId="1685"/>
    <cellStyle name="Обычный 3 4 2 2 2 2 2 3" xfId="2307"/>
    <cellStyle name="Обычный 3 4 2 2 2 2 2 4" xfId="1321"/>
    <cellStyle name="Обычный 3 4 2 2 2 2 3" xfId="578"/>
    <cellStyle name="Обычный 3 4 2 2 2 2 3 2" xfId="2489"/>
    <cellStyle name="Обычный 3 4 2 2 2 2 3 3" xfId="1503"/>
    <cellStyle name="Обычный 3 4 2 2 2 2 4" xfId="2130"/>
    <cellStyle name="Обычный 3 4 2 2 2 2 5" xfId="1144"/>
    <cellStyle name="Обычный 3 4 2 2 2 3" xfId="298"/>
    <cellStyle name="Обычный 3 4 2 2 2 3 2" xfId="671"/>
    <cellStyle name="Обычный 3 4 2 2 2 3 2 2" xfId="2578"/>
    <cellStyle name="Обычный 3 4 2 2 2 3 2 3" xfId="1592"/>
    <cellStyle name="Обычный 3 4 2 2 2 3 3" xfId="2218"/>
    <cellStyle name="Обычный 3 4 2 2 2 3 4" xfId="1232"/>
    <cellStyle name="Обычный 3 4 2 2 2 4" xfId="485"/>
    <cellStyle name="Обычный 3 4 2 2 2 4 2" xfId="2396"/>
    <cellStyle name="Обычный 3 4 2 2 2 4 3" xfId="1410"/>
    <cellStyle name="Обычный 3 4 2 2 2 5" xfId="2048"/>
    <cellStyle name="Обычный 3 4 2 2 2 6" xfId="1062"/>
    <cellStyle name="Обычный 3 4 2 2 3" xfId="162"/>
    <cellStyle name="Обычный 3 4 2 2 3 2" xfId="349"/>
    <cellStyle name="Обычный 3 4 2 2 3 2 2" xfId="722"/>
    <cellStyle name="Обычный 3 4 2 2 3 2 2 2" xfId="2629"/>
    <cellStyle name="Обычный 3 4 2 2 3 2 2 3" xfId="1643"/>
    <cellStyle name="Обычный 3 4 2 2 3 2 3" xfId="2266"/>
    <cellStyle name="Обычный 3 4 2 2 3 2 4" xfId="1280"/>
    <cellStyle name="Обычный 3 4 2 2 3 3" xfId="536"/>
    <cellStyle name="Обычный 3 4 2 2 3 3 2" xfId="2447"/>
    <cellStyle name="Обычный 3 4 2 2 3 3 3" xfId="1461"/>
    <cellStyle name="Обычный 3 4 2 2 3 4" xfId="2092"/>
    <cellStyle name="Обычный 3 4 2 2 3 5" xfId="1106"/>
    <cellStyle name="Обычный 3 4 2 2 4" xfId="256"/>
    <cellStyle name="Обычный 3 4 2 2 4 2" xfId="629"/>
    <cellStyle name="Обычный 3 4 2 2 4 2 2" xfId="2537"/>
    <cellStyle name="Обычный 3 4 2 2 4 2 3" xfId="1551"/>
    <cellStyle name="Обычный 3 4 2 2 4 3" xfId="2177"/>
    <cellStyle name="Обычный 3 4 2 2 4 4" xfId="1191"/>
    <cellStyle name="Обычный 3 4 2 2 5" xfId="443"/>
    <cellStyle name="Обычный 3 4 2 2 5 2" xfId="2355"/>
    <cellStyle name="Обычный 3 4 2 2 5 3" xfId="1369"/>
    <cellStyle name="Обычный 3 4 2 2 6" xfId="2017"/>
    <cellStyle name="Обычный 3 4 2 2 7" xfId="1030"/>
    <cellStyle name="Обычный 3 4 2 3" xfId="90"/>
    <cellStyle name="Обычный 3 4 2 3 2" xfId="184"/>
    <cellStyle name="Обычный 3 4 2 3 2 2" xfId="371"/>
    <cellStyle name="Обычный 3 4 2 3 2 2 2" xfId="744"/>
    <cellStyle name="Обычный 3 4 2 3 2 2 2 2" xfId="2651"/>
    <cellStyle name="Обычный 3 4 2 3 2 2 2 3" xfId="1665"/>
    <cellStyle name="Обычный 3 4 2 3 2 2 3" xfId="2287"/>
    <cellStyle name="Обычный 3 4 2 3 2 2 4" xfId="1301"/>
    <cellStyle name="Обычный 3 4 2 3 2 3" xfId="558"/>
    <cellStyle name="Обычный 3 4 2 3 2 3 2" xfId="2469"/>
    <cellStyle name="Обычный 3 4 2 3 2 3 3" xfId="1483"/>
    <cellStyle name="Обычный 3 4 2 3 2 4" xfId="2111"/>
    <cellStyle name="Обычный 3 4 2 3 2 5" xfId="1125"/>
    <cellStyle name="Обычный 3 4 2 3 3" xfId="278"/>
    <cellStyle name="Обычный 3 4 2 3 3 2" xfId="651"/>
    <cellStyle name="Обычный 3 4 2 3 3 2 2" xfId="2558"/>
    <cellStyle name="Обычный 3 4 2 3 3 2 3" xfId="1572"/>
    <cellStyle name="Обычный 3 4 2 3 3 3" xfId="2198"/>
    <cellStyle name="Обычный 3 4 2 3 3 4" xfId="1212"/>
    <cellStyle name="Обычный 3 4 2 3 4" xfId="465"/>
    <cellStyle name="Обычный 3 4 2 3 4 2" xfId="2376"/>
    <cellStyle name="Обычный 3 4 2 3 4 3" xfId="1390"/>
    <cellStyle name="Обычный 3 4 2 3 5" xfId="2032"/>
    <cellStyle name="Обычный 3 4 2 3 6" xfId="1046"/>
    <cellStyle name="Обычный 3 4 2 4" xfId="141"/>
    <cellStyle name="Обычный 3 4 2 4 2" xfId="328"/>
    <cellStyle name="Обычный 3 4 2 4 2 2" xfId="701"/>
    <cellStyle name="Обычный 3 4 2 4 2 2 2" xfId="2608"/>
    <cellStyle name="Обычный 3 4 2 4 2 2 3" xfId="1622"/>
    <cellStyle name="Обычный 3 4 2 4 2 3" xfId="2246"/>
    <cellStyle name="Обычный 3 4 2 4 2 4" xfId="1260"/>
    <cellStyle name="Обычный 3 4 2 4 3" xfId="515"/>
    <cellStyle name="Обычный 3 4 2 4 3 2" xfId="2426"/>
    <cellStyle name="Обычный 3 4 2 4 3 3" xfId="1440"/>
    <cellStyle name="Обычный 3 4 2 4 4" xfId="2072"/>
    <cellStyle name="Обычный 3 4 2 4 5" xfId="1086"/>
    <cellStyle name="Обычный 3 4 2 5" xfId="235"/>
    <cellStyle name="Обычный 3 4 2 5 2" xfId="608"/>
    <cellStyle name="Обычный 3 4 2 5 2 2" xfId="2517"/>
    <cellStyle name="Обычный 3 4 2 5 2 3" xfId="1531"/>
    <cellStyle name="Обычный 3 4 2 5 3" xfId="2157"/>
    <cellStyle name="Обычный 3 4 2 5 4" xfId="1171"/>
    <cellStyle name="Обычный 3 4 2 6" xfId="422"/>
    <cellStyle name="Обычный 3 4 2 6 2" xfId="2335"/>
    <cellStyle name="Обычный 3 4 2 6 3" xfId="1349"/>
    <cellStyle name="Обычный 3 4 2 7" xfId="1786"/>
    <cellStyle name="Обычный 3 4 2 7 2" xfId="2711"/>
    <cellStyle name="Обычный 3 4 2 8" xfId="2004"/>
    <cellStyle name="Обычный 3 4 2 9" xfId="1014"/>
    <cellStyle name="Обычный 3 4 3" xfId="64"/>
    <cellStyle name="Обычный 3 4 3 2" xfId="109"/>
    <cellStyle name="Обычный 3 4 3 2 2" xfId="203"/>
    <cellStyle name="Обычный 3 4 3 2 2 2" xfId="390"/>
    <cellStyle name="Обычный 3 4 3 2 2 2 2" xfId="763"/>
    <cellStyle name="Обычный 3 4 3 2 2 2 2 2" xfId="2670"/>
    <cellStyle name="Обычный 3 4 3 2 2 2 2 3" xfId="1684"/>
    <cellStyle name="Обычный 3 4 3 2 2 2 3" xfId="2306"/>
    <cellStyle name="Обычный 3 4 3 2 2 2 4" xfId="1320"/>
    <cellStyle name="Обычный 3 4 3 2 2 3" xfId="577"/>
    <cellStyle name="Обычный 3 4 3 2 2 3 2" xfId="2488"/>
    <cellStyle name="Обычный 3 4 3 2 2 3 3" xfId="1502"/>
    <cellStyle name="Обычный 3 4 3 2 2 4" xfId="2129"/>
    <cellStyle name="Обычный 3 4 3 2 2 5" xfId="1143"/>
    <cellStyle name="Обычный 3 4 3 2 3" xfId="297"/>
    <cellStyle name="Обычный 3 4 3 2 3 2" xfId="670"/>
    <cellStyle name="Обычный 3 4 3 2 3 2 2" xfId="2577"/>
    <cellStyle name="Обычный 3 4 3 2 3 2 3" xfId="1591"/>
    <cellStyle name="Обычный 3 4 3 2 3 3" xfId="2217"/>
    <cellStyle name="Обычный 3 4 3 2 3 4" xfId="1231"/>
    <cellStyle name="Обычный 3 4 3 2 4" xfId="484"/>
    <cellStyle name="Обычный 3 4 3 2 4 2" xfId="2395"/>
    <cellStyle name="Обычный 3 4 3 2 4 3" xfId="1409"/>
    <cellStyle name="Обычный 3 4 3 2 5" xfId="2047"/>
    <cellStyle name="Обычный 3 4 3 2 6" xfId="1061"/>
    <cellStyle name="Обычный 3 4 3 3" xfId="161"/>
    <cellStyle name="Обычный 3 4 3 3 2" xfId="348"/>
    <cellStyle name="Обычный 3 4 3 3 2 2" xfId="721"/>
    <cellStyle name="Обычный 3 4 3 3 2 2 2" xfId="2628"/>
    <cellStyle name="Обычный 3 4 3 3 2 2 3" xfId="1642"/>
    <cellStyle name="Обычный 3 4 3 3 2 3" xfId="2265"/>
    <cellStyle name="Обычный 3 4 3 3 2 4" xfId="1279"/>
    <cellStyle name="Обычный 3 4 3 3 3" xfId="535"/>
    <cellStyle name="Обычный 3 4 3 3 3 2" xfId="2446"/>
    <cellStyle name="Обычный 3 4 3 3 3 3" xfId="1460"/>
    <cellStyle name="Обычный 3 4 3 3 4" xfId="2091"/>
    <cellStyle name="Обычный 3 4 3 3 5" xfId="1105"/>
    <cellStyle name="Обычный 3 4 3 4" xfId="255"/>
    <cellStyle name="Обычный 3 4 3 4 2" xfId="628"/>
    <cellStyle name="Обычный 3 4 3 4 2 2" xfId="2536"/>
    <cellStyle name="Обычный 3 4 3 4 2 3" xfId="1550"/>
    <cellStyle name="Обычный 3 4 3 4 3" xfId="2176"/>
    <cellStyle name="Обычный 3 4 3 4 4" xfId="1190"/>
    <cellStyle name="Обычный 3 4 3 5" xfId="442"/>
    <cellStyle name="Обычный 3 4 3 5 2" xfId="2354"/>
    <cellStyle name="Обычный 3 4 3 5 3" xfId="1368"/>
    <cellStyle name="Обычный 3 4 3 6" xfId="2016"/>
    <cellStyle name="Обычный 3 4 3 7" xfId="1029"/>
    <cellStyle name="Обычный 3 4 4" xfId="89"/>
    <cellStyle name="Обычный 3 4 4 2" xfId="183"/>
    <cellStyle name="Обычный 3 4 4 2 2" xfId="370"/>
    <cellStyle name="Обычный 3 4 4 2 2 2" xfId="743"/>
    <cellStyle name="Обычный 3 4 4 2 2 2 2" xfId="2650"/>
    <cellStyle name="Обычный 3 4 4 2 2 2 3" xfId="1664"/>
    <cellStyle name="Обычный 3 4 4 2 2 3" xfId="2286"/>
    <cellStyle name="Обычный 3 4 4 2 2 4" xfId="1300"/>
    <cellStyle name="Обычный 3 4 4 2 3" xfId="557"/>
    <cellStyle name="Обычный 3 4 4 2 3 2" xfId="2468"/>
    <cellStyle name="Обычный 3 4 4 2 3 3" xfId="1482"/>
    <cellStyle name="Обычный 3 4 4 2 4" xfId="2110"/>
    <cellStyle name="Обычный 3 4 4 2 5" xfId="1124"/>
    <cellStyle name="Обычный 3 4 4 3" xfId="277"/>
    <cellStyle name="Обычный 3 4 4 3 2" xfId="650"/>
    <cellStyle name="Обычный 3 4 4 3 2 2" xfId="2557"/>
    <cellStyle name="Обычный 3 4 4 3 2 3" xfId="1571"/>
    <cellStyle name="Обычный 3 4 4 3 3" xfId="2197"/>
    <cellStyle name="Обычный 3 4 4 3 4" xfId="1211"/>
    <cellStyle name="Обычный 3 4 4 4" xfId="464"/>
    <cellStyle name="Обычный 3 4 4 4 2" xfId="2375"/>
    <cellStyle name="Обычный 3 4 4 4 3" xfId="1389"/>
    <cellStyle name="Обычный 3 4 4 5" xfId="2031"/>
    <cellStyle name="Обычный 3 4 4 6" xfId="1045"/>
    <cellStyle name="Обычный 3 4 5" xfId="140"/>
    <cellStyle name="Обычный 3 4 5 2" xfId="327"/>
    <cellStyle name="Обычный 3 4 5 2 2" xfId="700"/>
    <cellStyle name="Обычный 3 4 5 2 2 2" xfId="2607"/>
    <cellStyle name="Обычный 3 4 5 2 2 3" xfId="1621"/>
    <cellStyle name="Обычный 3 4 5 2 3" xfId="2245"/>
    <cellStyle name="Обычный 3 4 5 2 4" xfId="1259"/>
    <cellStyle name="Обычный 3 4 5 3" xfId="514"/>
    <cellStyle name="Обычный 3 4 5 3 2" xfId="2425"/>
    <cellStyle name="Обычный 3 4 5 3 3" xfId="1439"/>
    <cellStyle name="Обычный 3 4 5 4" xfId="2071"/>
    <cellStyle name="Обычный 3 4 5 5" xfId="1085"/>
    <cellStyle name="Обычный 3 4 6" xfId="234"/>
    <cellStyle name="Обычный 3 4 6 2" xfId="607"/>
    <cellStyle name="Обычный 3 4 6 2 2" xfId="2516"/>
    <cellStyle name="Обычный 3 4 6 2 3" xfId="1530"/>
    <cellStyle name="Обычный 3 4 6 3" xfId="2156"/>
    <cellStyle name="Обычный 3 4 6 4" xfId="1170"/>
    <cellStyle name="Обычный 3 4 7" xfId="421"/>
    <cellStyle name="Обычный 3 4 7 2" xfId="2334"/>
    <cellStyle name="Обычный 3 4 7 3" xfId="1348"/>
    <cellStyle name="Обычный 3 4 8" xfId="1763"/>
    <cellStyle name="Обычный 3 4 8 2" xfId="2701"/>
    <cellStyle name="Обычный 3 4 9" xfId="2003"/>
    <cellStyle name="Обычный 3 5" xfId="36"/>
    <cellStyle name="Обычный 3 5 2" xfId="66"/>
    <cellStyle name="Обычный 3 5 2 2" xfId="111"/>
    <cellStyle name="Обычный 3 5 2 2 2" xfId="205"/>
    <cellStyle name="Обычный 3 5 2 2 2 2" xfId="392"/>
    <cellStyle name="Обычный 3 5 2 2 2 2 2" xfId="765"/>
    <cellStyle name="Обычный 3 5 2 2 2 2 2 2" xfId="2672"/>
    <cellStyle name="Обычный 3 5 2 2 2 2 2 3" xfId="1686"/>
    <cellStyle name="Обычный 3 5 2 2 2 2 3" xfId="2308"/>
    <cellStyle name="Обычный 3 5 2 2 2 2 4" xfId="1322"/>
    <cellStyle name="Обычный 3 5 2 2 2 3" xfId="579"/>
    <cellStyle name="Обычный 3 5 2 2 2 3 2" xfId="2490"/>
    <cellStyle name="Обычный 3 5 2 2 2 3 3" xfId="1504"/>
    <cellStyle name="Обычный 3 5 2 2 2 4" xfId="2131"/>
    <cellStyle name="Обычный 3 5 2 2 2 5" xfId="1145"/>
    <cellStyle name="Обычный 3 5 2 2 3" xfId="299"/>
    <cellStyle name="Обычный 3 5 2 2 3 2" xfId="672"/>
    <cellStyle name="Обычный 3 5 2 2 3 2 2" xfId="2579"/>
    <cellStyle name="Обычный 3 5 2 2 3 2 3" xfId="1593"/>
    <cellStyle name="Обычный 3 5 2 2 3 3" xfId="2219"/>
    <cellStyle name="Обычный 3 5 2 2 3 4" xfId="1233"/>
    <cellStyle name="Обычный 3 5 2 2 4" xfId="486"/>
    <cellStyle name="Обычный 3 5 2 2 4 2" xfId="2397"/>
    <cellStyle name="Обычный 3 5 2 2 4 3" xfId="1411"/>
    <cellStyle name="Обычный 3 5 2 2 5" xfId="2049"/>
    <cellStyle name="Обычный 3 5 2 2 6" xfId="1063"/>
    <cellStyle name="Обычный 3 5 2 3" xfId="163"/>
    <cellStyle name="Обычный 3 5 2 3 2" xfId="350"/>
    <cellStyle name="Обычный 3 5 2 3 2 2" xfId="723"/>
    <cellStyle name="Обычный 3 5 2 3 2 2 2" xfId="2630"/>
    <cellStyle name="Обычный 3 5 2 3 2 2 3" xfId="1644"/>
    <cellStyle name="Обычный 3 5 2 3 2 3" xfId="2267"/>
    <cellStyle name="Обычный 3 5 2 3 2 4" xfId="1281"/>
    <cellStyle name="Обычный 3 5 2 3 3" xfId="537"/>
    <cellStyle name="Обычный 3 5 2 3 3 2" xfId="2448"/>
    <cellStyle name="Обычный 3 5 2 3 3 3" xfId="1462"/>
    <cellStyle name="Обычный 3 5 2 3 4" xfId="2093"/>
    <cellStyle name="Обычный 3 5 2 3 5" xfId="1107"/>
    <cellStyle name="Обычный 3 5 2 4" xfId="257"/>
    <cellStyle name="Обычный 3 5 2 4 2" xfId="630"/>
    <cellStyle name="Обычный 3 5 2 4 2 2" xfId="2538"/>
    <cellStyle name="Обычный 3 5 2 4 2 3" xfId="1552"/>
    <cellStyle name="Обычный 3 5 2 4 3" xfId="2178"/>
    <cellStyle name="Обычный 3 5 2 4 4" xfId="1192"/>
    <cellStyle name="Обычный 3 5 2 5" xfId="444"/>
    <cellStyle name="Обычный 3 5 2 5 2" xfId="2356"/>
    <cellStyle name="Обычный 3 5 2 5 3" xfId="1370"/>
    <cellStyle name="Обычный 3 5 2 6" xfId="2018"/>
    <cellStyle name="Обычный 3 5 2 7" xfId="1031"/>
    <cellStyle name="Обычный 3 5 3" xfId="91"/>
    <cellStyle name="Обычный 3 5 3 2" xfId="185"/>
    <cellStyle name="Обычный 3 5 3 2 2" xfId="372"/>
    <cellStyle name="Обычный 3 5 3 2 2 2" xfId="745"/>
    <cellStyle name="Обычный 3 5 3 2 2 2 2" xfId="2652"/>
    <cellStyle name="Обычный 3 5 3 2 2 2 3" xfId="1666"/>
    <cellStyle name="Обычный 3 5 3 2 2 3" xfId="2288"/>
    <cellStyle name="Обычный 3 5 3 2 2 4" xfId="1302"/>
    <cellStyle name="Обычный 3 5 3 2 3" xfId="559"/>
    <cellStyle name="Обычный 3 5 3 2 3 2" xfId="2470"/>
    <cellStyle name="Обычный 3 5 3 2 3 3" xfId="1484"/>
    <cellStyle name="Обычный 3 5 3 2 4" xfId="2112"/>
    <cellStyle name="Обычный 3 5 3 2 5" xfId="1126"/>
    <cellStyle name="Обычный 3 5 3 3" xfId="279"/>
    <cellStyle name="Обычный 3 5 3 3 2" xfId="652"/>
    <cellStyle name="Обычный 3 5 3 3 2 2" xfId="2559"/>
    <cellStyle name="Обычный 3 5 3 3 2 3" xfId="1573"/>
    <cellStyle name="Обычный 3 5 3 3 3" xfId="2199"/>
    <cellStyle name="Обычный 3 5 3 3 4" xfId="1213"/>
    <cellStyle name="Обычный 3 5 3 4" xfId="466"/>
    <cellStyle name="Обычный 3 5 3 4 2" xfId="2377"/>
    <cellStyle name="Обычный 3 5 3 4 3" xfId="1391"/>
    <cellStyle name="Обычный 3 5 3 5" xfId="2033"/>
    <cellStyle name="Обычный 3 5 3 6" xfId="1047"/>
    <cellStyle name="Обычный 3 5 4" xfId="142"/>
    <cellStyle name="Обычный 3 5 4 2" xfId="329"/>
    <cellStyle name="Обычный 3 5 4 2 2" xfId="702"/>
    <cellStyle name="Обычный 3 5 4 2 2 2" xfId="2609"/>
    <cellStyle name="Обычный 3 5 4 2 2 3" xfId="1623"/>
    <cellStyle name="Обычный 3 5 4 2 3" xfId="2247"/>
    <cellStyle name="Обычный 3 5 4 2 4" xfId="1261"/>
    <cellStyle name="Обычный 3 5 4 3" xfId="516"/>
    <cellStyle name="Обычный 3 5 4 3 2" xfId="2427"/>
    <cellStyle name="Обычный 3 5 4 3 3" xfId="1441"/>
    <cellStyle name="Обычный 3 5 4 4" xfId="2073"/>
    <cellStyle name="Обычный 3 5 4 5" xfId="1087"/>
    <cellStyle name="Обычный 3 5 5" xfId="236"/>
    <cellStyle name="Обычный 3 5 5 2" xfId="609"/>
    <cellStyle name="Обычный 3 5 5 2 2" xfId="2518"/>
    <cellStyle name="Обычный 3 5 5 2 3" xfId="1532"/>
    <cellStyle name="Обычный 3 5 5 3" xfId="2158"/>
    <cellStyle name="Обычный 3 5 5 4" xfId="1172"/>
    <cellStyle name="Обычный 3 5 6" xfId="423"/>
    <cellStyle name="Обычный 3 5 6 2" xfId="2336"/>
    <cellStyle name="Обычный 3 5 6 3" xfId="1350"/>
    <cellStyle name="Обычный 3 5 7" xfId="1776"/>
    <cellStyle name="Обычный 3 5 8" xfId="2005"/>
    <cellStyle name="Обычный 3 5 9" xfId="1015"/>
    <cellStyle name="Обычный 3 6" xfId="37"/>
    <cellStyle name="Обычный 3 6 2" xfId="67"/>
    <cellStyle name="Обычный 3 6 2 2" xfId="112"/>
    <cellStyle name="Обычный 3 6 2 2 2" xfId="206"/>
    <cellStyle name="Обычный 3 6 2 2 2 2" xfId="393"/>
    <cellStyle name="Обычный 3 6 2 2 2 2 2" xfId="766"/>
    <cellStyle name="Обычный 3 6 2 2 2 2 2 2" xfId="2673"/>
    <cellStyle name="Обычный 3 6 2 2 2 2 2 3" xfId="1687"/>
    <cellStyle name="Обычный 3 6 2 2 2 2 3" xfId="2309"/>
    <cellStyle name="Обычный 3 6 2 2 2 2 4" xfId="1323"/>
    <cellStyle name="Обычный 3 6 2 2 2 3" xfId="580"/>
    <cellStyle name="Обычный 3 6 2 2 2 3 2" xfId="2491"/>
    <cellStyle name="Обычный 3 6 2 2 2 3 3" xfId="1505"/>
    <cellStyle name="Обычный 3 6 2 2 2 4" xfId="2132"/>
    <cellStyle name="Обычный 3 6 2 2 2 5" xfId="1146"/>
    <cellStyle name="Обычный 3 6 2 2 3" xfId="300"/>
    <cellStyle name="Обычный 3 6 2 2 3 2" xfId="673"/>
    <cellStyle name="Обычный 3 6 2 2 3 2 2" xfId="2580"/>
    <cellStyle name="Обычный 3 6 2 2 3 2 3" xfId="1594"/>
    <cellStyle name="Обычный 3 6 2 2 3 3" xfId="2220"/>
    <cellStyle name="Обычный 3 6 2 2 3 4" xfId="1234"/>
    <cellStyle name="Обычный 3 6 2 2 4" xfId="487"/>
    <cellStyle name="Обычный 3 6 2 2 4 2" xfId="2398"/>
    <cellStyle name="Обычный 3 6 2 2 4 3" xfId="1412"/>
    <cellStyle name="Обычный 3 6 2 2 5" xfId="2050"/>
    <cellStyle name="Обычный 3 6 2 2 6" xfId="1064"/>
    <cellStyle name="Обычный 3 6 2 3" xfId="164"/>
    <cellStyle name="Обычный 3 6 2 3 2" xfId="351"/>
    <cellStyle name="Обычный 3 6 2 3 2 2" xfId="724"/>
    <cellStyle name="Обычный 3 6 2 3 2 2 2" xfId="2631"/>
    <cellStyle name="Обычный 3 6 2 3 2 2 3" xfId="1645"/>
    <cellStyle name="Обычный 3 6 2 3 2 3" xfId="2268"/>
    <cellStyle name="Обычный 3 6 2 3 2 4" xfId="1282"/>
    <cellStyle name="Обычный 3 6 2 3 3" xfId="538"/>
    <cellStyle name="Обычный 3 6 2 3 3 2" xfId="2449"/>
    <cellStyle name="Обычный 3 6 2 3 3 3" xfId="1463"/>
    <cellStyle name="Обычный 3 6 2 3 4" xfId="2094"/>
    <cellStyle name="Обычный 3 6 2 3 5" xfId="1108"/>
    <cellStyle name="Обычный 3 6 2 4" xfId="258"/>
    <cellStyle name="Обычный 3 6 2 4 2" xfId="631"/>
    <cellStyle name="Обычный 3 6 2 4 2 2" xfId="2539"/>
    <cellStyle name="Обычный 3 6 2 4 2 3" xfId="1553"/>
    <cellStyle name="Обычный 3 6 2 4 3" xfId="2179"/>
    <cellStyle name="Обычный 3 6 2 4 4" xfId="1193"/>
    <cellStyle name="Обычный 3 6 2 5" xfId="445"/>
    <cellStyle name="Обычный 3 6 2 5 2" xfId="2357"/>
    <cellStyle name="Обычный 3 6 2 5 3" xfId="1371"/>
    <cellStyle name="Обычный 3 6 2 6" xfId="2019"/>
    <cellStyle name="Обычный 3 6 2 7" xfId="1032"/>
    <cellStyle name="Обычный 3 6 3" xfId="92"/>
    <cellStyle name="Обычный 3 6 3 2" xfId="186"/>
    <cellStyle name="Обычный 3 6 3 2 2" xfId="373"/>
    <cellStyle name="Обычный 3 6 3 2 2 2" xfId="746"/>
    <cellStyle name="Обычный 3 6 3 2 2 2 2" xfId="2653"/>
    <cellStyle name="Обычный 3 6 3 2 2 2 3" xfId="1667"/>
    <cellStyle name="Обычный 3 6 3 2 2 3" xfId="2289"/>
    <cellStyle name="Обычный 3 6 3 2 2 4" xfId="1303"/>
    <cellStyle name="Обычный 3 6 3 2 3" xfId="560"/>
    <cellStyle name="Обычный 3 6 3 2 3 2" xfId="2471"/>
    <cellStyle name="Обычный 3 6 3 2 3 3" xfId="1485"/>
    <cellStyle name="Обычный 3 6 3 2 4" xfId="2113"/>
    <cellStyle name="Обычный 3 6 3 2 5" xfId="1127"/>
    <cellStyle name="Обычный 3 6 3 3" xfId="280"/>
    <cellStyle name="Обычный 3 6 3 3 2" xfId="653"/>
    <cellStyle name="Обычный 3 6 3 3 2 2" xfId="2560"/>
    <cellStyle name="Обычный 3 6 3 3 2 3" xfId="1574"/>
    <cellStyle name="Обычный 3 6 3 3 3" xfId="2200"/>
    <cellStyle name="Обычный 3 6 3 3 4" xfId="1214"/>
    <cellStyle name="Обычный 3 6 3 4" xfId="467"/>
    <cellStyle name="Обычный 3 6 3 4 2" xfId="2378"/>
    <cellStyle name="Обычный 3 6 3 4 3" xfId="1392"/>
    <cellStyle name="Обычный 3 6 3 5" xfId="2034"/>
    <cellStyle name="Обычный 3 6 3 6" xfId="1048"/>
    <cellStyle name="Обычный 3 6 4" xfId="143"/>
    <cellStyle name="Обычный 3 6 4 2" xfId="330"/>
    <cellStyle name="Обычный 3 6 4 2 2" xfId="703"/>
    <cellStyle name="Обычный 3 6 4 2 2 2" xfId="2610"/>
    <cellStyle name="Обычный 3 6 4 2 2 3" xfId="1624"/>
    <cellStyle name="Обычный 3 6 4 2 3" xfId="2248"/>
    <cellStyle name="Обычный 3 6 4 2 4" xfId="1262"/>
    <cellStyle name="Обычный 3 6 4 3" xfId="517"/>
    <cellStyle name="Обычный 3 6 4 3 2" xfId="2428"/>
    <cellStyle name="Обычный 3 6 4 3 3" xfId="1442"/>
    <cellStyle name="Обычный 3 6 4 4" xfId="2074"/>
    <cellStyle name="Обычный 3 6 4 5" xfId="1088"/>
    <cellStyle name="Обычный 3 6 5" xfId="237"/>
    <cellStyle name="Обычный 3 6 5 2" xfId="610"/>
    <cellStyle name="Обычный 3 6 5 2 2" xfId="2519"/>
    <cellStyle name="Обычный 3 6 5 2 3" xfId="1533"/>
    <cellStyle name="Обычный 3 6 5 3" xfId="2159"/>
    <cellStyle name="Обычный 3 6 5 4" xfId="1173"/>
    <cellStyle name="Обычный 3 6 6" xfId="424"/>
    <cellStyle name="Обычный 3 6 6 2" xfId="2337"/>
    <cellStyle name="Обычный 3 6 6 3" xfId="1351"/>
    <cellStyle name="Обычный 3 6 7" xfId="1787"/>
    <cellStyle name="Обычный 3 6 7 2" xfId="2712"/>
    <cellStyle name="Обычный 3 6 8" xfId="2006"/>
    <cellStyle name="Обычный 3 6 9" xfId="1016"/>
    <cellStyle name="Обычный 3 7" xfId="62"/>
    <cellStyle name="Обычный 3 7 2" xfId="107"/>
    <cellStyle name="Обычный 3 7 2 2" xfId="201"/>
    <cellStyle name="Обычный 3 7 2 2 2" xfId="388"/>
    <cellStyle name="Обычный 3 7 2 2 2 2" xfId="761"/>
    <cellStyle name="Обычный 3 7 2 2 2 2 2" xfId="2668"/>
    <cellStyle name="Обычный 3 7 2 2 2 2 3" xfId="1682"/>
    <cellStyle name="Обычный 3 7 2 2 2 3" xfId="2304"/>
    <cellStyle name="Обычный 3 7 2 2 2 4" xfId="1318"/>
    <cellStyle name="Обычный 3 7 2 2 3" xfId="575"/>
    <cellStyle name="Обычный 3 7 2 2 3 2" xfId="2486"/>
    <cellStyle name="Обычный 3 7 2 2 3 3" xfId="1500"/>
    <cellStyle name="Обычный 3 7 2 2 4" xfId="2127"/>
    <cellStyle name="Обычный 3 7 2 2 5" xfId="1141"/>
    <cellStyle name="Обычный 3 7 2 3" xfId="295"/>
    <cellStyle name="Обычный 3 7 2 3 2" xfId="668"/>
    <cellStyle name="Обычный 3 7 2 3 2 2" xfId="2575"/>
    <cellStyle name="Обычный 3 7 2 3 2 3" xfId="1589"/>
    <cellStyle name="Обычный 3 7 2 3 3" xfId="2215"/>
    <cellStyle name="Обычный 3 7 2 3 4" xfId="1229"/>
    <cellStyle name="Обычный 3 7 2 4" xfId="482"/>
    <cellStyle name="Обычный 3 7 2 4 2" xfId="2393"/>
    <cellStyle name="Обычный 3 7 2 4 3" xfId="1407"/>
    <cellStyle name="Обычный 3 7 2 5" xfId="2045"/>
    <cellStyle name="Обычный 3 7 2 6" xfId="1059"/>
    <cellStyle name="Обычный 3 7 3" xfId="159"/>
    <cellStyle name="Обычный 3 7 3 2" xfId="346"/>
    <cellStyle name="Обычный 3 7 3 2 2" xfId="719"/>
    <cellStyle name="Обычный 3 7 3 2 2 2" xfId="2626"/>
    <cellStyle name="Обычный 3 7 3 2 2 3" xfId="1640"/>
    <cellStyle name="Обычный 3 7 3 2 3" xfId="2263"/>
    <cellStyle name="Обычный 3 7 3 2 4" xfId="1277"/>
    <cellStyle name="Обычный 3 7 3 3" xfId="533"/>
    <cellStyle name="Обычный 3 7 3 3 2" xfId="2444"/>
    <cellStyle name="Обычный 3 7 3 3 3" xfId="1458"/>
    <cellStyle name="Обычный 3 7 3 4" xfId="2089"/>
    <cellStyle name="Обычный 3 7 3 5" xfId="1103"/>
    <cellStyle name="Обычный 3 7 4" xfId="253"/>
    <cellStyle name="Обычный 3 7 4 2" xfId="626"/>
    <cellStyle name="Обычный 3 7 4 2 2" xfId="2534"/>
    <cellStyle name="Обычный 3 7 4 2 3" xfId="1548"/>
    <cellStyle name="Обычный 3 7 4 3" xfId="2174"/>
    <cellStyle name="Обычный 3 7 4 4" xfId="1188"/>
    <cellStyle name="Обычный 3 7 5" xfId="440"/>
    <cellStyle name="Обычный 3 7 5 2" xfId="2352"/>
    <cellStyle name="Обычный 3 7 5 3" xfId="1366"/>
    <cellStyle name="Обычный 3 7 6" xfId="2014"/>
    <cellStyle name="Обычный 3 7 7" xfId="1027"/>
    <cellStyle name="Обычный 3 8" xfId="87"/>
    <cellStyle name="Обычный 3 8 2" xfId="181"/>
    <cellStyle name="Обычный 3 8 2 2" xfId="368"/>
    <cellStyle name="Обычный 3 8 2 2 2" xfId="741"/>
    <cellStyle name="Обычный 3 8 2 2 2 2" xfId="2648"/>
    <cellStyle name="Обычный 3 8 2 2 2 3" xfId="1662"/>
    <cellStyle name="Обычный 3 8 2 2 3" xfId="2284"/>
    <cellStyle name="Обычный 3 8 2 2 4" xfId="1298"/>
    <cellStyle name="Обычный 3 8 2 3" xfId="555"/>
    <cellStyle name="Обычный 3 8 2 3 2" xfId="2466"/>
    <cellStyle name="Обычный 3 8 2 3 3" xfId="1480"/>
    <cellStyle name="Обычный 3 8 2 4" xfId="2108"/>
    <cellStyle name="Обычный 3 8 2 5" xfId="1122"/>
    <cellStyle name="Обычный 3 8 3" xfId="275"/>
    <cellStyle name="Обычный 3 8 3 2" xfId="648"/>
    <cellStyle name="Обычный 3 8 3 2 2" xfId="2555"/>
    <cellStyle name="Обычный 3 8 3 2 3" xfId="1569"/>
    <cellStyle name="Обычный 3 8 3 3" xfId="2195"/>
    <cellStyle name="Обычный 3 8 3 4" xfId="1209"/>
    <cellStyle name="Обычный 3 8 4" xfId="462"/>
    <cellStyle name="Обычный 3 8 4 2" xfId="2373"/>
    <cellStyle name="Обычный 3 8 4 3" xfId="1387"/>
    <cellStyle name="Обычный 3 8 5" xfId="2029"/>
    <cellStyle name="Обычный 3 8 6" xfId="1043"/>
    <cellStyle name="Обычный 3 9" xfId="138"/>
    <cellStyle name="Обычный 3 9 2" xfId="325"/>
    <cellStyle name="Обычный 3 9 2 2" xfId="698"/>
    <cellStyle name="Обычный 3 9 2 2 2" xfId="2605"/>
    <cellStyle name="Обычный 3 9 2 2 3" xfId="1619"/>
    <cellStyle name="Обычный 3 9 2 3" xfId="2243"/>
    <cellStyle name="Обычный 3 9 2 4" xfId="1257"/>
    <cellStyle name="Обычный 3 9 3" xfId="512"/>
    <cellStyle name="Обычный 3 9 3 2" xfId="2423"/>
    <cellStyle name="Обычный 3 9 3 3" xfId="1437"/>
    <cellStyle name="Обычный 3 9 4" xfId="2069"/>
    <cellStyle name="Обычный 3 9 5" xfId="1083"/>
    <cellStyle name="Обычный 30" xfId="1798"/>
    <cellStyle name="Обычный 30 2" xfId="2718"/>
    <cellStyle name="Обычный 31" xfId="807"/>
    <cellStyle name="Обычный 32" xfId="1802"/>
    <cellStyle name="Обычный 33" xfId="2763"/>
    <cellStyle name="Обычный 34" xfId="2"/>
    <cellStyle name="Обычный 4" xfId="38"/>
    <cellStyle name="Обычный 4 10" xfId="871"/>
    <cellStyle name="Обычный 4 10 2" xfId="964"/>
    <cellStyle name="Обычный 4 10 2 2" xfId="1958"/>
    <cellStyle name="Обычный 4 10 3" xfId="1713"/>
    <cellStyle name="Обычный 4 10 4" xfId="1865"/>
    <cellStyle name="Обычный 4 11" xfId="877"/>
    <cellStyle name="Обычный 4 11 2" xfId="970"/>
    <cellStyle name="Обычный 4 11 2 2" xfId="1964"/>
    <cellStyle name="Обычный 4 11 3" xfId="1871"/>
    <cellStyle name="Обычный 4 12" xfId="883"/>
    <cellStyle name="Обычный 4 12 2" xfId="976"/>
    <cellStyle name="Обычный 4 12 2 2" xfId="1970"/>
    <cellStyle name="Обычный 4 12 3" xfId="1877"/>
    <cellStyle name="Обычный 4 13" xfId="893"/>
    <cellStyle name="Обычный 4 13 2" xfId="986"/>
    <cellStyle name="Обычный 4 13 2 2" xfId="1980"/>
    <cellStyle name="Обычный 4 13 3" xfId="1887"/>
    <cellStyle name="Обычный 4 14" xfId="898"/>
    <cellStyle name="Обычный 4 14 2" xfId="991"/>
    <cellStyle name="Обычный 4 14 2 2" xfId="1985"/>
    <cellStyle name="Обычный 4 14 3" xfId="1892"/>
    <cellStyle name="Обычный 4 15" xfId="910"/>
    <cellStyle name="Обычный 4 15 2" xfId="1904"/>
    <cellStyle name="Обычный 4 16" xfId="904"/>
    <cellStyle name="Обычный 4 16 2" xfId="1898"/>
    <cellStyle name="Обычный 4 17" xfId="997"/>
    <cellStyle name="Обычный 4 17 2" xfId="1991"/>
    <cellStyle name="Обычный 4 18" xfId="819"/>
    <cellStyle name="Обычный 4 18 2" xfId="1813"/>
    <cellStyle name="Обычный 4 19" xfId="1807"/>
    <cellStyle name="Обычный 4 2" xfId="39"/>
    <cellStyle name="Обычный 4 2 2" xfId="916"/>
    <cellStyle name="Обычный 4 2 2 2" xfId="1910"/>
    <cellStyle name="Обычный 4 2 3" xfId="1017"/>
    <cellStyle name="Обычный 4 2 4" xfId="1819"/>
    <cellStyle name="Обычный 4 2 5" xfId="825"/>
    <cellStyle name="Обычный 4 20" xfId="2759"/>
    <cellStyle name="Обычный 4 21" xfId="2782"/>
    <cellStyle name="Обычный 4 22" xfId="2804"/>
    <cellStyle name="Обычный 4 23" xfId="812"/>
    <cellStyle name="Обычный 4 3" xfId="40"/>
    <cellStyle name="Обычный 4 3 2" xfId="69"/>
    <cellStyle name="Обычный 4 3 2 2" xfId="114"/>
    <cellStyle name="Обычный 4 3 2 2 2" xfId="208"/>
    <cellStyle name="Обычный 4 3 2 2 2 2" xfId="395"/>
    <cellStyle name="Обычный 4 3 2 2 2 2 2" xfId="768"/>
    <cellStyle name="Обычный 4 3 2 2 2 2 2 2" xfId="2675"/>
    <cellStyle name="Обычный 4 3 2 2 2 2 2 3" xfId="1689"/>
    <cellStyle name="Обычный 4 3 2 2 2 2 3" xfId="2311"/>
    <cellStyle name="Обычный 4 3 2 2 2 2 4" xfId="1325"/>
    <cellStyle name="Обычный 4 3 2 2 2 3" xfId="582"/>
    <cellStyle name="Обычный 4 3 2 2 2 3 2" xfId="2493"/>
    <cellStyle name="Обычный 4 3 2 2 2 3 3" xfId="1507"/>
    <cellStyle name="Обычный 4 3 2 2 2 4" xfId="2134"/>
    <cellStyle name="Обычный 4 3 2 2 2 5" xfId="1148"/>
    <cellStyle name="Обычный 4 3 2 2 3" xfId="302"/>
    <cellStyle name="Обычный 4 3 2 2 3 2" xfId="675"/>
    <cellStyle name="Обычный 4 3 2 2 3 2 2" xfId="2582"/>
    <cellStyle name="Обычный 4 3 2 2 3 2 3" xfId="1596"/>
    <cellStyle name="Обычный 4 3 2 2 3 3" xfId="2222"/>
    <cellStyle name="Обычный 4 3 2 2 3 4" xfId="1236"/>
    <cellStyle name="Обычный 4 3 2 2 4" xfId="489"/>
    <cellStyle name="Обычный 4 3 2 2 4 2" xfId="2400"/>
    <cellStyle name="Обычный 4 3 2 2 4 3" xfId="1414"/>
    <cellStyle name="Обычный 4 3 2 2 5" xfId="2051"/>
    <cellStyle name="Обычный 4 3 2 2 6" xfId="1065"/>
    <cellStyle name="Обычный 4 3 2 3" xfId="166"/>
    <cellStyle name="Обычный 4 3 2 3 2" xfId="353"/>
    <cellStyle name="Обычный 4 3 2 3 2 2" xfId="726"/>
    <cellStyle name="Обычный 4 3 2 3 2 2 2" xfId="2633"/>
    <cellStyle name="Обычный 4 3 2 3 2 2 3" xfId="1647"/>
    <cellStyle name="Обычный 4 3 2 3 2 3" xfId="2270"/>
    <cellStyle name="Обычный 4 3 2 3 2 4" xfId="1284"/>
    <cellStyle name="Обычный 4 3 2 3 3" xfId="540"/>
    <cellStyle name="Обычный 4 3 2 3 3 2" xfId="2451"/>
    <cellStyle name="Обычный 4 3 2 3 3 3" xfId="1465"/>
    <cellStyle name="Обычный 4 3 2 3 4" xfId="2096"/>
    <cellStyle name="Обычный 4 3 2 3 5" xfId="1110"/>
    <cellStyle name="Обычный 4 3 2 4" xfId="260"/>
    <cellStyle name="Обычный 4 3 2 4 2" xfId="633"/>
    <cellStyle name="Обычный 4 3 2 4 2 2" xfId="2541"/>
    <cellStyle name="Обычный 4 3 2 4 2 3" xfId="1555"/>
    <cellStyle name="Обычный 4 3 2 4 3" xfId="2181"/>
    <cellStyle name="Обычный 4 3 2 4 4" xfId="1195"/>
    <cellStyle name="Обычный 4 3 2 5" xfId="447"/>
    <cellStyle name="Обычный 4 3 2 5 2" xfId="2359"/>
    <cellStyle name="Обычный 4 3 2 5 3" xfId="1373"/>
    <cellStyle name="Обычный 4 3 2 6" xfId="1915"/>
    <cellStyle name="Обычный 4 3 2 7" xfId="921"/>
    <cellStyle name="Обычный 4 3 3" xfId="94"/>
    <cellStyle name="Обычный 4 3 3 2" xfId="188"/>
    <cellStyle name="Обычный 4 3 3 2 2" xfId="375"/>
    <cellStyle name="Обычный 4 3 3 2 2 2" xfId="748"/>
    <cellStyle name="Обычный 4 3 3 2 2 2 2" xfId="2655"/>
    <cellStyle name="Обычный 4 3 3 2 2 2 3" xfId="1669"/>
    <cellStyle name="Обычный 4 3 3 2 2 3" xfId="2291"/>
    <cellStyle name="Обычный 4 3 3 2 2 4" xfId="1305"/>
    <cellStyle name="Обычный 4 3 3 2 3" xfId="562"/>
    <cellStyle name="Обычный 4 3 3 2 3 2" xfId="2473"/>
    <cellStyle name="Обычный 4 3 3 2 3 3" xfId="1487"/>
    <cellStyle name="Обычный 4 3 3 2 4" xfId="2114"/>
    <cellStyle name="Обычный 4 3 3 2 5" xfId="1128"/>
    <cellStyle name="Обычный 4 3 3 3" xfId="282"/>
    <cellStyle name="Обычный 4 3 3 3 2" xfId="655"/>
    <cellStyle name="Обычный 4 3 3 3 2 2" xfId="2562"/>
    <cellStyle name="Обычный 4 3 3 3 2 3" xfId="1576"/>
    <cellStyle name="Обычный 4 3 3 3 3" xfId="2202"/>
    <cellStyle name="Обычный 4 3 3 3 4" xfId="1216"/>
    <cellStyle name="Обычный 4 3 3 4" xfId="469"/>
    <cellStyle name="Обычный 4 3 3 4 2" xfId="2380"/>
    <cellStyle name="Обычный 4 3 3 4 3" xfId="1394"/>
    <cellStyle name="Обычный 4 3 3 5" xfId="2035"/>
    <cellStyle name="Обычный 4 3 3 6" xfId="1049"/>
    <cellStyle name="Обычный 4 3 4" xfId="145"/>
    <cellStyle name="Обычный 4 3 4 2" xfId="332"/>
    <cellStyle name="Обычный 4 3 4 2 2" xfId="705"/>
    <cellStyle name="Обычный 4 3 4 2 2 2" xfId="2612"/>
    <cellStyle name="Обычный 4 3 4 2 2 3" xfId="1626"/>
    <cellStyle name="Обычный 4 3 4 2 3" xfId="2249"/>
    <cellStyle name="Обычный 4 3 4 2 4" xfId="1263"/>
    <cellStyle name="Обычный 4 3 4 3" xfId="519"/>
    <cellStyle name="Обычный 4 3 4 3 2" xfId="2430"/>
    <cellStyle name="Обычный 4 3 4 3 3" xfId="1444"/>
    <cellStyle name="Обычный 4 3 4 4" xfId="2075"/>
    <cellStyle name="Обычный 4 3 4 5" xfId="1089"/>
    <cellStyle name="Обычный 4 3 5" xfId="239"/>
    <cellStyle name="Обычный 4 3 5 2" xfId="612"/>
    <cellStyle name="Обычный 4 3 5 2 2" xfId="2520"/>
    <cellStyle name="Обычный 4 3 5 2 3" xfId="1534"/>
    <cellStyle name="Обычный 4 3 5 3" xfId="2160"/>
    <cellStyle name="Обычный 4 3 5 4" xfId="1174"/>
    <cellStyle name="Обычный 4 3 6" xfId="426"/>
    <cellStyle name="Обычный 4 3 6 2" xfId="2338"/>
    <cellStyle name="Обычный 4 3 6 3" xfId="1352"/>
    <cellStyle name="Обычный 4 3 7" xfId="1759"/>
    <cellStyle name="Обычный 4 3 7 2" xfId="2699"/>
    <cellStyle name="Обычный 4 3 8" xfId="1823"/>
    <cellStyle name="Обычный 4 3 9" xfId="829"/>
    <cellStyle name="Обычный 4 4" xfId="41"/>
    <cellStyle name="Обычный 4 4 2" xfId="70"/>
    <cellStyle name="Обычный 4 4 2 2" xfId="115"/>
    <cellStyle name="Обычный 4 4 2 2 2" xfId="209"/>
    <cellStyle name="Обычный 4 4 2 2 2 2" xfId="396"/>
    <cellStyle name="Обычный 4 4 2 2 2 2 2" xfId="769"/>
    <cellStyle name="Обычный 4 4 2 2 2 2 2 2" xfId="2676"/>
    <cellStyle name="Обычный 4 4 2 2 2 2 2 3" xfId="1690"/>
    <cellStyle name="Обычный 4 4 2 2 2 2 3" xfId="2312"/>
    <cellStyle name="Обычный 4 4 2 2 2 2 4" xfId="1326"/>
    <cellStyle name="Обычный 4 4 2 2 2 3" xfId="583"/>
    <cellStyle name="Обычный 4 4 2 2 2 3 2" xfId="2494"/>
    <cellStyle name="Обычный 4 4 2 2 2 3 3" xfId="1508"/>
    <cellStyle name="Обычный 4 4 2 2 2 4" xfId="2135"/>
    <cellStyle name="Обычный 4 4 2 2 2 5" xfId="1149"/>
    <cellStyle name="Обычный 4 4 2 2 3" xfId="303"/>
    <cellStyle name="Обычный 4 4 2 2 3 2" xfId="676"/>
    <cellStyle name="Обычный 4 4 2 2 3 2 2" xfId="2583"/>
    <cellStyle name="Обычный 4 4 2 2 3 2 3" xfId="1597"/>
    <cellStyle name="Обычный 4 4 2 2 3 3" xfId="2223"/>
    <cellStyle name="Обычный 4 4 2 2 3 4" xfId="1237"/>
    <cellStyle name="Обычный 4 4 2 2 4" xfId="490"/>
    <cellStyle name="Обычный 4 4 2 2 4 2" xfId="2401"/>
    <cellStyle name="Обычный 4 4 2 2 4 3" xfId="1415"/>
    <cellStyle name="Обычный 4 4 2 2 5" xfId="2052"/>
    <cellStyle name="Обычный 4 4 2 2 6" xfId="1066"/>
    <cellStyle name="Обычный 4 4 2 3" xfId="167"/>
    <cellStyle name="Обычный 4 4 2 3 2" xfId="354"/>
    <cellStyle name="Обычный 4 4 2 3 2 2" xfId="727"/>
    <cellStyle name="Обычный 4 4 2 3 2 2 2" xfId="2634"/>
    <cellStyle name="Обычный 4 4 2 3 2 2 3" xfId="1648"/>
    <cellStyle name="Обычный 4 4 2 3 2 3" xfId="2271"/>
    <cellStyle name="Обычный 4 4 2 3 2 4" xfId="1285"/>
    <cellStyle name="Обычный 4 4 2 3 3" xfId="541"/>
    <cellStyle name="Обычный 4 4 2 3 3 2" xfId="2452"/>
    <cellStyle name="Обычный 4 4 2 3 3 3" xfId="1466"/>
    <cellStyle name="Обычный 4 4 2 3 4" xfId="2097"/>
    <cellStyle name="Обычный 4 4 2 3 5" xfId="1111"/>
    <cellStyle name="Обычный 4 4 2 4" xfId="261"/>
    <cellStyle name="Обычный 4 4 2 4 2" xfId="634"/>
    <cellStyle name="Обычный 4 4 2 4 2 2" xfId="2542"/>
    <cellStyle name="Обычный 4 4 2 4 2 3" xfId="1556"/>
    <cellStyle name="Обычный 4 4 2 4 3" xfId="2182"/>
    <cellStyle name="Обычный 4 4 2 4 4" xfId="1196"/>
    <cellStyle name="Обычный 4 4 2 5" xfId="448"/>
    <cellStyle name="Обычный 4 4 2 5 2" xfId="2360"/>
    <cellStyle name="Обычный 4 4 2 5 3" xfId="1374"/>
    <cellStyle name="Обычный 4 4 2 6" xfId="1922"/>
    <cellStyle name="Обычный 4 4 2 7" xfId="928"/>
    <cellStyle name="Обычный 4 4 3" xfId="95"/>
    <cellStyle name="Обычный 4 4 3 2" xfId="189"/>
    <cellStyle name="Обычный 4 4 3 2 2" xfId="376"/>
    <cellStyle name="Обычный 4 4 3 2 2 2" xfId="749"/>
    <cellStyle name="Обычный 4 4 3 2 2 2 2" xfId="2656"/>
    <cellStyle name="Обычный 4 4 3 2 2 2 3" xfId="1670"/>
    <cellStyle name="Обычный 4 4 3 2 2 3" xfId="2292"/>
    <cellStyle name="Обычный 4 4 3 2 2 4" xfId="1306"/>
    <cellStyle name="Обычный 4 4 3 2 3" xfId="563"/>
    <cellStyle name="Обычный 4 4 3 2 3 2" xfId="2474"/>
    <cellStyle name="Обычный 4 4 3 2 3 3" xfId="1488"/>
    <cellStyle name="Обычный 4 4 3 2 4" xfId="2115"/>
    <cellStyle name="Обычный 4 4 3 2 5" xfId="1129"/>
    <cellStyle name="Обычный 4 4 3 3" xfId="283"/>
    <cellStyle name="Обычный 4 4 3 3 2" xfId="656"/>
    <cellStyle name="Обычный 4 4 3 3 2 2" xfId="2563"/>
    <cellStyle name="Обычный 4 4 3 3 2 3" xfId="1577"/>
    <cellStyle name="Обычный 4 4 3 3 3" xfId="2203"/>
    <cellStyle name="Обычный 4 4 3 3 4" xfId="1217"/>
    <cellStyle name="Обычный 4 4 3 4" xfId="470"/>
    <cellStyle name="Обычный 4 4 3 4 2" xfId="2381"/>
    <cellStyle name="Обычный 4 4 3 4 3" xfId="1395"/>
    <cellStyle name="Обычный 4 4 3 5" xfId="2036"/>
    <cellStyle name="Обычный 4 4 3 6" xfId="1050"/>
    <cellStyle name="Обычный 4 4 4" xfId="146"/>
    <cellStyle name="Обычный 4 4 4 2" xfId="333"/>
    <cellStyle name="Обычный 4 4 4 2 2" xfId="706"/>
    <cellStyle name="Обычный 4 4 4 2 2 2" xfId="2613"/>
    <cellStyle name="Обычный 4 4 4 2 2 3" xfId="1627"/>
    <cellStyle name="Обычный 4 4 4 2 3" xfId="2250"/>
    <cellStyle name="Обычный 4 4 4 2 4" xfId="1264"/>
    <cellStyle name="Обычный 4 4 4 3" xfId="520"/>
    <cellStyle name="Обычный 4 4 4 3 2" xfId="2431"/>
    <cellStyle name="Обычный 4 4 4 3 3" xfId="1445"/>
    <cellStyle name="Обычный 4 4 4 4" xfId="2076"/>
    <cellStyle name="Обычный 4 4 4 5" xfId="1090"/>
    <cellStyle name="Обычный 4 4 5" xfId="240"/>
    <cellStyle name="Обычный 4 4 5 2" xfId="613"/>
    <cellStyle name="Обычный 4 4 5 2 2" xfId="2521"/>
    <cellStyle name="Обычный 4 4 5 2 3" xfId="1535"/>
    <cellStyle name="Обычный 4 4 5 3" xfId="2161"/>
    <cellStyle name="Обычный 4 4 5 4" xfId="1175"/>
    <cellStyle name="Обычный 4 4 6" xfId="427"/>
    <cellStyle name="Обычный 4 4 6 2" xfId="2339"/>
    <cellStyle name="Обычный 4 4 6 3" xfId="1353"/>
    <cellStyle name="Обычный 4 4 7" xfId="1779"/>
    <cellStyle name="Обычный 4 4 8" xfId="1829"/>
    <cellStyle name="Обычный 4 4 9" xfId="835"/>
    <cellStyle name="Обычный 4 5" xfId="68"/>
    <cellStyle name="Обычный 4 5 2" xfId="113"/>
    <cellStyle name="Обычный 4 5 2 2" xfId="207"/>
    <cellStyle name="Обычный 4 5 2 2 2" xfId="394"/>
    <cellStyle name="Обычный 4 5 2 2 2 2" xfId="767"/>
    <cellStyle name="Обычный 4 5 2 2 2 2 2" xfId="2674"/>
    <cellStyle name="Обычный 4 5 2 2 2 2 3" xfId="1688"/>
    <cellStyle name="Обычный 4 5 2 2 2 3" xfId="2310"/>
    <cellStyle name="Обычный 4 5 2 2 2 4" xfId="1324"/>
    <cellStyle name="Обычный 4 5 2 2 3" xfId="581"/>
    <cellStyle name="Обычный 4 5 2 2 3 2" xfId="2492"/>
    <cellStyle name="Обычный 4 5 2 2 3 3" xfId="1506"/>
    <cellStyle name="Обычный 4 5 2 2 4" xfId="2133"/>
    <cellStyle name="Обычный 4 5 2 2 5" xfId="1147"/>
    <cellStyle name="Обычный 4 5 2 3" xfId="301"/>
    <cellStyle name="Обычный 4 5 2 3 2" xfId="674"/>
    <cellStyle name="Обычный 4 5 2 3 2 2" xfId="2581"/>
    <cellStyle name="Обычный 4 5 2 3 2 3" xfId="1595"/>
    <cellStyle name="Обычный 4 5 2 3 3" xfId="2221"/>
    <cellStyle name="Обычный 4 5 2 3 4" xfId="1235"/>
    <cellStyle name="Обычный 4 5 2 4" xfId="488"/>
    <cellStyle name="Обычный 4 5 2 4 2" xfId="2399"/>
    <cellStyle name="Обычный 4 5 2 4 3" xfId="1413"/>
    <cellStyle name="Обычный 4 5 2 5" xfId="1928"/>
    <cellStyle name="Обычный 4 5 2 6" xfId="934"/>
    <cellStyle name="Обычный 4 5 3" xfId="165"/>
    <cellStyle name="Обычный 4 5 3 2" xfId="352"/>
    <cellStyle name="Обычный 4 5 3 2 2" xfId="725"/>
    <cellStyle name="Обычный 4 5 3 2 2 2" xfId="2632"/>
    <cellStyle name="Обычный 4 5 3 2 2 3" xfId="1646"/>
    <cellStyle name="Обычный 4 5 3 2 3" xfId="2269"/>
    <cellStyle name="Обычный 4 5 3 2 4" xfId="1283"/>
    <cellStyle name="Обычный 4 5 3 3" xfId="539"/>
    <cellStyle name="Обычный 4 5 3 3 2" xfId="2450"/>
    <cellStyle name="Обычный 4 5 3 3 3" xfId="1464"/>
    <cellStyle name="Обычный 4 5 3 4" xfId="2095"/>
    <cellStyle name="Обычный 4 5 3 5" xfId="1109"/>
    <cellStyle name="Обычный 4 5 4" xfId="259"/>
    <cellStyle name="Обычный 4 5 4 2" xfId="632"/>
    <cellStyle name="Обычный 4 5 4 2 2" xfId="2540"/>
    <cellStyle name="Обычный 4 5 4 2 3" xfId="1554"/>
    <cellStyle name="Обычный 4 5 4 3" xfId="2180"/>
    <cellStyle name="Обычный 4 5 4 4" xfId="1194"/>
    <cellStyle name="Обычный 4 5 5" xfId="446"/>
    <cellStyle name="Обычный 4 5 5 2" xfId="2358"/>
    <cellStyle name="Обычный 4 5 5 3" xfId="1372"/>
    <cellStyle name="Обычный 4 5 6" xfId="1789"/>
    <cellStyle name="Обычный 4 5 6 2" xfId="2713"/>
    <cellStyle name="Обычный 4 5 7" xfId="1835"/>
    <cellStyle name="Обычный 4 5 8" xfId="841"/>
    <cellStyle name="Обычный 4 6" xfId="93"/>
    <cellStyle name="Обычный 4 6 2" xfId="187"/>
    <cellStyle name="Обычный 4 6 2 2" xfId="374"/>
    <cellStyle name="Обычный 4 6 2 2 2" xfId="747"/>
    <cellStyle name="Обычный 4 6 2 2 2 2" xfId="2654"/>
    <cellStyle name="Обычный 4 6 2 2 2 3" xfId="1668"/>
    <cellStyle name="Обычный 4 6 2 2 3" xfId="2290"/>
    <cellStyle name="Обычный 4 6 2 2 4" xfId="1304"/>
    <cellStyle name="Обычный 4 6 2 3" xfId="561"/>
    <cellStyle name="Обычный 4 6 2 3 2" xfId="2472"/>
    <cellStyle name="Обычный 4 6 2 3 3" xfId="1486"/>
    <cellStyle name="Обычный 4 6 2 4" xfId="1934"/>
    <cellStyle name="Обычный 4 6 2 5" xfId="940"/>
    <cellStyle name="Обычный 4 6 3" xfId="281"/>
    <cellStyle name="Обычный 4 6 3 2" xfId="654"/>
    <cellStyle name="Обычный 4 6 3 2 2" xfId="2561"/>
    <cellStyle name="Обычный 4 6 3 2 3" xfId="1575"/>
    <cellStyle name="Обычный 4 6 3 3" xfId="2201"/>
    <cellStyle name="Обычный 4 6 3 4" xfId="1215"/>
    <cellStyle name="Обычный 4 6 4" xfId="468"/>
    <cellStyle name="Обычный 4 6 4 2" xfId="2379"/>
    <cellStyle name="Обычный 4 6 4 3" xfId="1393"/>
    <cellStyle name="Обычный 4 6 5" xfId="1841"/>
    <cellStyle name="Обычный 4 6 6" xfId="847"/>
    <cellStyle name="Обычный 4 7" xfId="144"/>
    <cellStyle name="Обычный 4 7 2" xfId="331"/>
    <cellStyle name="Обычный 4 7 2 2" xfId="704"/>
    <cellStyle name="Обычный 4 7 2 2 2" xfId="2611"/>
    <cellStyle name="Обычный 4 7 2 2 3" xfId="1625"/>
    <cellStyle name="Обычный 4 7 2 3" xfId="1940"/>
    <cellStyle name="Обычный 4 7 2 4" xfId="946"/>
    <cellStyle name="Обычный 4 7 3" xfId="518"/>
    <cellStyle name="Обычный 4 7 3 2" xfId="2429"/>
    <cellStyle name="Обычный 4 7 3 3" xfId="1443"/>
    <cellStyle name="Обычный 4 7 4" xfId="1847"/>
    <cellStyle name="Обычный 4 7 5" xfId="853"/>
    <cellStyle name="Обычный 4 8" xfId="238"/>
    <cellStyle name="Обычный 4 8 2" xfId="611"/>
    <cellStyle name="Обычный 4 8 2 2" xfId="1946"/>
    <cellStyle name="Обычный 4 8 2 3" xfId="952"/>
    <cellStyle name="Обычный 4 8 3" xfId="1853"/>
    <cellStyle name="Обычный 4 8 4" xfId="859"/>
    <cellStyle name="Обычный 4 9" xfId="425"/>
    <cellStyle name="Обычный 4 9 2" xfId="958"/>
    <cellStyle name="Обычный 4 9 2 2" xfId="1952"/>
    <cellStyle name="Обычный 4 9 3" xfId="1859"/>
    <cellStyle name="Обычный 4 9 4" xfId="865"/>
    <cellStyle name="Обычный 5" xfId="42"/>
    <cellStyle name="Обычный 5 10" xfId="888"/>
    <cellStyle name="Обычный 5 2" xfId="981"/>
    <cellStyle name="Обычный 5 2 2" xfId="1975"/>
    <cellStyle name="Обычный 5 3" xfId="1720"/>
    <cellStyle name="Обычный 5 4" xfId="1758"/>
    <cellStyle name="Обычный 5 5" xfId="1714"/>
    <cellStyle name="Обычный 5 5 2" xfId="2695"/>
    <cellStyle name="Обычный 5 6" xfId="1799"/>
    <cellStyle name="Обычный 5 7" xfId="1018"/>
    <cellStyle name="Обычный 5 8" xfId="1882"/>
    <cellStyle name="Обычный 5 9" xfId="2784"/>
    <cellStyle name="Обычный 6" xfId="43"/>
    <cellStyle name="Обычный 6 2" xfId="995"/>
    <cellStyle name="Обычный 6 2 2" xfId="1721"/>
    <cellStyle name="Обычный 6 2 3" xfId="1989"/>
    <cellStyle name="Обычный 6 3" xfId="1715"/>
    <cellStyle name="Обычный 6 4" xfId="1019"/>
    <cellStyle name="Обычный 6 5" xfId="1896"/>
    <cellStyle name="Обычный 6 6" xfId="902"/>
    <cellStyle name="Обычный 7" xfId="44"/>
    <cellStyle name="Обычный 7 2" xfId="1782"/>
    <cellStyle name="Обычный 7 3" xfId="1768"/>
    <cellStyle name="Обычный 8" xfId="45"/>
    <cellStyle name="Обычный 8 2" xfId="1762"/>
    <cellStyle name="Обычный 8 3" xfId="1783"/>
    <cellStyle name="Обычный 8 4" xfId="1769"/>
    <cellStyle name="Обычный 9" xfId="46"/>
    <cellStyle name="Параметр" xfId="1747"/>
    <cellStyle name="ПеременныеСметы" xfId="1748"/>
    <cellStyle name="Пояснение 2" xfId="1761"/>
    <cellStyle name="Процентный 2" xfId="47"/>
    <cellStyle name="Процентный 2 2" xfId="1794"/>
    <cellStyle name="Процентный 3" xfId="72"/>
    <cellStyle name="РесСмета" xfId="1749"/>
    <cellStyle name="СводкаСтоимРаб" xfId="1750"/>
    <cellStyle name="СводРасч" xfId="1751"/>
    <cellStyle name="Стиль 1" xfId="1728"/>
    <cellStyle name="Титул" xfId="1752"/>
    <cellStyle name="Финансовый 2" xfId="125"/>
    <cellStyle name="Финансовый 2 2" xfId="126"/>
    <cellStyle name="Финансовый 2 2 2" xfId="220"/>
    <cellStyle name="Финансовый 2 2 2 2" xfId="407"/>
    <cellStyle name="Финансовый 2 2 2 2 2" xfId="780"/>
    <cellStyle name="Финансовый 2 2 2 2 2 2" xfId="2687"/>
    <cellStyle name="Финансовый 2 2 2 2 2 3" xfId="1701"/>
    <cellStyle name="Финансовый 2 2 2 2 3" xfId="2323"/>
    <cellStyle name="Финансовый 2 2 2 2 4" xfId="1337"/>
    <cellStyle name="Финансовый 2 2 2 3" xfId="594"/>
    <cellStyle name="Финансовый 2 2 2 3 2" xfId="2505"/>
    <cellStyle name="Финансовый 2 2 2 3 3" xfId="1519"/>
    <cellStyle name="Финансовый 2 2 2 4" xfId="2145"/>
    <cellStyle name="Финансовый 2 2 2 5" xfId="1159"/>
    <cellStyle name="Финансовый 2 2 3" xfId="314"/>
    <cellStyle name="Финансовый 2 2 3 2" xfId="687"/>
    <cellStyle name="Финансовый 2 2 3 2 2" xfId="2594"/>
    <cellStyle name="Финансовый 2 2 3 2 3" xfId="1608"/>
    <cellStyle name="Финансовый 2 2 3 3" xfId="2234"/>
    <cellStyle name="Финансовый 2 2 3 4" xfId="1248"/>
    <cellStyle name="Финансовый 2 2 4" xfId="501"/>
    <cellStyle name="Финансовый 2 2 4 2" xfId="2412"/>
    <cellStyle name="Финансовый 2 2 4 3" xfId="1426"/>
    <cellStyle name="Финансовый 2 2 5" xfId="1722"/>
    <cellStyle name="Финансовый 2 2 6" xfId="2060"/>
    <cellStyle name="Финансовый 2 2 7" xfId="1074"/>
    <cellStyle name="Финансовый 2 3" xfId="219"/>
    <cellStyle name="Финансовый 2 3 2" xfId="406"/>
    <cellStyle name="Финансовый 2 3 2 2" xfId="779"/>
    <cellStyle name="Финансовый 2 3 2 2 2" xfId="2686"/>
    <cellStyle name="Финансовый 2 3 2 2 3" xfId="1700"/>
    <cellStyle name="Финансовый 2 3 2 3" xfId="1757"/>
    <cellStyle name="Финансовый 2 3 2 3 2" xfId="2698"/>
    <cellStyle name="Финансовый 2 3 2 4" xfId="2322"/>
    <cellStyle name="Финансовый 2 3 2 5" xfId="1336"/>
    <cellStyle name="Финансовый 2 3 3" xfId="593"/>
    <cellStyle name="Финансовый 2 3 3 2" xfId="2504"/>
    <cellStyle name="Финансовый 2 3 3 3" xfId="1518"/>
    <cellStyle name="Финансовый 2 3 4" xfId="1756"/>
    <cellStyle name="Финансовый 2 3 4 2" xfId="2697"/>
    <cellStyle name="Финансовый 2 3 5" xfId="2144"/>
    <cellStyle name="Финансовый 2 3 6" xfId="1158"/>
    <cellStyle name="Финансовый 2 4" xfId="313"/>
    <cellStyle name="Финансовый 2 4 2" xfId="686"/>
    <cellStyle name="Финансовый 2 4 2 2" xfId="2593"/>
    <cellStyle name="Финансовый 2 4 2 3" xfId="1607"/>
    <cellStyle name="Финансовый 2 4 3" xfId="1785"/>
    <cellStyle name="Финансовый 2 4 3 2" xfId="2710"/>
    <cellStyle name="Финансовый 2 4 4" xfId="2233"/>
    <cellStyle name="Финансовый 2 4 5" xfId="1247"/>
    <cellStyle name="Финансовый 2 5" xfId="500"/>
    <cellStyle name="Финансовый 2 5 2" xfId="2411"/>
    <cellStyle name="Финансовый 2 5 3" xfId="1425"/>
    <cellStyle name="Финансовый 2 6" xfId="1730"/>
    <cellStyle name="Финансовый 2 6 2" xfId="2696"/>
    <cellStyle name="Финансовый 2 7" xfId="2059"/>
    <cellStyle name="Финансовый 2 8" xfId="1073"/>
    <cellStyle name="Финансовый 2 9" xfId="792"/>
    <cellStyle name="Финансовый 3" xfId="1729"/>
    <cellStyle name="Финансовый 4" xfId="1753"/>
    <cellStyle name="Финансовый 5" xfId="1002"/>
    <cellStyle name="Финансовый 6" xfId="1996"/>
    <cellStyle name="Финансовый 7" xfId="803"/>
    <cellStyle name="Хвост" xfId="1754"/>
    <cellStyle name="Экспертиза" xfId="1755"/>
    <cellStyle name="뒤에 오는 하이퍼링크_LL1200040001_1" xfId="2742"/>
    <cellStyle name="콤마 [0]_Book1" xfId="2743"/>
    <cellStyle name="콤마_Book1" xfId="2744"/>
    <cellStyle name="표준 2" xfId="2745"/>
    <cellStyle name="표준_NM-5561V-100-0030-151-R8" xfId="2746"/>
  </cellStyles>
  <dxfs count="73"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fill>
        <patternFill patternType="solid">
          <bgColor rgb="FFC00000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A5A5A5"/>
        </patternFill>
      </fill>
    </dxf>
    <dxf>
      <fill>
        <patternFill patternType="solid">
          <bgColor rgb="FFC00000"/>
        </patternFill>
      </fill>
    </dxf>
    <dxf>
      <fill>
        <patternFill>
          <bgColor theme="4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color auto="1"/>
        <name val="Calibri"/>
        <scheme val="minor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4"/>
        </right>
      </border>
    </dxf>
    <dxf>
      <font>
        <strike val="0"/>
        <outline val="0"/>
        <shadow val="0"/>
        <u val="none"/>
        <color auto="1"/>
        <name val="Calibri"/>
        <scheme val="minor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theme="4"/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CC0000"/>
      <color rgb="FFFF0000"/>
      <color rgb="FFA5A5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9525</xdr:rowOff>
        </xdr:from>
        <xdr:to>
          <xdr:col>14</xdr:col>
          <xdr:colOff>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лист сварщика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16</xdr:row>
          <xdr:rowOff>190500</xdr:rowOff>
        </xdr:from>
        <xdr:to>
          <xdr:col>4</xdr:col>
          <xdr:colOff>0</xdr:colOff>
          <xdr:row>20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Разбить реестр по файлам организаций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9525</xdr:colOff>
          <xdr:row>13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резервную копию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Наименование подрядной организации" tableColumnId="1"/>
      <queryTableField id="2" name="ФИО сварщика" tableColumnId="2"/>
      <queryTableField id="3" name="Квалификационный разряд" tableColumnId="3"/>
      <queryTableField id="4" name="№ аттестационного удостоверения" tableColumnId="4"/>
      <queryTableField id="5" name="Срок действия аттестационного удостоверения" tableColumnId="5"/>
      <queryTableField id="6" name="Вид сварки" tableColumnId="6"/>
      <queryTableField id="7" name="Группы технических устройств" tableColumnId="7"/>
      <queryTableField id="8" name="Группа свариваемых материалов 2)" tableColumnId="8"/>
      <queryTableField id="9" name="Толщина деталей, мм" tableColumnId="9"/>
      <queryTableField id="10" name="Наружный диаметр, мм" tableColumnId="10"/>
      <queryTableField id="11" name="Результаты контроля сварки допускных (пробных) стыков" tableColumnId="11"/>
      <queryTableField id="12" name="Номер допускного листа, срок допуска к работе на объектах АО «Газпромнефть-ОНПЗ»" tableColumnId="12"/>
      <queryTableField id="13" name="Примечание" tableColumnId="1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таблРеестр" displayName="таблРеестр" ref="A2:AI66" totalsRowShown="0" headerRowDxfId="72" dataDxfId="71" tableBorderDxfId="70">
  <autoFilter ref="A2:AI66"/>
  <tableColumns count="35">
    <tableColumn id="1" name="X" dataDxfId="69"/>
    <tableColumn id="2" name="Наименование подрядной организации" dataDxfId="68"/>
    <tableColumn id="3" name="ФИО сварщика" dataDxfId="67"/>
    <tableColumn id="4" name="Квалификационный разряд" dataDxfId="66"/>
    <tableColumn id="5" name="Вид сварки" dataDxfId="65"/>
    <tableColumn id="6" name="№ аттестационного удостоверения" dataDxfId="64"/>
    <tableColumn id="7" name="Клеймо" dataDxfId="63"/>
    <tableColumn id="8" name="Дата выдачи удостоверения" dataDxfId="62"/>
    <tableColumn id="9" name="Срок действия аттестационного удостоверения" dataDxfId="61"/>
    <tableColumn id="10" name="Группы технических устройств" dataDxfId="60"/>
    <tableColumn id="11" name="Вид деталей" dataDxfId="59"/>
    <tableColumn id="12" name="Вид швов" dataDxfId="58"/>
    <tableColumn id="13" name="Группа свариваемых материалов 2)" dataDxfId="57"/>
    <tableColumn id="14" name="Толщина деталей, мм" dataDxfId="56"/>
    <tableColumn id="15" name="Наружный диаметр, мм" dataDxfId="55"/>
    <tableColumn id="16" name="Положение при сварке" dataDxfId="54"/>
    <tableColumn id="17" name="Сварочные маетериалы" dataDxfId="53"/>
    <tableColumn id="18" name="Вид соединения" dataDxfId="52"/>
    <tableColumn id="19" name="№ ВИК" dataDxfId="51"/>
    <tableColumn id="20" name="Дата ВИК" dataDxfId="50"/>
    <tableColumn id="21" name="№ РГК" dataDxfId="49"/>
    <tableColumn id="22" name="Дата РГК" dataDxfId="48"/>
    <tableColumn id="23" name="№МХК" dataDxfId="47"/>
    <tableColumn id="24" name="Дата МХК" dataDxfId="46"/>
    <tableColumn id="25" name="№ ДЛС" dataDxfId="45"/>
    <tableColumn id="26" name="Дата ДЛС" dataDxfId="44"/>
    <tableColumn id="27" name="Описание допускных стыков" dataDxfId="43"/>
    <tableColumn id="28" name="ВИК ДС" dataDxfId="42"/>
    <tableColumn id="29" name="РК ДС" dataDxfId="41"/>
    <tableColumn id="30" name="Вкладыш В1" dataDxfId="40"/>
    <tableColumn id="31" name="Дата вкладыш В1" dataDxfId="39"/>
    <tableColumn id="32" name="Вкладыш В2" dataDxfId="38"/>
    <tableColumn id="33" name="Дата Вкладыш В2" dataDxfId="37"/>
    <tableColumn id="34" name="Начальник ОТН" dataDxfId="36"/>
    <tableColumn id="35" name="Примечание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Сводная" displayName="таблСводная" ref="B1:N65" tableType="queryTable" totalsRowShown="0" headerRowDxfId="34" dataDxfId="33">
  <autoFilter ref="B1:N65"/>
  <tableColumns count="13">
    <tableColumn id="1" uniqueName="1" name="Наименование подрядной организации" queryTableFieldId="1" dataDxfId="12"/>
    <tableColumn id="2" uniqueName="2" name="ФИО сварщика" queryTableFieldId="2" dataDxfId="11"/>
    <tableColumn id="3" uniqueName="3" name="Квалификационный разряд" queryTableFieldId="3" dataDxfId="10"/>
    <tableColumn id="4" uniqueName="4" name="№ аттестационного удостоверения" queryTableFieldId="4" dataDxfId="9"/>
    <tableColumn id="5" uniqueName="5" name="Срок действия аттестационного удостоверения" queryTableFieldId="5" dataDxfId="8"/>
    <tableColumn id="6" uniqueName="6" name="Вид сварки" queryTableFieldId="6" dataDxfId="7"/>
    <tableColumn id="7" uniqueName="7" name="Группы технических устройств" queryTableFieldId="7" dataDxfId="6"/>
    <tableColumn id="8" uniqueName="8" name="Группа свариваемых материалов 2)" queryTableFieldId="8" dataDxfId="5"/>
    <tableColumn id="9" uniqueName="9" name="Толщина деталей, мм" queryTableFieldId="9" dataDxfId="4"/>
    <tableColumn id="10" uniqueName="10" name="Наружный диаметр, мм" queryTableFieldId="10" dataDxfId="3"/>
    <tableColumn id="11" uniqueName="11" name="Результаты контроля сварки допускных (пробных) стыков" queryTableFieldId="11" dataDxfId="2"/>
    <tableColumn id="12" uniqueName="12" name="Номер допускного листа, срок допуска к работе на объектах АО «Газпромнефть-ОНПЗ»" queryTableFieldId="12" dataDxfId="1"/>
    <tableColumn id="13" uniqueName="13" name="Примечание" queryTableFieldId="13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4" name="таблМатериал" displayName="таблМатериал" ref="D1:D8" totalsRowShown="0" headerRowDxfId="32">
  <autoFilter ref="D1:D8"/>
  <tableColumns count="1">
    <tableColumn id="1" name="Материальное исполнение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таблВидработ" displayName="таблВидработ" ref="F1:F6" totalsRowShown="0" headerRowDxfId="31" dataDxfId="30">
  <autoFilter ref="F1:F6"/>
  <tableColumns count="1">
    <tableColumn id="1" name="Вид свариваемых работ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таблДопстык" displayName="таблДопстык" ref="H1:K31" totalsRowShown="0" headerRowDxfId="28" dataDxfId="27">
  <autoFilter ref="H1:K31"/>
  <tableColumns count="4">
    <tableColumn id="1" name="тип материала" dataDxfId="26">
      <calculatedColumnFormula>IF(таблДопстык[[#This Row],[Тип сварки]]&lt;&gt;"",CONCATENATE(таблДопстык[[#This Row],[Тип сварки]],таблДопстык[[#This Row],[Материал]]),"")</calculatedColumnFormula>
    </tableColumn>
    <tableColumn id="3" name="Тип сварки" dataDxfId="25"/>
    <tableColumn id="4" name="Материал" dataDxfId="24"/>
    <tableColumn id="2" name="Образец допускного стыка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таблОрганизации" displayName="таблОрганизации" ref="A1:A28" totalsRowShown="0" headerRowDxfId="22" dataDxfId="21" tableBorderDxfId="20">
  <autoFilter ref="A1:A28"/>
  <tableColumns count="1">
    <tableColumn id="1" name="Полное название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I66"/>
  <sheetViews>
    <sheetView tabSelected="1" zoomScale="85" zoomScaleNormal="85" workbookViewId="0">
      <selection activeCell="A23" sqref="A23:A65"/>
    </sheetView>
  </sheetViews>
  <sheetFormatPr defaultRowHeight="26.25"/>
  <cols>
    <col min="1" max="1" width="10.7109375" style="74" customWidth="1"/>
    <col min="2" max="2" width="39.140625" style="1" customWidth="1"/>
    <col min="3" max="3" width="37" style="1" bestFit="1" customWidth="1"/>
    <col min="4" max="4" width="28.85546875" style="1" customWidth="1"/>
    <col min="5" max="5" width="25.7109375" style="1" customWidth="1"/>
    <col min="6" max="6" width="35.140625" style="1" customWidth="1"/>
    <col min="7" max="7" width="18.42578125" style="1" customWidth="1"/>
    <col min="8" max="8" width="30.42578125" style="1" customWidth="1"/>
    <col min="9" max="9" width="46.7109375" style="1" customWidth="1"/>
    <col min="10" max="10" width="32.140625" style="1" customWidth="1"/>
    <col min="11" max="11" width="18.85546875" style="1" customWidth="1"/>
    <col min="12" max="12" width="12" style="1" customWidth="1"/>
    <col min="13" max="13" width="35.85546875" style="1" customWidth="1"/>
    <col min="14" max="14" width="23.42578125" style="1" customWidth="1"/>
    <col min="15" max="15" width="28.5703125" style="1" bestFit="1" customWidth="1"/>
    <col min="16" max="16" width="24" style="1" customWidth="1"/>
    <col min="17" max="17" width="25.42578125" style="1" customWidth="1"/>
    <col min="18" max="18" width="18" style="1" customWidth="1"/>
    <col min="19" max="19" width="15.7109375" style="9" bestFit="1" customWidth="1"/>
    <col min="20" max="20" width="17.140625" style="1" bestFit="1" customWidth="1"/>
    <col min="21" max="21" width="22.85546875" style="9" bestFit="1" customWidth="1"/>
    <col min="22" max="22" width="19.28515625" style="1" bestFit="1" customWidth="1"/>
    <col min="23" max="23" width="14" style="1" bestFit="1" customWidth="1"/>
    <col min="24" max="24" width="15" style="1" bestFit="1" customWidth="1"/>
    <col min="25" max="25" width="12.42578125" style="2" bestFit="1" customWidth="1"/>
    <col min="26" max="26" width="12.42578125" style="1" customWidth="1"/>
    <col min="27" max="27" width="29.85546875" style="2" customWidth="1"/>
    <col min="28" max="28" width="13.140625" style="1" bestFit="1" customWidth="1"/>
    <col min="29" max="29" width="12.5703125" style="1" bestFit="1" customWidth="1"/>
    <col min="30" max="30" width="15" style="9" customWidth="1"/>
    <col min="31" max="31" width="19.42578125" style="2" customWidth="1"/>
    <col min="32" max="32" width="28.5703125" style="1" bestFit="1" customWidth="1"/>
    <col min="33" max="33" width="19.85546875" style="1" customWidth="1"/>
    <col min="34" max="34" width="18.85546875" style="1" customWidth="1"/>
    <col min="35" max="35" width="20.28515625" style="1" bestFit="1" customWidth="1"/>
    <col min="36" max="37" width="14.28515625" style="1" bestFit="1" customWidth="1"/>
    <col min="38" max="38" width="16" style="1" bestFit="1" customWidth="1"/>
    <col min="39" max="16384" width="9.140625" style="1"/>
  </cols>
  <sheetData>
    <row r="1" spans="1:35" ht="29.25" customHeight="1">
      <c r="B1" s="73" t="s">
        <v>327</v>
      </c>
      <c r="C1" s="60">
        <v>2</v>
      </c>
      <c r="D1" s="60">
        <v>3</v>
      </c>
      <c r="E1" s="60">
        <v>4</v>
      </c>
      <c r="F1" s="60">
        <v>5</v>
      </c>
      <c r="G1" s="60">
        <v>6</v>
      </c>
      <c r="H1" s="60">
        <v>7</v>
      </c>
      <c r="I1" s="60">
        <v>8</v>
      </c>
      <c r="J1" s="60">
        <v>9</v>
      </c>
      <c r="K1" s="60">
        <v>10</v>
      </c>
      <c r="L1" s="60">
        <v>11</v>
      </c>
      <c r="M1" s="60">
        <v>12</v>
      </c>
      <c r="N1" s="60">
        <v>13</v>
      </c>
      <c r="O1" s="60">
        <v>14</v>
      </c>
      <c r="P1" s="60">
        <v>15</v>
      </c>
      <c r="Q1" s="60">
        <v>16</v>
      </c>
      <c r="R1" s="60">
        <v>17</v>
      </c>
      <c r="S1" s="60">
        <v>18</v>
      </c>
      <c r="T1" s="60">
        <v>19</v>
      </c>
      <c r="U1" s="78">
        <v>20</v>
      </c>
      <c r="V1" s="60">
        <v>21</v>
      </c>
      <c r="W1" s="60">
        <v>22</v>
      </c>
      <c r="X1" s="60">
        <v>23</v>
      </c>
      <c r="Y1" s="60">
        <v>24</v>
      </c>
      <c r="Z1" s="60">
        <v>25</v>
      </c>
      <c r="AA1" s="60">
        <v>26</v>
      </c>
      <c r="AB1" s="60">
        <v>27</v>
      </c>
      <c r="AC1" s="60">
        <v>28</v>
      </c>
      <c r="AD1" s="60">
        <v>29</v>
      </c>
      <c r="AE1" s="60">
        <v>30</v>
      </c>
      <c r="AF1" s="60">
        <v>31</v>
      </c>
      <c r="AG1" s="60">
        <v>32</v>
      </c>
      <c r="AH1" s="60">
        <v>33</v>
      </c>
      <c r="AI1" s="60">
        <v>34</v>
      </c>
    </row>
    <row r="2" spans="1:35" ht="42.75" customHeight="1">
      <c r="A2" s="72" t="s">
        <v>326</v>
      </c>
      <c r="B2" s="62" t="s">
        <v>0</v>
      </c>
      <c r="C2" s="63" t="s">
        <v>1</v>
      </c>
      <c r="D2" s="63" t="s">
        <v>2</v>
      </c>
      <c r="E2" s="63" t="s">
        <v>3</v>
      </c>
      <c r="F2" s="63" t="s">
        <v>4</v>
      </c>
      <c r="G2" s="63" t="s">
        <v>5</v>
      </c>
      <c r="H2" s="64" t="s">
        <v>6</v>
      </c>
      <c r="I2" s="63" t="s">
        <v>7</v>
      </c>
      <c r="J2" s="63" t="s">
        <v>8</v>
      </c>
      <c r="K2" s="63" t="s">
        <v>22</v>
      </c>
      <c r="L2" s="63" t="s">
        <v>23</v>
      </c>
      <c r="M2" s="63" t="s">
        <v>187</v>
      </c>
      <c r="N2" s="63" t="s">
        <v>9</v>
      </c>
      <c r="O2" s="63" t="s">
        <v>10</v>
      </c>
      <c r="P2" s="63" t="s">
        <v>11</v>
      </c>
      <c r="Q2" s="63" t="s">
        <v>12</v>
      </c>
      <c r="R2" s="63" t="s">
        <v>13</v>
      </c>
      <c r="S2" s="65" t="s">
        <v>14</v>
      </c>
      <c r="T2" s="63" t="s">
        <v>35</v>
      </c>
      <c r="U2" s="65" t="s">
        <v>15</v>
      </c>
      <c r="V2" s="63" t="s">
        <v>34</v>
      </c>
      <c r="W2" s="63" t="s">
        <v>16</v>
      </c>
      <c r="X2" s="63" t="s">
        <v>33</v>
      </c>
      <c r="Y2" s="65" t="s">
        <v>17</v>
      </c>
      <c r="Z2" s="63" t="s">
        <v>32</v>
      </c>
      <c r="AA2" s="63" t="s">
        <v>18</v>
      </c>
      <c r="AB2" s="63" t="s">
        <v>19</v>
      </c>
      <c r="AC2" s="63" t="s">
        <v>20</v>
      </c>
      <c r="AD2" s="63" t="s">
        <v>21</v>
      </c>
      <c r="AE2" s="63" t="s">
        <v>30</v>
      </c>
      <c r="AF2" s="63" t="s">
        <v>24</v>
      </c>
      <c r="AG2" s="65" t="s">
        <v>31</v>
      </c>
      <c r="AH2" s="63" t="s">
        <v>83</v>
      </c>
      <c r="AI2" s="81" t="s">
        <v>40</v>
      </c>
    </row>
    <row r="3" spans="1:35" ht="20.100000000000001" customHeight="1">
      <c r="A3" s="75"/>
      <c r="B3" s="66" t="s">
        <v>403</v>
      </c>
      <c r="C3" s="66" t="s">
        <v>406</v>
      </c>
      <c r="D3" s="66">
        <v>5</v>
      </c>
      <c r="E3" s="66" t="s">
        <v>28</v>
      </c>
      <c r="F3" s="66" t="s">
        <v>98</v>
      </c>
      <c r="G3" s="66" t="s">
        <v>99</v>
      </c>
      <c r="H3" s="67">
        <v>43700</v>
      </c>
      <c r="I3" s="67">
        <v>44431</v>
      </c>
      <c r="J3" s="66" t="s">
        <v>81</v>
      </c>
      <c r="K3" s="68" t="s">
        <v>95</v>
      </c>
      <c r="L3" s="66" t="s">
        <v>85</v>
      </c>
      <c r="M3" s="67" t="s">
        <v>114</v>
      </c>
      <c r="N3" s="68" t="s">
        <v>129</v>
      </c>
      <c r="O3" s="68" t="s">
        <v>128</v>
      </c>
      <c r="P3" s="68" t="s">
        <v>96</v>
      </c>
      <c r="Q3" s="68" t="s">
        <v>97</v>
      </c>
      <c r="R3" s="68" t="s">
        <v>82</v>
      </c>
      <c r="S3" s="69" t="s">
        <v>331</v>
      </c>
      <c r="T3" s="67">
        <v>43965</v>
      </c>
      <c r="U3" s="69" t="s">
        <v>351</v>
      </c>
      <c r="V3" s="67">
        <v>43969</v>
      </c>
      <c r="W3" s="68" t="s">
        <v>350</v>
      </c>
      <c r="X3" s="68"/>
      <c r="Y3" s="69" t="s">
        <v>116</v>
      </c>
      <c r="Z3" s="67">
        <v>44034</v>
      </c>
      <c r="AA3" s="66" t="s">
        <v>118</v>
      </c>
      <c r="AB3" s="66"/>
      <c r="AC3" s="66"/>
      <c r="AD3" s="66"/>
      <c r="AE3" s="67"/>
      <c r="AF3" s="66"/>
      <c r="AG3" s="67"/>
      <c r="AH3" s="71" t="s">
        <v>426</v>
      </c>
      <c r="AI3" s="80"/>
    </row>
    <row r="4" spans="1:35" ht="20.100000000000001" customHeight="1">
      <c r="A4" s="75"/>
      <c r="B4" s="66" t="s">
        <v>403</v>
      </c>
      <c r="C4" s="66" t="s">
        <v>407</v>
      </c>
      <c r="D4" s="66">
        <v>5</v>
      </c>
      <c r="E4" s="66" t="s">
        <v>28</v>
      </c>
      <c r="F4" s="66" t="s">
        <v>112</v>
      </c>
      <c r="G4" s="66" t="s">
        <v>113</v>
      </c>
      <c r="H4" s="67">
        <v>43945</v>
      </c>
      <c r="I4" s="67">
        <v>44675</v>
      </c>
      <c r="J4" s="66" t="s">
        <v>81</v>
      </c>
      <c r="K4" s="68" t="s">
        <v>95</v>
      </c>
      <c r="L4" s="68" t="s">
        <v>85</v>
      </c>
      <c r="M4" s="68" t="s">
        <v>114</v>
      </c>
      <c r="N4" s="68" t="s">
        <v>129</v>
      </c>
      <c r="O4" s="68" t="s">
        <v>128</v>
      </c>
      <c r="P4" s="68" t="s">
        <v>96</v>
      </c>
      <c r="Q4" s="68" t="s">
        <v>111</v>
      </c>
      <c r="R4" s="68" t="s">
        <v>82</v>
      </c>
      <c r="S4" s="69" t="s">
        <v>332</v>
      </c>
      <c r="T4" s="67">
        <v>43965</v>
      </c>
      <c r="U4" s="69" t="s">
        <v>352</v>
      </c>
      <c r="V4" s="67">
        <v>43969</v>
      </c>
      <c r="W4" s="68" t="s">
        <v>350</v>
      </c>
      <c r="X4" s="68"/>
      <c r="Y4" s="69" t="s">
        <v>122</v>
      </c>
      <c r="Z4" s="67">
        <v>44034</v>
      </c>
      <c r="AA4" s="66" t="s">
        <v>118</v>
      </c>
      <c r="AB4" s="66"/>
      <c r="AC4" s="66"/>
      <c r="AD4" s="66"/>
      <c r="AE4" s="67"/>
      <c r="AF4" s="66"/>
      <c r="AG4" s="67"/>
      <c r="AH4" s="71" t="s">
        <v>426</v>
      </c>
      <c r="AI4" s="80"/>
    </row>
    <row r="5" spans="1:35" ht="20.100000000000001" customHeight="1">
      <c r="A5" s="75"/>
      <c r="B5" s="66" t="s">
        <v>403</v>
      </c>
      <c r="C5" s="66" t="s">
        <v>408</v>
      </c>
      <c r="D5" s="66">
        <v>4</v>
      </c>
      <c r="E5" s="66" t="s">
        <v>28</v>
      </c>
      <c r="F5" s="66" t="s">
        <v>94</v>
      </c>
      <c r="G5" s="66" t="s">
        <v>92</v>
      </c>
      <c r="H5" s="67">
        <v>43315</v>
      </c>
      <c r="I5" s="67">
        <v>44046</v>
      </c>
      <c r="J5" s="66" t="s">
        <v>81</v>
      </c>
      <c r="K5" s="66" t="s">
        <v>95</v>
      </c>
      <c r="L5" s="66" t="s">
        <v>85</v>
      </c>
      <c r="M5" s="67" t="s">
        <v>114</v>
      </c>
      <c r="N5" s="66" t="s">
        <v>129</v>
      </c>
      <c r="O5" s="66" t="s">
        <v>128</v>
      </c>
      <c r="P5" s="66" t="s">
        <v>96</v>
      </c>
      <c r="Q5" s="66" t="s">
        <v>97</v>
      </c>
      <c r="R5" s="68" t="s">
        <v>82</v>
      </c>
      <c r="S5" s="69" t="s">
        <v>333</v>
      </c>
      <c r="T5" s="67">
        <v>43965</v>
      </c>
      <c r="U5" s="69" t="s">
        <v>353</v>
      </c>
      <c r="V5" s="67">
        <v>43969</v>
      </c>
      <c r="W5" s="68" t="s">
        <v>350</v>
      </c>
      <c r="X5" s="66"/>
      <c r="Y5" s="69" t="s">
        <v>115</v>
      </c>
      <c r="Z5" s="67">
        <v>44034</v>
      </c>
      <c r="AA5" s="66" t="s">
        <v>118</v>
      </c>
      <c r="AB5" s="70"/>
      <c r="AC5" s="67"/>
      <c r="AD5" s="66"/>
      <c r="AE5" s="67"/>
      <c r="AF5" s="66"/>
      <c r="AG5" s="67"/>
      <c r="AH5" s="71" t="s">
        <v>426</v>
      </c>
      <c r="AI5" s="80"/>
    </row>
    <row r="6" spans="1:35" ht="20.100000000000001" customHeight="1">
      <c r="A6" s="75" t="s">
        <v>326</v>
      </c>
      <c r="B6" s="66" t="s">
        <v>403</v>
      </c>
      <c r="C6" s="66" t="s">
        <v>409</v>
      </c>
      <c r="D6" s="66">
        <v>4</v>
      </c>
      <c r="E6" s="66" t="s">
        <v>28</v>
      </c>
      <c r="F6" s="66" t="s">
        <v>94</v>
      </c>
      <c r="G6" s="66" t="s">
        <v>92</v>
      </c>
      <c r="H6" s="67">
        <v>43315</v>
      </c>
      <c r="I6" s="67">
        <v>44411</v>
      </c>
      <c r="J6" s="66" t="s">
        <v>81</v>
      </c>
      <c r="K6" s="66" t="s">
        <v>95</v>
      </c>
      <c r="L6" s="66" t="s">
        <v>85</v>
      </c>
      <c r="M6" s="67" t="s">
        <v>114</v>
      </c>
      <c r="N6" s="66" t="s">
        <v>129</v>
      </c>
      <c r="O6" s="66" t="s">
        <v>128</v>
      </c>
      <c r="P6" s="66" t="s">
        <v>96</v>
      </c>
      <c r="Q6" s="66" t="s">
        <v>97</v>
      </c>
      <c r="R6" s="66" t="s">
        <v>82</v>
      </c>
      <c r="S6" s="69" t="s">
        <v>333</v>
      </c>
      <c r="T6" s="67">
        <v>43965</v>
      </c>
      <c r="U6" s="69" t="s">
        <v>353</v>
      </c>
      <c r="V6" s="67">
        <v>43969</v>
      </c>
      <c r="W6" s="68" t="s">
        <v>350</v>
      </c>
      <c r="X6" s="66"/>
      <c r="Y6" s="69" t="s">
        <v>136</v>
      </c>
      <c r="Z6" s="67">
        <v>44046</v>
      </c>
      <c r="AA6" s="66" t="s">
        <v>118</v>
      </c>
      <c r="AB6" s="66"/>
      <c r="AC6" s="66"/>
      <c r="AD6" s="66"/>
      <c r="AE6" s="67"/>
      <c r="AF6" s="66"/>
      <c r="AG6" s="67"/>
      <c r="AH6" s="71" t="s">
        <v>426</v>
      </c>
      <c r="AI6" s="80"/>
    </row>
    <row r="7" spans="1:35" ht="20.100000000000001" customHeight="1">
      <c r="A7" s="75"/>
      <c r="B7" s="66" t="s">
        <v>403</v>
      </c>
      <c r="C7" s="66" t="s">
        <v>410</v>
      </c>
      <c r="D7" s="66">
        <v>5</v>
      </c>
      <c r="E7" s="66" t="s">
        <v>28</v>
      </c>
      <c r="F7" s="66" t="s">
        <v>100</v>
      </c>
      <c r="G7" s="66" t="s">
        <v>101</v>
      </c>
      <c r="H7" s="67">
        <v>43700</v>
      </c>
      <c r="I7" s="67">
        <v>44431</v>
      </c>
      <c r="J7" s="66" t="s">
        <v>81</v>
      </c>
      <c r="K7" s="66" t="s">
        <v>95</v>
      </c>
      <c r="L7" s="66" t="s">
        <v>85</v>
      </c>
      <c r="M7" s="67" t="s">
        <v>114</v>
      </c>
      <c r="N7" s="68" t="s">
        <v>129</v>
      </c>
      <c r="O7" s="68" t="s">
        <v>128</v>
      </c>
      <c r="P7" s="66" t="s">
        <v>96</v>
      </c>
      <c r="Q7" s="66" t="s">
        <v>97</v>
      </c>
      <c r="R7" s="68" t="s">
        <v>82</v>
      </c>
      <c r="S7" s="69" t="s">
        <v>334</v>
      </c>
      <c r="T7" s="67">
        <v>43965</v>
      </c>
      <c r="U7" s="69" t="s">
        <v>354</v>
      </c>
      <c r="V7" s="67">
        <v>43969</v>
      </c>
      <c r="W7" s="68" t="s">
        <v>350</v>
      </c>
      <c r="X7" s="68"/>
      <c r="Y7" s="69" t="s">
        <v>117</v>
      </c>
      <c r="Z7" s="67">
        <v>44034</v>
      </c>
      <c r="AA7" s="66" t="s">
        <v>118</v>
      </c>
      <c r="AB7" s="66"/>
      <c r="AC7" s="66"/>
      <c r="AD7" s="66"/>
      <c r="AE7" s="67"/>
      <c r="AF7" s="66"/>
      <c r="AG7" s="67"/>
      <c r="AH7" s="71" t="s">
        <v>426</v>
      </c>
      <c r="AI7" s="80"/>
    </row>
    <row r="8" spans="1:35" ht="20.100000000000001" customHeight="1">
      <c r="A8" s="75"/>
      <c r="B8" s="66" t="s">
        <v>403</v>
      </c>
      <c r="C8" s="66" t="s">
        <v>411</v>
      </c>
      <c r="D8" s="66">
        <v>5</v>
      </c>
      <c r="E8" s="66" t="s">
        <v>28</v>
      </c>
      <c r="F8" s="66" t="s">
        <v>109</v>
      </c>
      <c r="G8" s="66" t="s">
        <v>110</v>
      </c>
      <c r="H8" s="67">
        <v>43945</v>
      </c>
      <c r="I8" s="67">
        <v>44675</v>
      </c>
      <c r="J8" s="66" t="s">
        <v>81</v>
      </c>
      <c r="K8" s="68" t="s">
        <v>95</v>
      </c>
      <c r="L8" s="68" t="s">
        <v>85</v>
      </c>
      <c r="M8" s="68" t="s">
        <v>114</v>
      </c>
      <c r="N8" s="68" t="s">
        <v>129</v>
      </c>
      <c r="O8" s="68" t="s">
        <v>128</v>
      </c>
      <c r="P8" s="68" t="s">
        <v>96</v>
      </c>
      <c r="Q8" s="68" t="s">
        <v>111</v>
      </c>
      <c r="R8" s="68" t="s">
        <v>82</v>
      </c>
      <c r="S8" s="69" t="s">
        <v>335</v>
      </c>
      <c r="T8" s="67">
        <v>43965</v>
      </c>
      <c r="U8" s="69" t="s">
        <v>355</v>
      </c>
      <c r="V8" s="67">
        <v>43969</v>
      </c>
      <c r="W8" s="68" t="s">
        <v>350</v>
      </c>
      <c r="X8" s="66"/>
      <c r="Y8" s="69" t="s">
        <v>121</v>
      </c>
      <c r="Z8" s="67">
        <v>44034</v>
      </c>
      <c r="AA8" s="66" t="s">
        <v>118</v>
      </c>
      <c r="AB8" s="66"/>
      <c r="AC8" s="66"/>
      <c r="AD8" s="66"/>
      <c r="AE8" s="67"/>
      <c r="AF8" s="66"/>
      <c r="AG8" s="67"/>
      <c r="AH8" s="71" t="s">
        <v>426</v>
      </c>
      <c r="AI8" s="80"/>
    </row>
    <row r="9" spans="1:35" ht="20.100000000000001" customHeight="1">
      <c r="A9" s="75"/>
      <c r="B9" s="66" t="s">
        <v>403</v>
      </c>
      <c r="C9" s="66" t="s">
        <v>412</v>
      </c>
      <c r="D9" s="66">
        <v>4</v>
      </c>
      <c r="E9" s="66" t="s">
        <v>28</v>
      </c>
      <c r="F9" s="66" t="s">
        <v>102</v>
      </c>
      <c r="G9" s="66" t="s">
        <v>103</v>
      </c>
      <c r="H9" s="67">
        <v>43700</v>
      </c>
      <c r="I9" s="67">
        <v>44431</v>
      </c>
      <c r="J9" s="66" t="s">
        <v>81</v>
      </c>
      <c r="K9" s="66" t="s">
        <v>95</v>
      </c>
      <c r="L9" s="66" t="s">
        <v>85</v>
      </c>
      <c r="M9" s="67" t="s">
        <v>114</v>
      </c>
      <c r="N9" s="68" t="s">
        <v>129</v>
      </c>
      <c r="O9" s="68" t="s">
        <v>128</v>
      </c>
      <c r="P9" s="66" t="s">
        <v>96</v>
      </c>
      <c r="Q9" s="66" t="s">
        <v>97</v>
      </c>
      <c r="R9" s="68" t="s">
        <v>82</v>
      </c>
      <c r="S9" s="69" t="s">
        <v>336</v>
      </c>
      <c r="T9" s="67">
        <v>43976</v>
      </c>
      <c r="U9" s="69" t="s">
        <v>356</v>
      </c>
      <c r="V9" s="67">
        <v>43977</v>
      </c>
      <c r="W9" s="68" t="s">
        <v>350</v>
      </c>
      <c r="X9" s="68"/>
      <c r="Y9" s="69" t="s">
        <v>119</v>
      </c>
      <c r="Z9" s="67">
        <v>44034</v>
      </c>
      <c r="AA9" s="66" t="s">
        <v>118</v>
      </c>
      <c r="AB9" s="66"/>
      <c r="AC9" s="66"/>
      <c r="AD9" s="66"/>
      <c r="AE9" s="67"/>
      <c r="AF9" s="66"/>
      <c r="AG9" s="67"/>
      <c r="AH9" s="71" t="s">
        <v>426</v>
      </c>
      <c r="AI9" s="80"/>
    </row>
    <row r="10" spans="1:35" ht="20.100000000000001" customHeight="1">
      <c r="A10" s="75"/>
      <c r="B10" s="66" t="s">
        <v>403</v>
      </c>
      <c r="C10" s="66" t="s">
        <v>413</v>
      </c>
      <c r="D10" s="66">
        <v>5</v>
      </c>
      <c r="E10" s="66" t="s">
        <v>28</v>
      </c>
      <c r="F10" s="66" t="s">
        <v>105</v>
      </c>
      <c r="G10" s="66" t="s">
        <v>104</v>
      </c>
      <c r="H10" s="67">
        <v>43700</v>
      </c>
      <c r="I10" s="67">
        <v>44431</v>
      </c>
      <c r="J10" s="66" t="s">
        <v>81</v>
      </c>
      <c r="K10" s="66" t="s">
        <v>95</v>
      </c>
      <c r="L10" s="66" t="s">
        <v>85</v>
      </c>
      <c r="M10" s="67" t="s">
        <v>114</v>
      </c>
      <c r="N10" s="66" t="s">
        <v>129</v>
      </c>
      <c r="O10" s="66" t="s">
        <v>128</v>
      </c>
      <c r="P10" s="66" t="s">
        <v>96</v>
      </c>
      <c r="Q10" s="66" t="s">
        <v>97</v>
      </c>
      <c r="R10" s="68" t="s">
        <v>82</v>
      </c>
      <c r="S10" s="69" t="s">
        <v>337</v>
      </c>
      <c r="T10" s="67">
        <v>43965</v>
      </c>
      <c r="U10" s="69" t="s">
        <v>357</v>
      </c>
      <c r="V10" s="67">
        <v>43969</v>
      </c>
      <c r="W10" s="68" t="s">
        <v>350</v>
      </c>
      <c r="X10" s="68"/>
      <c r="Y10" s="69" t="s">
        <v>120</v>
      </c>
      <c r="Z10" s="67">
        <v>44034</v>
      </c>
      <c r="AA10" s="66" t="s">
        <v>118</v>
      </c>
      <c r="AB10" s="66"/>
      <c r="AC10" s="66"/>
      <c r="AD10" s="66"/>
      <c r="AE10" s="67"/>
      <c r="AF10" s="66"/>
      <c r="AG10" s="67"/>
      <c r="AH10" s="71" t="s">
        <v>426</v>
      </c>
      <c r="AI10" s="80"/>
    </row>
    <row r="11" spans="1:35" ht="20.100000000000001" customHeight="1">
      <c r="A11" s="75"/>
      <c r="B11" s="66" t="s">
        <v>404</v>
      </c>
      <c r="C11" s="66" t="s">
        <v>414</v>
      </c>
      <c r="D11" s="66">
        <v>4</v>
      </c>
      <c r="E11" s="66" t="s">
        <v>28</v>
      </c>
      <c r="F11" s="66" t="s">
        <v>106</v>
      </c>
      <c r="G11" s="69" t="s">
        <v>107</v>
      </c>
      <c r="H11" s="67">
        <v>43315</v>
      </c>
      <c r="I11" s="67">
        <v>44046</v>
      </c>
      <c r="J11" s="66" t="s">
        <v>81</v>
      </c>
      <c r="K11" s="68" t="s">
        <v>95</v>
      </c>
      <c r="L11" s="68" t="s">
        <v>85</v>
      </c>
      <c r="M11" s="68" t="s">
        <v>114</v>
      </c>
      <c r="N11" s="68" t="s">
        <v>129</v>
      </c>
      <c r="O11" s="68" t="s">
        <v>128</v>
      </c>
      <c r="P11" s="68" t="s">
        <v>108</v>
      </c>
      <c r="Q11" s="68" t="s">
        <v>97</v>
      </c>
      <c r="R11" s="68" t="s">
        <v>82</v>
      </c>
      <c r="S11" s="69"/>
      <c r="T11" s="67"/>
      <c r="U11" s="69"/>
      <c r="V11" s="67"/>
      <c r="W11" s="68" t="s">
        <v>350</v>
      </c>
      <c r="X11" s="66"/>
      <c r="Y11" s="69"/>
      <c r="Z11" s="67">
        <v>44034</v>
      </c>
      <c r="AA11" s="66" t="s">
        <v>118</v>
      </c>
      <c r="AB11" s="70"/>
      <c r="AC11" s="67"/>
      <c r="AD11" s="66"/>
      <c r="AE11" s="67"/>
      <c r="AF11" s="66"/>
      <c r="AG11" s="67"/>
      <c r="AH11" s="71" t="s">
        <v>426</v>
      </c>
      <c r="AI11" s="80"/>
    </row>
    <row r="12" spans="1:35" ht="20.100000000000001" customHeight="1">
      <c r="A12" s="75"/>
      <c r="B12" s="66" t="s">
        <v>404</v>
      </c>
      <c r="C12" s="66" t="s">
        <v>415</v>
      </c>
      <c r="D12" s="66">
        <v>5</v>
      </c>
      <c r="E12" s="66" t="s">
        <v>29</v>
      </c>
      <c r="F12" s="66" t="s">
        <v>145</v>
      </c>
      <c r="G12" s="69" t="s">
        <v>146</v>
      </c>
      <c r="H12" s="67">
        <v>43892</v>
      </c>
      <c r="I12" s="67">
        <v>44622</v>
      </c>
      <c r="J12" s="66" t="s">
        <v>147</v>
      </c>
      <c r="K12" s="68" t="s">
        <v>95</v>
      </c>
      <c r="L12" s="68" t="s">
        <v>85</v>
      </c>
      <c r="M12" s="67" t="s">
        <v>75</v>
      </c>
      <c r="N12" s="66" t="s">
        <v>76</v>
      </c>
      <c r="O12" s="68" t="s">
        <v>142</v>
      </c>
      <c r="P12" s="66" t="s">
        <v>77</v>
      </c>
      <c r="Q12" s="66" t="s">
        <v>148</v>
      </c>
      <c r="R12" s="68" t="s">
        <v>149</v>
      </c>
      <c r="S12" s="69" t="s">
        <v>338</v>
      </c>
      <c r="T12" s="67">
        <v>44084</v>
      </c>
      <c r="U12" s="69" t="s">
        <v>358</v>
      </c>
      <c r="V12" s="67">
        <v>44089</v>
      </c>
      <c r="W12" s="68" t="s">
        <v>350</v>
      </c>
      <c r="X12" s="66"/>
      <c r="Y12" s="69" t="s">
        <v>150</v>
      </c>
      <c r="Z12" s="67">
        <v>44103</v>
      </c>
      <c r="AA12" s="66" t="s">
        <v>123</v>
      </c>
      <c r="AB12" s="70"/>
      <c r="AC12" s="67"/>
      <c r="AD12" s="66"/>
      <c r="AE12" s="67"/>
      <c r="AF12" s="66"/>
      <c r="AG12" s="67"/>
      <c r="AH12" s="71" t="s">
        <v>426</v>
      </c>
      <c r="AI12" s="80"/>
    </row>
    <row r="13" spans="1:35" ht="20.100000000000001" customHeight="1">
      <c r="A13" s="75"/>
      <c r="B13" s="66" t="s">
        <v>404</v>
      </c>
      <c r="C13" s="66" t="s">
        <v>416</v>
      </c>
      <c r="D13" s="66">
        <v>5</v>
      </c>
      <c r="E13" s="66" t="s">
        <v>29</v>
      </c>
      <c r="F13" s="66" t="s">
        <v>172</v>
      </c>
      <c r="G13" s="66" t="s">
        <v>170</v>
      </c>
      <c r="H13" s="67">
        <v>43892</v>
      </c>
      <c r="I13" s="67">
        <v>44622</v>
      </c>
      <c r="J13" s="66" t="s">
        <v>171</v>
      </c>
      <c r="K13" s="68" t="s">
        <v>95</v>
      </c>
      <c r="L13" s="66" t="s">
        <v>85</v>
      </c>
      <c r="M13" s="67" t="s">
        <v>75</v>
      </c>
      <c r="N13" s="68" t="s">
        <v>76</v>
      </c>
      <c r="O13" s="68" t="s">
        <v>142</v>
      </c>
      <c r="P13" s="66" t="s">
        <v>96</v>
      </c>
      <c r="Q13" s="68" t="s">
        <v>148</v>
      </c>
      <c r="R13" s="68" t="s">
        <v>149</v>
      </c>
      <c r="S13" s="69" t="s">
        <v>339</v>
      </c>
      <c r="T13" s="67">
        <v>44180</v>
      </c>
      <c r="U13" s="69" t="s">
        <v>359</v>
      </c>
      <c r="V13" s="67">
        <v>44182</v>
      </c>
      <c r="W13" s="68" t="s">
        <v>350</v>
      </c>
      <c r="X13" s="68"/>
      <c r="Y13" s="69" t="s">
        <v>173</v>
      </c>
      <c r="Z13" s="67">
        <v>44189</v>
      </c>
      <c r="AA13" s="66" t="s">
        <v>123</v>
      </c>
      <c r="AB13" s="66"/>
      <c r="AC13" s="66"/>
      <c r="AD13" s="66"/>
      <c r="AE13" s="67"/>
      <c r="AF13" s="66"/>
      <c r="AG13" s="67"/>
      <c r="AH13" s="71" t="s">
        <v>426</v>
      </c>
      <c r="AI13" s="80"/>
    </row>
    <row r="14" spans="1:35" ht="20.100000000000001" customHeight="1">
      <c r="A14" s="75"/>
      <c r="B14" s="66" t="s">
        <v>404</v>
      </c>
      <c r="C14" s="66" t="s">
        <v>417</v>
      </c>
      <c r="D14" s="66">
        <v>5</v>
      </c>
      <c r="E14" s="66" t="s">
        <v>29</v>
      </c>
      <c r="F14" s="66" t="s">
        <v>174</v>
      </c>
      <c r="G14" s="66" t="s">
        <v>175</v>
      </c>
      <c r="H14" s="67">
        <v>44046</v>
      </c>
      <c r="I14" s="67">
        <v>44776</v>
      </c>
      <c r="J14" s="66" t="s">
        <v>171</v>
      </c>
      <c r="K14" s="66" t="s">
        <v>95</v>
      </c>
      <c r="L14" s="66" t="s">
        <v>85</v>
      </c>
      <c r="M14" s="67" t="s">
        <v>75</v>
      </c>
      <c r="N14" s="66" t="s">
        <v>76</v>
      </c>
      <c r="O14" s="66" t="s">
        <v>142</v>
      </c>
      <c r="P14" s="66" t="s">
        <v>96</v>
      </c>
      <c r="Q14" s="66" t="s">
        <v>148</v>
      </c>
      <c r="R14" s="68" t="s">
        <v>149</v>
      </c>
      <c r="S14" s="69" t="s">
        <v>340</v>
      </c>
      <c r="T14" s="67">
        <v>44180</v>
      </c>
      <c r="U14" s="69" t="s">
        <v>360</v>
      </c>
      <c r="V14" s="67">
        <v>44183</v>
      </c>
      <c r="W14" s="68" t="s">
        <v>350</v>
      </c>
      <c r="X14" s="66"/>
      <c r="Y14" s="69" t="s">
        <v>176</v>
      </c>
      <c r="Z14" s="67">
        <v>44189</v>
      </c>
      <c r="AA14" s="66" t="s">
        <v>123</v>
      </c>
      <c r="AB14" s="70"/>
      <c r="AC14" s="67"/>
      <c r="AD14" s="66"/>
      <c r="AE14" s="67"/>
      <c r="AF14" s="66"/>
      <c r="AG14" s="67"/>
      <c r="AH14" s="71" t="s">
        <v>426</v>
      </c>
      <c r="AI14" s="80"/>
    </row>
    <row r="15" spans="1:35" ht="20.100000000000001" customHeight="1">
      <c r="A15" s="75"/>
      <c r="B15" s="66" t="s">
        <v>404</v>
      </c>
      <c r="C15" s="66" t="s">
        <v>418</v>
      </c>
      <c r="D15" s="66">
        <v>5</v>
      </c>
      <c r="E15" s="66" t="s">
        <v>29</v>
      </c>
      <c r="F15" s="66" t="s">
        <v>166</v>
      </c>
      <c r="G15" s="66" t="s">
        <v>74</v>
      </c>
      <c r="H15" s="67">
        <v>43616</v>
      </c>
      <c r="I15" s="67">
        <v>44347</v>
      </c>
      <c r="J15" s="66" t="s">
        <v>152</v>
      </c>
      <c r="K15" s="66" t="s">
        <v>95</v>
      </c>
      <c r="L15" s="66" t="s">
        <v>85</v>
      </c>
      <c r="M15" s="67" t="s">
        <v>75</v>
      </c>
      <c r="N15" s="68" t="s">
        <v>80</v>
      </c>
      <c r="O15" s="68" t="s">
        <v>158</v>
      </c>
      <c r="P15" s="66" t="s">
        <v>96</v>
      </c>
      <c r="Q15" s="66" t="s">
        <v>153</v>
      </c>
      <c r="R15" s="68" t="s">
        <v>82</v>
      </c>
      <c r="S15" s="69" t="s">
        <v>341</v>
      </c>
      <c r="T15" s="67">
        <v>43607</v>
      </c>
      <c r="U15" s="69" t="s">
        <v>361</v>
      </c>
      <c r="V15" s="67">
        <v>43607</v>
      </c>
      <c r="W15" s="68" t="s">
        <v>385</v>
      </c>
      <c r="X15" s="66" t="s">
        <v>167</v>
      </c>
      <c r="Y15" s="69" t="s">
        <v>164</v>
      </c>
      <c r="Z15" s="67">
        <v>44159</v>
      </c>
      <c r="AA15" s="66" t="s">
        <v>165</v>
      </c>
      <c r="AB15" s="70"/>
      <c r="AC15" s="67"/>
      <c r="AD15" s="66"/>
      <c r="AE15" s="67"/>
      <c r="AF15" s="66"/>
      <c r="AG15" s="67"/>
      <c r="AH15" s="71" t="s">
        <v>426</v>
      </c>
      <c r="AI15" s="80"/>
    </row>
    <row r="16" spans="1:35" ht="20.100000000000001" customHeight="1">
      <c r="A16" s="75"/>
      <c r="B16" s="66" t="s">
        <v>404</v>
      </c>
      <c r="C16" s="66" t="s">
        <v>419</v>
      </c>
      <c r="D16" s="66">
        <v>5</v>
      </c>
      <c r="E16" s="66" t="s">
        <v>29</v>
      </c>
      <c r="F16" s="66" t="s">
        <v>177</v>
      </c>
      <c r="G16" s="66" t="s">
        <v>178</v>
      </c>
      <c r="H16" s="67">
        <v>44046</v>
      </c>
      <c r="I16" s="67">
        <v>44776</v>
      </c>
      <c r="J16" s="66" t="s">
        <v>171</v>
      </c>
      <c r="K16" s="66" t="s">
        <v>95</v>
      </c>
      <c r="L16" s="66" t="s">
        <v>85</v>
      </c>
      <c r="M16" s="67" t="s">
        <v>75</v>
      </c>
      <c r="N16" s="66" t="s">
        <v>76</v>
      </c>
      <c r="O16" s="66" t="s">
        <v>142</v>
      </c>
      <c r="P16" s="66" t="s">
        <v>96</v>
      </c>
      <c r="Q16" s="66" t="s">
        <v>148</v>
      </c>
      <c r="R16" s="66" t="s">
        <v>149</v>
      </c>
      <c r="S16" s="69" t="s">
        <v>342</v>
      </c>
      <c r="T16" s="67">
        <v>44180</v>
      </c>
      <c r="U16" s="69" t="s">
        <v>351</v>
      </c>
      <c r="V16" s="67">
        <v>44183</v>
      </c>
      <c r="W16" s="68" t="s">
        <v>350</v>
      </c>
      <c r="X16" s="66"/>
      <c r="Y16" s="69" t="s">
        <v>179</v>
      </c>
      <c r="Z16" s="67">
        <v>44189</v>
      </c>
      <c r="AA16" s="66" t="s">
        <v>123</v>
      </c>
      <c r="AB16" s="70"/>
      <c r="AC16" s="67"/>
      <c r="AD16" s="66"/>
      <c r="AE16" s="67"/>
      <c r="AF16" s="66"/>
      <c r="AG16" s="67"/>
      <c r="AH16" s="71" t="s">
        <v>426</v>
      </c>
      <c r="AI16" s="80"/>
    </row>
    <row r="17" spans="1:35" ht="20.100000000000001" customHeight="1">
      <c r="A17" s="75"/>
      <c r="B17" s="66" t="s">
        <v>404</v>
      </c>
      <c r="C17" s="66" t="s">
        <v>420</v>
      </c>
      <c r="D17" s="66">
        <v>5</v>
      </c>
      <c r="E17" s="66" t="s">
        <v>29</v>
      </c>
      <c r="F17" s="66" t="s">
        <v>182</v>
      </c>
      <c r="G17" s="66" t="s">
        <v>183</v>
      </c>
      <c r="H17" s="67">
        <v>44007</v>
      </c>
      <c r="I17" s="67">
        <v>44007</v>
      </c>
      <c r="J17" s="66" t="s">
        <v>171</v>
      </c>
      <c r="K17" s="66" t="s">
        <v>95</v>
      </c>
      <c r="L17" s="66" t="s">
        <v>85</v>
      </c>
      <c r="M17" s="67" t="s">
        <v>75</v>
      </c>
      <c r="N17" s="66" t="s">
        <v>76</v>
      </c>
      <c r="O17" s="66" t="s">
        <v>142</v>
      </c>
      <c r="P17" s="66" t="s">
        <v>134</v>
      </c>
      <c r="Q17" s="66" t="s">
        <v>148</v>
      </c>
      <c r="R17" s="68" t="s">
        <v>149</v>
      </c>
      <c r="S17" s="69" t="s">
        <v>343</v>
      </c>
      <c r="T17" s="67">
        <v>44098</v>
      </c>
      <c r="U17" s="69" t="s">
        <v>362</v>
      </c>
      <c r="V17" s="67">
        <v>44099</v>
      </c>
      <c r="W17" s="68" t="s">
        <v>350</v>
      </c>
      <c r="X17" s="68"/>
      <c r="Y17" s="69" t="s">
        <v>184</v>
      </c>
      <c r="Z17" s="67">
        <v>44104</v>
      </c>
      <c r="AA17" s="66" t="s">
        <v>123</v>
      </c>
      <c r="AB17" s="66"/>
      <c r="AC17" s="66"/>
      <c r="AD17" s="66"/>
      <c r="AE17" s="67"/>
      <c r="AF17" s="66"/>
      <c r="AG17" s="67"/>
      <c r="AH17" s="71" t="s">
        <v>426</v>
      </c>
      <c r="AI17" s="80"/>
    </row>
    <row r="18" spans="1:35" ht="20.100000000000001" customHeight="1">
      <c r="A18" s="75"/>
      <c r="B18" s="66" t="s">
        <v>405</v>
      </c>
      <c r="C18" s="66" t="s">
        <v>421</v>
      </c>
      <c r="D18" s="66">
        <v>5</v>
      </c>
      <c r="E18" s="66" t="s">
        <v>29</v>
      </c>
      <c r="F18" s="66" t="s">
        <v>160</v>
      </c>
      <c r="G18" s="66" t="s">
        <v>161</v>
      </c>
      <c r="H18" s="67">
        <v>43900</v>
      </c>
      <c r="I18" s="67">
        <v>44630</v>
      </c>
      <c r="J18" s="66" t="s">
        <v>156</v>
      </c>
      <c r="K18" s="66" t="s">
        <v>95</v>
      </c>
      <c r="L18" s="66" t="s">
        <v>85</v>
      </c>
      <c r="M18" s="67" t="s">
        <v>75</v>
      </c>
      <c r="N18" s="66" t="s">
        <v>76</v>
      </c>
      <c r="O18" s="66" t="s">
        <v>142</v>
      </c>
      <c r="P18" s="66" t="s">
        <v>77</v>
      </c>
      <c r="Q18" s="66" t="s">
        <v>148</v>
      </c>
      <c r="R18" s="68" t="s">
        <v>82</v>
      </c>
      <c r="S18" s="69" t="s">
        <v>344</v>
      </c>
      <c r="T18" s="67">
        <v>44126</v>
      </c>
      <c r="U18" s="69" t="s">
        <v>357</v>
      </c>
      <c r="V18" s="67">
        <v>44130</v>
      </c>
      <c r="W18" s="68" t="s">
        <v>350</v>
      </c>
      <c r="X18" s="66"/>
      <c r="Y18" s="69" t="s">
        <v>162</v>
      </c>
      <c r="Z18" s="67">
        <v>44147</v>
      </c>
      <c r="AA18" s="66" t="s">
        <v>123</v>
      </c>
      <c r="AB18" s="70"/>
      <c r="AC18" s="67"/>
      <c r="AD18" s="66"/>
      <c r="AE18" s="67"/>
      <c r="AF18" s="66"/>
      <c r="AG18" s="67"/>
      <c r="AH18" s="71" t="s">
        <v>426</v>
      </c>
      <c r="AI18" s="80"/>
    </row>
    <row r="19" spans="1:35" ht="20.100000000000001" customHeight="1">
      <c r="A19" s="75"/>
      <c r="B19" s="66" t="s">
        <v>405</v>
      </c>
      <c r="C19" s="66" t="s">
        <v>422</v>
      </c>
      <c r="D19" s="66">
        <v>5</v>
      </c>
      <c r="E19" s="66" t="s">
        <v>28</v>
      </c>
      <c r="F19" s="66" t="s">
        <v>318</v>
      </c>
      <c r="G19" s="69" t="s">
        <v>319</v>
      </c>
      <c r="H19" s="67">
        <v>43900</v>
      </c>
      <c r="I19" s="67">
        <v>44630</v>
      </c>
      <c r="J19" s="66" t="s">
        <v>171</v>
      </c>
      <c r="K19" s="66" t="s">
        <v>95</v>
      </c>
      <c r="L19" s="66" t="s">
        <v>85</v>
      </c>
      <c r="M19" s="67" t="s">
        <v>75</v>
      </c>
      <c r="N19" s="66" t="s">
        <v>80</v>
      </c>
      <c r="O19" s="66" t="s">
        <v>79</v>
      </c>
      <c r="P19" s="66" t="s">
        <v>135</v>
      </c>
      <c r="Q19" s="66" t="s">
        <v>320</v>
      </c>
      <c r="R19" s="68" t="s">
        <v>321</v>
      </c>
      <c r="S19" s="69" t="s">
        <v>345</v>
      </c>
      <c r="T19" s="67">
        <v>44223</v>
      </c>
      <c r="U19" s="69" t="s">
        <v>363</v>
      </c>
      <c r="V19" s="67">
        <v>44224</v>
      </c>
      <c r="W19" s="68" t="s">
        <v>350</v>
      </c>
      <c r="X19" s="66"/>
      <c r="Y19" s="69" t="s">
        <v>322</v>
      </c>
      <c r="Z19" s="67">
        <v>44239</v>
      </c>
      <c r="AA19" s="66" t="s">
        <v>323</v>
      </c>
      <c r="AB19" s="70"/>
      <c r="AC19" s="67"/>
      <c r="AD19" s="66"/>
      <c r="AE19" s="67"/>
      <c r="AF19" s="66"/>
      <c r="AG19" s="67"/>
      <c r="AH19" s="71" t="s">
        <v>426</v>
      </c>
      <c r="AI19" s="80"/>
    </row>
    <row r="20" spans="1:35" ht="20.100000000000001" customHeight="1">
      <c r="A20" s="75"/>
      <c r="B20" s="66" t="s">
        <v>405</v>
      </c>
      <c r="C20" s="66" t="s">
        <v>423</v>
      </c>
      <c r="D20" s="66">
        <v>5</v>
      </c>
      <c r="E20" s="66" t="s">
        <v>29</v>
      </c>
      <c r="F20" s="66" t="s">
        <v>180</v>
      </c>
      <c r="G20" s="66">
        <v>7087</v>
      </c>
      <c r="H20" s="67">
        <v>43900</v>
      </c>
      <c r="I20" s="67">
        <v>44630</v>
      </c>
      <c r="J20" s="68" t="s">
        <v>171</v>
      </c>
      <c r="K20" s="68" t="s">
        <v>95</v>
      </c>
      <c r="L20" s="68" t="s">
        <v>85</v>
      </c>
      <c r="M20" s="68" t="s">
        <v>75</v>
      </c>
      <c r="N20" s="68" t="s">
        <v>76</v>
      </c>
      <c r="O20" s="68" t="s">
        <v>142</v>
      </c>
      <c r="P20" s="68" t="s">
        <v>96</v>
      </c>
      <c r="Q20" s="66" t="s">
        <v>148</v>
      </c>
      <c r="R20" s="68" t="s">
        <v>149</v>
      </c>
      <c r="S20" s="69" t="s">
        <v>346</v>
      </c>
      <c r="T20" s="67">
        <v>44180</v>
      </c>
      <c r="U20" s="69" t="s">
        <v>364</v>
      </c>
      <c r="V20" s="67">
        <v>44183</v>
      </c>
      <c r="W20" s="68" t="s">
        <v>350</v>
      </c>
      <c r="X20" s="68"/>
      <c r="Y20" s="69" t="s">
        <v>181</v>
      </c>
      <c r="Z20" s="67">
        <v>44189</v>
      </c>
      <c r="AA20" s="66" t="s">
        <v>123</v>
      </c>
      <c r="AB20" s="66"/>
      <c r="AC20" s="66"/>
      <c r="AD20" s="66"/>
      <c r="AE20" s="67"/>
      <c r="AF20" s="66"/>
      <c r="AG20" s="67"/>
      <c r="AH20" s="71" t="s">
        <v>426</v>
      </c>
      <c r="AI20" s="80"/>
    </row>
    <row r="21" spans="1:35" ht="20.100000000000001" customHeight="1">
      <c r="A21" s="75"/>
      <c r="B21" s="66" t="s">
        <v>405</v>
      </c>
      <c r="C21" s="66" t="s">
        <v>424</v>
      </c>
      <c r="D21" s="66">
        <v>5</v>
      </c>
      <c r="E21" s="66" t="s">
        <v>28</v>
      </c>
      <c r="F21" s="66" t="s">
        <v>324</v>
      </c>
      <c r="G21" s="66">
        <v>7087</v>
      </c>
      <c r="H21" s="67">
        <v>43900</v>
      </c>
      <c r="I21" s="67">
        <v>44630</v>
      </c>
      <c r="J21" s="66" t="s">
        <v>171</v>
      </c>
      <c r="K21" s="66" t="s">
        <v>95</v>
      </c>
      <c r="L21" s="66" t="s">
        <v>85</v>
      </c>
      <c r="M21" s="67" t="s">
        <v>75</v>
      </c>
      <c r="N21" s="66" t="s">
        <v>80</v>
      </c>
      <c r="O21" s="66" t="s">
        <v>79</v>
      </c>
      <c r="P21" s="66" t="s">
        <v>135</v>
      </c>
      <c r="Q21" s="66" t="s">
        <v>320</v>
      </c>
      <c r="R21" s="68" t="s">
        <v>321</v>
      </c>
      <c r="S21" s="69" t="s">
        <v>347</v>
      </c>
      <c r="T21" s="67">
        <v>44215</v>
      </c>
      <c r="U21" s="69" t="s">
        <v>349</v>
      </c>
      <c r="V21" s="67">
        <v>44219</v>
      </c>
      <c r="W21" s="68" t="s">
        <v>350</v>
      </c>
      <c r="X21" s="66"/>
      <c r="Y21" s="69" t="s">
        <v>325</v>
      </c>
      <c r="Z21" s="67">
        <v>44239</v>
      </c>
      <c r="AA21" s="66" t="s">
        <v>323</v>
      </c>
      <c r="AB21" s="70"/>
      <c r="AC21" s="67"/>
      <c r="AD21" s="66"/>
      <c r="AE21" s="67"/>
      <c r="AF21" s="66"/>
      <c r="AG21" s="67"/>
      <c r="AH21" s="71" t="s">
        <v>426</v>
      </c>
      <c r="AI21" s="80"/>
    </row>
    <row r="22" spans="1:35" ht="20.100000000000001" customHeight="1">
      <c r="A22" s="75"/>
      <c r="B22" s="66" t="s">
        <v>405</v>
      </c>
      <c r="C22" s="66" t="s">
        <v>425</v>
      </c>
      <c r="D22" s="66">
        <v>5</v>
      </c>
      <c r="E22" s="66" t="s">
        <v>29</v>
      </c>
      <c r="F22" s="66" t="s">
        <v>151</v>
      </c>
      <c r="G22" s="66" t="s">
        <v>155</v>
      </c>
      <c r="H22" s="67">
        <v>43616</v>
      </c>
      <c r="I22" s="67">
        <v>44347</v>
      </c>
      <c r="J22" s="68" t="s">
        <v>152</v>
      </c>
      <c r="K22" s="68" t="s">
        <v>95</v>
      </c>
      <c r="L22" s="66" t="s">
        <v>85</v>
      </c>
      <c r="M22" s="68" t="s">
        <v>75</v>
      </c>
      <c r="N22" s="68" t="s">
        <v>76</v>
      </c>
      <c r="O22" s="68" t="s">
        <v>142</v>
      </c>
      <c r="P22" s="68" t="s">
        <v>96</v>
      </c>
      <c r="Q22" s="68" t="s">
        <v>153</v>
      </c>
      <c r="R22" s="68" t="s">
        <v>82</v>
      </c>
      <c r="S22" s="69" t="s">
        <v>348</v>
      </c>
      <c r="T22" s="67">
        <v>44084</v>
      </c>
      <c r="U22" s="69" t="s">
        <v>365</v>
      </c>
      <c r="V22" s="67">
        <v>44089</v>
      </c>
      <c r="W22" s="68" t="s">
        <v>350</v>
      </c>
      <c r="X22" s="68"/>
      <c r="Y22" s="69" t="s">
        <v>154</v>
      </c>
      <c r="Z22" s="67">
        <v>44103</v>
      </c>
      <c r="AA22" s="66" t="s">
        <v>123</v>
      </c>
      <c r="AB22" s="66"/>
      <c r="AC22" s="66"/>
      <c r="AD22" s="66"/>
      <c r="AE22" s="67"/>
      <c r="AF22" s="66"/>
      <c r="AG22" s="67"/>
      <c r="AH22" s="71" t="s">
        <v>426</v>
      </c>
      <c r="AI22" s="80"/>
    </row>
    <row r="23" spans="1:35">
      <c r="A23" s="119"/>
      <c r="B23" s="66"/>
      <c r="C23" s="66"/>
      <c r="D23" s="66"/>
      <c r="E23" s="66"/>
      <c r="F23" s="66"/>
      <c r="G23" s="66"/>
      <c r="H23" s="67"/>
      <c r="I23" s="67"/>
      <c r="J23" s="66"/>
      <c r="K23" s="66"/>
      <c r="L23" s="66"/>
      <c r="M23" s="67"/>
      <c r="N23" s="66"/>
      <c r="O23" s="66"/>
      <c r="P23" s="66"/>
      <c r="Q23" s="66"/>
      <c r="R23" s="68"/>
      <c r="S23" s="69"/>
      <c r="T23" s="67"/>
      <c r="U23" s="69"/>
      <c r="V23" s="67"/>
      <c r="W23" s="68"/>
      <c r="X23" s="68"/>
      <c r="Y23" s="69"/>
      <c r="Z23" s="67"/>
      <c r="AA23" s="67"/>
      <c r="AB23" s="66"/>
      <c r="AC23" s="66"/>
      <c r="AD23" s="69"/>
      <c r="AE23" s="67"/>
      <c r="AF23" s="66"/>
      <c r="AG23" s="67"/>
      <c r="AH23" s="71"/>
      <c r="AI23" s="121"/>
    </row>
    <row r="24" spans="1:35">
      <c r="A24" s="119"/>
      <c r="B24" s="66"/>
      <c r="C24" s="66"/>
      <c r="D24" s="66"/>
      <c r="E24" s="66"/>
      <c r="F24" s="66"/>
      <c r="G24" s="66"/>
      <c r="H24" s="67"/>
      <c r="I24" s="67"/>
      <c r="J24" s="66"/>
      <c r="K24" s="66"/>
      <c r="L24" s="66"/>
      <c r="M24" s="67"/>
      <c r="N24" s="66"/>
      <c r="O24" s="66"/>
      <c r="P24" s="66"/>
      <c r="Q24" s="66"/>
      <c r="R24" s="68"/>
      <c r="S24" s="69"/>
      <c r="T24" s="120"/>
      <c r="U24" s="69"/>
      <c r="V24" s="120"/>
      <c r="W24" s="68"/>
      <c r="X24" s="68"/>
      <c r="Y24" s="69"/>
      <c r="Z24" s="67"/>
      <c r="AA24" s="67"/>
      <c r="AB24" s="66"/>
      <c r="AC24" s="66"/>
      <c r="AD24" s="69"/>
      <c r="AE24" s="67"/>
      <c r="AF24" s="66"/>
      <c r="AG24" s="67"/>
      <c r="AH24" s="71"/>
      <c r="AI24" s="121"/>
    </row>
    <row r="25" spans="1:35">
      <c r="A25" s="119"/>
      <c r="B25" s="66"/>
      <c r="C25" s="66"/>
      <c r="D25" s="66"/>
      <c r="E25" s="66"/>
      <c r="F25" s="66"/>
      <c r="G25" s="66"/>
      <c r="H25" s="67"/>
      <c r="I25" s="67"/>
      <c r="J25" s="66"/>
      <c r="K25" s="66"/>
      <c r="L25" s="66"/>
      <c r="M25" s="67"/>
      <c r="N25" s="66"/>
      <c r="O25" s="66"/>
      <c r="P25" s="66"/>
      <c r="Q25" s="66"/>
      <c r="R25" s="68"/>
      <c r="S25" s="69"/>
      <c r="T25" s="120"/>
      <c r="U25" s="69"/>
      <c r="V25" s="120"/>
      <c r="W25" s="68"/>
      <c r="X25" s="68"/>
      <c r="Y25" s="69"/>
      <c r="Z25" s="67"/>
      <c r="AA25" s="67"/>
      <c r="AB25" s="66"/>
      <c r="AC25" s="66"/>
      <c r="AD25" s="69"/>
      <c r="AE25" s="67"/>
      <c r="AF25" s="66"/>
      <c r="AG25" s="67"/>
      <c r="AH25" s="71"/>
      <c r="AI25" s="121"/>
    </row>
    <row r="26" spans="1:35">
      <c r="A26" s="119"/>
      <c r="B26" s="66"/>
      <c r="C26" s="66"/>
      <c r="D26" s="66"/>
      <c r="E26" s="66"/>
      <c r="F26" s="66"/>
      <c r="G26" s="66"/>
      <c r="H26" s="67"/>
      <c r="I26" s="67"/>
      <c r="J26" s="66"/>
      <c r="K26" s="66"/>
      <c r="L26" s="66"/>
      <c r="M26" s="67"/>
      <c r="N26" s="66"/>
      <c r="O26" s="66"/>
      <c r="P26" s="66"/>
      <c r="Q26" s="66"/>
      <c r="R26" s="68"/>
      <c r="S26" s="69"/>
      <c r="T26" s="120"/>
      <c r="U26" s="69"/>
      <c r="V26" s="120"/>
      <c r="W26" s="68"/>
      <c r="X26" s="68"/>
      <c r="Y26" s="69"/>
      <c r="Z26" s="67"/>
      <c r="AA26" s="67"/>
      <c r="AB26" s="66"/>
      <c r="AC26" s="66"/>
      <c r="AD26" s="69"/>
      <c r="AE26" s="67"/>
      <c r="AF26" s="66"/>
      <c r="AG26" s="67"/>
      <c r="AH26" s="71"/>
      <c r="AI26" s="121"/>
    </row>
    <row r="27" spans="1:35">
      <c r="A27" s="119"/>
      <c r="B27" s="66"/>
      <c r="C27" s="66"/>
      <c r="D27" s="66"/>
      <c r="E27" s="66"/>
      <c r="F27" s="66"/>
      <c r="G27" s="66"/>
      <c r="H27" s="67"/>
      <c r="I27" s="67"/>
      <c r="J27" s="66"/>
      <c r="K27" s="66"/>
      <c r="L27" s="66"/>
      <c r="M27" s="67"/>
      <c r="N27" s="66"/>
      <c r="O27" s="66"/>
      <c r="P27" s="66"/>
      <c r="Q27" s="66"/>
      <c r="R27" s="68"/>
      <c r="S27" s="69"/>
      <c r="T27" s="120"/>
      <c r="U27" s="69"/>
      <c r="V27" s="120"/>
      <c r="W27" s="68"/>
      <c r="X27" s="68"/>
      <c r="Y27" s="69"/>
      <c r="Z27" s="67"/>
      <c r="AA27" s="67"/>
      <c r="AB27" s="66"/>
      <c r="AC27" s="66"/>
      <c r="AD27" s="69"/>
      <c r="AE27" s="67"/>
      <c r="AF27" s="66"/>
      <c r="AG27" s="67"/>
      <c r="AH27" s="71"/>
      <c r="AI27" s="121"/>
    </row>
    <row r="28" spans="1:35">
      <c r="A28" s="119"/>
      <c r="B28" s="66"/>
      <c r="C28" s="66"/>
      <c r="D28" s="66"/>
      <c r="E28" s="66"/>
      <c r="F28" s="66"/>
      <c r="G28" s="66"/>
      <c r="H28" s="67"/>
      <c r="I28" s="67"/>
      <c r="J28" s="66"/>
      <c r="K28" s="66"/>
      <c r="L28" s="66"/>
      <c r="M28" s="67"/>
      <c r="N28" s="66"/>
      <c r="O28" s="66"/>
      <c r="P28" s="66"/>
      <c r="Q28" s="66"/>
      <c r="R28" s="68"/>
      <c r="S28" s="69"/>
      <c r="T28" s="120"/>
      <c r="U28" s="69"/>
      <c r="V28" s="120"/>
      <c r="W28" s="68"/>
      <c r="X28" s="68"/>
      <c r="Y28" s="69"/>
      <c r="Z28" s="67"/>
      <c r="AA28" s="67"/>
      <c r="AB28" s="66"/>
      <c r="AC28" s="66"/>
      <c r="AD28" s="69"/>
      <c r="AE28" s="67"/>
      <c r="AF28" s="66"/>
      <c r="AG28" s="67"/>
      <c r="AH28" s="71"/>
      <c r="AI28" s="121"/>
    </row>
    <row r="29" spans="1:35">
      <c r="A29" s="119"/>
      <c r="B29" s="66"/>
      <c r="C29" s="66"/>
      <c r="D29" s="66"/>
      <c r="E29" s="66"/>
      <c r="F29" s="66"/>
      <c r="G29" s="66"/>
      <c r="H29" s="67"/>
      <c r="I29" s="67"/>
      <c r="J29" s="66"/>
      <c r="K29" s="66"/>
      <c r="L29" s="66"/>
      <c r="M29" s="67"/>
      <c r="N29" s="66"/>
      <c r="O29" s="66"/>
      <c r="P29" s="66"/>
      <c r="Q29" s="66"/>
      <c r="R29" s="68"/>
      <c r="S29" s="69"/>
      <c r="T29" s="120"/>
      <c r="U29" s="69"/>
      <c r="V29" s="120"/>
      <c r="W29" s="68"/>
      <c r="X29" s="68"/>
      <c r="Y29" s="69"/>
      <c r="Z29" s="67"/>
      <c r="AA29" s="67"/>
      <c r="AB29" s="66"/>
      <c r="AC29" s="66"/>
      <c r="AD29" s="69"/>
      <c r="AE29" s="67"/>
      <c r="AF29" s="66"/>
      <c r="AG29" s="67"/>
      <c r="AH29" s="71"/>
      <c r="AI29" s="121"/>
    </row>
    <row r="30" spans="1:35">
      <c r="A30" s="119"/>
      <c r="B30" s="66"/>
      <c r="C30" s="66"/>
      <c r="D30" s="66"/>
      <c r="E30" s="66"/>
      <c r="F30" s="66"/>
      <c r="G30" s="66"/>
      <c r="H30" s="67"/>
      <c r="I30" s="67"/>
      <c r="J30" s="66"/>
      <c r="K30" s="66"/>
      <c r="L30" s="66"/>
      <c r="M30" s="67"/>
      <c r="N30" s="66"/>
      <c r="O30" s="66"/>
      <c r="P30" s="66"/>
      <c r="Q30" s="66"/>
      <c r="R30" s="68"/>
      <c r="S30" s="69"/>
      <c r="T30" s="120"/>
      <c r="U30" s="69"/>
      <c r="V30" s="120"/>
      <c r="W30" s="68"/>
      <c r="X30" s="68"/>
      <c r="Y30" s="69"/>
      <c r="Z30" s="67"/>
      <c r="AA30" s="67"/>
      <c r="AB30" s="66"/>
      <c r="AC30" s="66"/>
      <c r="AD30" s="69"/>
      <c r="AE30" s="67"/>
      <c r="AF30" s="66"/>
      <c r="AG30" s="67"/>
      <c r="AH30" s="71"/>
      <c r="AI30" s="121"/>
    </row>
    <row r="31" spans="1:35">
      <c r="A31" s="119"/>
      <c r="B31" s="66"/>
      <c r="C31" s="66"/>
      <c r="D31" s="66"/>
      <c r="E31" s="66"/>
      <c r="F31" s="66"/>
      <c r="G31" s="66"/>
      <c r="H31" s="67"/>
      <c r="I31" s="67"/>
      <c r="J31" s="66"/>
      <c r="K31" s="66"/>
      <c r="L31" s="66"/>
      <c r="M31" s="67"/>
      <c r="N31" s="66"/>
      <c r="O31" s="66"/>
      <c r="P31" s="66"/>
      <c r="Q31" s="66"/>
      <c r="R31" s="68"/>
      <c r="S31" s="69"/>
      <c r="T31" s="120"/>
      <c r="U31" s="69"/>
      <c r="V31" s="120"/>
      <c r="W31" s="68"/>
      <c r="X31" s="68"/>
      <c r="Y31" s="69"/>
      <c r="Z31" s="67"/>
      <c r="AA31" s="67"/>
      <c r="AB31" s="66"/>
      <c r="AC31" s="66"/>
      <c r="AD31" s="69"/>
      <c r="AE31" s="67"/>
      <c r="AF31" s="66"/>
      <c r="AG31" s="67"/>
      <c r="AH31" s="71"/>
      <c r="AI31" s="121"/>
    </row>
    <row r="32" spans="1:35">
      <c r="A32" s="119"/>
      <c r="B32" s="66"/>
      <c r="C32" s="66"/>
      <c r="D32" s="66"/>
      <c r="E32" s="66"/>
      <c r="F32" s="66"/>
      <c r="G32" s="66"/>
      <c r="H32" s="67"/>
      <c r="I32" s="67"/>
      <c r="J32" s="66"/>
      <c r="K32" s="66"/>
      <c r="L32" s="66"/>
      <c r="M32" s="67"/>
      <c r="N32" s="66"/>
      <c r="O32" s="66"/>
      <c r="P32" s="66"/>
      <c r="Q32" s="66"/>
      <c r="R32" s="68"/>
      <c r="S32" s="69"/>
      <c r="T32" s="120"/>
      <c r="U32" s="69"/>
      <c r="V32" s="120"/>
      <c r="W32" s="68"/>
      <c r="X32" s="68"/>
      <c r="Y32" s="69"/>
      <c r="Z32" s="67"/>
      <c r="AA32" s="67"/>
      <c r="AB32" s="66"/>
      <c r="AC32" s="66"/>
      <c r="AD32" s="69"/>
      <c r="AE32" s="67"/>
      <c r="AF32" s="66"/>
      <c r="AG32" s="67"/>
      <c r="AH32" s="71"/>
      <c r="AI32" s="121"/>
    </row>
    <row r="33" spans="1:35">
      <c r="A33" s="119"/>
      <c r="B33" s="66"/>
      <c r="C33" s="66"/>
      <c r="D33" s="66"/>
      <c r="E33" s="66"/>
      <c r="F33" s="66"/>
      <c r="G33" s="66"/>
      <c r="H33" s="67"/>
      <c r="I33" s="67"/>
      <c r="J33" s="66"/>
      <c r="K33" s="66"/>
      <c r="L33" s="66"/>
      <c r="M33" s="67"/>
      <c r="N33" s="66"/>
      <c r="O33" s="66"/>
      <c r="P33" s="66"/>
      <c r="Q33" s="66"/>
      <c r="R33" s="68"/>
      <c r="S33" s="69"/>
      <c r="T33" s="120"/>
      <c r="U33" s="69"/>
      <c r="V33" s="120"/>
      <c r="W33" s="68"/>
      <c r="X33" s="68"/>
      <c r="Y33" s="69"/>
      <c r="Z33" s="67"/>
      <c r="AA33" s="67"/>
      <c r="AB33" s="66"/>
      <c r="AC33" s="66"/>
      <c r="AD33" s="69"/>
      <c r="AE33" s="67"/>
      <c r="AF33" s="66"/>
      <c r="AG33" s="67"/>
      <c r="AH33" s="71"/>
      <c r="AI33" s="121"/>
    </row>
    <row r="34" spans="1:35">
      <c r="A34" s="119"/>
      <c r="B34" s="66"/>
      <c r="C34" s="66"/>
      <c r="D34" s="66"/>
      <c r="E34" s="66"/>
      <c r="F34" s="66"/>
      <c r="G34" s="66"/>
      <c r="H34" s="67"/>
      <c r="I34" s="67"/>
      <c r="J34" s="66"/>
      <c r="K34" s="66"/>
      <c r="L34" s="66"/>
      <c r="M34" s="67"/>
      <c r="N34" s="66"/>
      <c r="O34" s="66"/>
      <c r="P34" s="66"/>
      <c r="Q34" s="66"/>
      <c r="R34" s="68"/>
      <c r="S34" s="69"/>
      <c r="T34" s="120"/>
      <c r="U34" s="69"/>
      <c r="V34" s="120"/>
      <c r="W34" s="68"/>
      <c r="X34" s="68"/>
      <c r="Y34" s="69"/>
      <c r="Z34" s="67"/>
      <c r="AA34" s="67"/>
      <c r="AB34" s="66"/>
      <c r="AC34" s="66"/>
      <c r="AD34" s="69"/>
      <c r="AE34" s="67"/>
      <c r="AF34" s="66"/>
      <c r="AG34" s="67"/>
      <c r="AH34" s="71"/>
      <c r="AI34" s="121"/>
    </row>
    <row r="35" spans="1:35">
      <c r="A35" s="119"/>
      <c r="B35" s="66"/>
      <c r="C35" s="66"/>
      <c r="D35" s="66"/>
      <c r="E35" s="66"/>
      <c r="F35" s="66"/>
      <c r="G35" s="66"/>
      <c r="H35" s="67"/>
      <c r="I35" s="67"/>
      <c r="J35" s="66"/>
      <c r="K35" s="66"/>
      <c r="L35" s="66"/>
      <c r="M35" s="67"/>
      <c r="N35" s="66"/>
      <c r="O35" s="66"/>
      <c r="P35" s="66"/>
      <c r="Q35" s="66"/>
      <c r="R35" s="68"/>
      <c r="S35" s="69"/>
      <c r="T35" s="120"/>
      <c r="U35" s="69"/>
      <c r="V35" s="120"/>
      <c r="W35" s="68"/>
      <c r="X35" s="68"/>
      <c r="Y35" s="69"/>
      <c r="Z35" s="67"/>
      <c r="AA35" s="67"/>
      <c r="AB35" s="66"/>
      <c r="AC35" s="66"/>
      <c r="AD35" s="69"/>
      <c r="AE35" s="67"/>
      <c r="AF35" s="66"/>
      <c r="AG35" s="67"/>
      <c r="AH35" s="71"/>
      <c r="AI35" s="121"/>
    </row>
    <row r="36" spans="1:35">
      <c r="A36" s="119"/>
      <c r="B36" s="66"/>
      <c r="C36" s="66"/>
      <c r="D36" s="66"/>
      <c r="E36" s="66"/>
      <c r="F36" s="66"/>
      <c r="G36" s="66"/>
      <c r="H36" s="67"/>
      <c r="I36" s="67"/>
      <c r="J36" s="66"/>
      <c r="K36" s="66"/>
      <c r="L36" s="66"/>
      <c r="M36" s="67"/>
      <c r="N36" s="66"/>
      <c r="O36" s="66"/>
      <c r="P36" s="66"/>
      <c r="Q36" s="66"/>
      <c r="R36" s="68"/>
      <c r="S36" s="69"/>
      <c r="T36" s="120"/>
      <c r="U36" s="69"/>
      <c r="V36" s="120"/>
      <c r="W36" s="68"/>
      <c r="X36" s="68"/>
      <c r="Y36" s="69"/>
      <c r="Z36" s="67"/>
      <c r="AA36" s="67"/>
      <c r="AB36" s="66"/>
      <c r="AC36" s="66"/>
      <c r="AD36" s="69"/>
      <c r="AE36" s="67"/>
      <c r="AF36" s="66"/>
      <c r="AG36" s="67"/>
      <c r="AH36" s="71"/>
      <c r="AI36" s="121"/>
    </row>
    <row r="37" spans="1:35">
      <c r="A37" s="119"/>
      <c r="B37" s="66"/>
      <c r="C37" s="66"/>
      <c r="D37" s="66"/>
      <c r="E37" s="66"/>
      <c r="F37" s="66"/>
      <c r="G37" s="66"/>
      <c r="H37" s="67"/>
      <c r="I37" s="67"/>
      <c r="J37" s="66"/>
      <c r="K37" s="66"/>
      <c r="L37" s="66"/>
      <c r="M37" s="67"/>
      <c r="N37" s="66"/>
      <c r="O37" s="66"/>
      <c r="P37" s="66"/>
      <c r="Q37" s="66"/>
      <c r="R37" s="68"/>
      <c r="S37" s="69"/>
      <c r="T37" s="120"/>
      <c r="U37" s="69"/>
      <c r="V37" s="120"/>
      <c r="W37" s="68"/>
      <c r="X37" s="68"/>
      <c r="Y37" s="69"/>
      <c r="Z37" s="67"/>
      <c r="AA37" s="67"/>
      <c r="AB37" s="66"/>
      <c r="AC37" s="66"/>
      <c r="AD37" s="69"/>
      <c r="AE37" s="67"/>
      <c r="AF37" s="66"/>
      <c r="AG37" s="67"/>
      <c r="AH37" s="71"/>
      <c r="AI37" s="121"/>
    </row>
    <row r="38" spans="1:35">
      <c r="A38" s="119"/>
      <c r="B38" s="66"/>
      <c r="C38" s="66"/>
      <c r="D38" s="66"/>
      <c r="E38" s="66"/>
      <c r="F38" s="66"/>
      <c r="G38" s="66"/>
      <c r="H38" s="67"/>
      <c r="I38" s="67"/>
      <c r="J38" s="66"/>
      <c r="K38" s="66"/>
      <c r="L38" s="66"/>
      <c r="M38" s="67"/>
      <c r="N38" s="66"/>
      <c r="O38" s="66"/>
      <c r="P38" s="66"/>
      <c r="Q38" s="66"/>
      <c r="R38" s="68"/>
      <c r="S38" s="69"/>
      <c r="T38" s="120"/>
      <c r="U38" s="69"/>
      <c r="V38" s="120"/>
      <c r="W38" s="68"/>
      <c r="X38" s="68"/>
      <c r="Y38" s="69"/>
      <c r="Z38" s="67"/>
      <c r="AA38" s="67"/>
      <c r="AB38" s="66"/>
      <c r="AC38" s="66"/>
      <c r="AD38" s="69"/>
      <c r="AE38" s="67"/>
      <c r="AF38" s="66"/>
      <c r="AG38" s="67"/>
      <c r="AH38" s="71"/>
      <c r="AI38" s="121"/>
    </row>
    <row r="39" spans="1:35">
      <c r="A39" s="119"/>
      <c r="B39" s="66"/>
      <c r="C39" s="66"/>
      <c r="D39" s="66"/>
      <c r="E39" s="66"/>
      <c r="F39" s="66"/>
      <c r="G39" s="66"/>
      <c r="H39" s="67"/>
      <c r="I39" s="67"/>
      <c r="J39" s="66"/>
      <c r="K39" s="66"/>
      <c r="L39" s="66"/>
      <c r="M39" s="67"/>
      <c r="N39" s="66"/>
      <c r="O39" s="66"/>
      <c r="P39" s="66"/>
      <c r="Q39" s="66"/>
      <c r="R39" s="68"/>
      <c r="S39" s="69"/>
      <c r="T39" s="120"/>
      <c r="U39" s="69"/>
      <c r="V39" s="120"/>
      <c r="W39" s="68"/>
      <c r="X39" s="68"/>
      <c r="Y39" s="69"/>
      <c r="Z39" s="67"/>
      <c r="AA39" s="67"/>
      <c r="AB39" s="66"/>
      <c r="AC39" s="66"/>
      <c r="AD39" s="69"/>
      <c r="AE39" s="67"/>
      <c r="AF39" s="66"/>
      <c r="AG39" s="67"/>
      <c r="AH39" s="71"/>
      <c r="AI39" s="121"/>
    </row>
    <row r="40" spans="1:35">
      <c r="A40" s="119"/>
      <c r="B40" s="66"/>
      <c r="C40" s="66"/>
      <c r="D40" s="66"/>
      <c r="E40" s="66"/>
      <c r="F40" s="66"/>
      <c r="G40" s="66"/>
      <c r="H40" s="67"/>
      <c r="I40" s="67"/>
      <c r="J40" s="66"/>
      <c r="K40" s="66"/>
      <c r="L40" s="66"/>
      <c r="M40" s="67"/>
      <c r="N40" s="66"/>
      <c r="O40" s="66"/>
      <c r="P40" s="66"/>
      <c r="Q40" s="66"/>
      <c r="R40" s="68"/>
      <c r="S40" s="69"/>
      <c r="T40" s="120"/>
      <c r="U40" s="69"/>
      <c r="V40" s="120"/>
      <c r="W40" s="68"/>
      <c r="X40" s="68"/>
      <c r="Y40" s="69"/>
      <c r="Z40" s="67"/>
      <c r="AA40" s="67"/>
      <c r="AB40" s="66"/>
      <c r="AC40" s="66"/>
      <c r="AD40" s="69"/>
      <c r="AE40" s="67"/>
      <c r="AF40" s="66"/>
      <c r="AG40" s="67"/>
      <c r="AH40" s="71"/>
      <c r="AI40" s="121"/>
    </row>
    <row r="41" spans="1:35">
      <c r="A41" s="119"/>
      <c r="B41" s="66"/>
      <c r="C41" s="66"/>
      <c r="D41" s="66"/>
      <c r="E41" s="66"/>
      <c r="F41" s="66"/>
      <c r="G41" s="66"/>
      <c r="H41" s="67"/>
      <c r="I41" s="67"/>
      <c r="J41" s="66"/>
      <c r="K41" s="66"/>
      <c r="L41" s="66"/>
      <c r="M41" s="67"/>
      <c r="N41" s="66"/>
      <c r="O41" s="66"/>
      <c r="P41" s="66"/>
      <c r="Q41" s="66"/>
      <c r="R41" s="68"/>
      <c r="S41" s="69"/>
      <c r="T41" s="120"/>
      <c r="U41" s="69"/>
      <c r="V41" s="120"/>
      <c r="W41" s="68"/>
      <c r="X41" s="68"/>
      <c r="Y41" s="69"/>
      <c r="Z41" s="67"/>
      <c r="AA41" s="67"/>
      <c r="AB41" s="66"/>
      <c r="AC41" s="66"/>
      <c r="AD41" s="69"/>
      <c r="AE41" s="67"/>
      <c r="AF41" s="66"/>
      <c r="AG41" s="67"/>
      <c r="AH41" s="71"/>
      <c r="AI41" s="121"/>
    </row>
    <row r="42" spans="1:35">
      <c r="A42" s="119"/>
      <c r="B42" s="66"/>
      <c r="C42" s="66"/>
      <c r="D42" s="66"/>
      <c r="E42" s="66"/>
      <c r="F42" s="66"/>
      <c r="G42" s="66"/>
      <c r="H42" s="67"/>
      <c r="I42" s="67"/>
      <c r="J42" s="66"/>
      <c r="K42" s="66"/>
      <c r="L42" s="66"/>
      <c r="M42" s="67"/>
      <c r="N42" s="66"/>
      <c r="O42" s="66"/>
      <c r="P42" s="66"/>
      <c r="Q42" s="66"/>
      <c r="R42" s="68"/>
      <c r="S42" s="69"/>
      <c r="T42" s="120"/>
      <c r="U42" s="69"/>
      <c r="V42" s="120"/>
      <c r="W42" s="68"/>
      <c r="X42" s="68"/>
      <c r="Y42" s="69"/>
      <c r="Z42" s="67"/>
      <c r="AA42" s="67"/>
      <c r="AB42" s="66"/>
      <c r="AC42" s="66"/>
      <c r="AD42" s="69"/>
      <c r="AE42" s="67"/>
      <c r="AF42" s="66"/>
      <c r="AG42" s="67"/>
      <c r="AH42" s="71"/>
      <c r="AI42" s="121"/>
    </row>
    <row r="43" spans="1:35">
      <c r="A43" s="119"/>
      <c r="B43" s="66"/>
      <c r="C43" s="66"/>
      <c r="D43" s="66"/>
      <c r="E43" s="66"/>
      <c r="F43" s="66"/>
      <c r="G43" s="66"/>
      <c r="H43" s="67"/>
      <c r="I43" s="67"/>
      <c r="J43" s="66"/>
      <c r="K43" s="66"/>
      <c r="L43" s="66"/>
      <c r="M43" s="67"/>
      <c r="N43" s="66"/>
      <c r="O43" s="66"/>
      <c r="P43" s="66"/>
      <c r="Q43" s="66"/>
      <c r="R43" s="68"/>
      <c r="S43" s="69"/>
      <c r="T43" s="120"/>
      <c r="U43" s="69"/>
      <c r="V43" s="120"/>
      <c r="W43" s="68"/>
      <c r="X43" s="68"/>
      <c r="Y43" s="69"/>
      <c r="Z43" s="67"/>
      <c r="AA43" s="67"/>
      <c r="AB43" s="66"/>
      <c r="AC43" s="66"/>
      <c r="AD43" s="69"/>
      <c r="AE43" s="67"/>
      <c r="AF43" s="66"/>
      <c r="AG43" s="67"/>
      <c r="AH43" s="71"/>
      <c r="AI43" s="121"/>
    </row>
    <row r="44" spans="1:35">
      <c r="A44" s="119"/>
      <c r="B44" s="66"/>
      <c r="C44" s="66"/>
      <c r="D44" s="66"/>
      <c r="E44" s="66"/>
      <c r="F44" s="66"/>
      <c r="G44" s="66"/>
      <c r="H44" s="67"/>
      <c r="I44" s="67"/>
      <c r="J44" s="66"/>
      <c r="K44" s="66"/>
      <c r="L44" s="66"/>
      <c r="M44" s="67"/>
      <c r="N44" s="66"/>
      <c r="O44" s="66"/>
      <c r="P44" s="66"/>
      <c r="Q44" s="66"/>
      <c r="R44" s="68"/>
      <c r="S44" s="69"/>
      <c r="T44" s="120"/>
      <c r="U44" s="69"/>
      <c r="V44" s="120"/>
      <c r="W44" s="68"/>
      <c r="X44" s="68"/>
      <c r="Y44" s="69"/>
      <c r="Z44" s="67"/>
      <c r="AA44" s="67"/>
      <c r="AB44" s="66"/>
      <c r="AC44" s="66"/>
      <c r="AD44" s="69"/>
      <c r="AE44" s="67"/>
      <c r="AF44" s="66"/>
      <c r="AG44" s="67"/>
      <c r="AH44" s="71"/>
      <c r="AI44" s="121"/>
    </row>
    <row r="45" spans="1:35">
      <c r="A45" s="119"/>
      <c r="B45" s="66"/>
      <c r="C45" s="66"/>
      <c r="D45" s="66"/>
      <c r="E45" s="66"/>
      <c r="F45" s="66"/>
      <c r="G45" s="66"/>
      <c r="H45" s="67"/>
      <c r="I45" s="67"/>
      <c r="J45" s="66"/>
      <c r="K45" s="66"/>
      <c r="L45" s="66"/>
      <c r="M45" s="67"/>
      <c r="N45" s="66"/>
      <c r="O45" s="66"/>
      <c r="P45" s="66"/>
      <c r="Q45" s="66"/>
      <c r="R45" s="68"/>
      <c r="S45" s="69"/>
      <c r="T45" s="120"/>
      <c r="U45" s="69"/>
      <c r="V45" s="120"/>
      <c r="W45" s="68"/>
      <c r="X45" s="68"/>
      <c r="Y45" s="69"/>
      <c r="Z45" s="67"/>
      <c r="AA45" s="67"/>
      <c r="AB45" s="66"/>
      <c r="AC45" s="66"/>
      <c r="AD45" s="69"/>
      <c r="AE45" s="67"/>
      <c r="AF45" s="66"/>
      <c r="AG45" s="67"/>
      <c r="AH45" s="71"/>
      <c r="AI45" s="121"/>
    </row>
    <row r="46" spans="1:35">
      <c r="A46" s="119"/>
      <c r="B46" s="66"/>
      <c r="C46" s="66"/>
      <c r="D46" s="66"/>
      <c r="E46" s="66"/>
      <c r="F46" s="66"/>
      <c r="G46" s="66"/>
      <c r="H46" s="67"/>
      <c r="I46" s="67"/>
      <c r="J46" s="66"/>
      <c r="K46" s="66"/>
      <c r="L46" s="66"/>
      <c r="M46" s="67"/>
      <c r="N46" s="66"/>
      <c r="O46" s="66"/>
      <c r="P46" s="66"/>
      <c r="Q46" s="66"/>
      <c r="R46" s="68"/>
      <c r="S46" s="69"/>
      <c r="T46" s="120"/>
      <c r="U46" s="69"/>
      <c r="V46" s="120"/>
      <c r="W46" s="68"/>
      <c r="X46" s="68"/>
      <c r="Y46" s="69"/>
      <c r="Z46" s="67"/>
      <c r="AA46" s="67"/>
      <c r="AB46" s="66"/>
      <c r="AC46" s="66"/>
      <c r="AD46" s="69"/>
      <c r="AE46" s="67"/>
      <c r="AF46" s="66"/>
      <c r="AG46" s="67"/>
      <c r="AH46" s="71"/>
      <c r="AI46" s="121"/>
    </row>
    <row r="47" spans="1:35">
      <c r="A47" s="119"/>
      <c r="B47" s="66"/>
      <c r="C47" s="66"/>
      <c r="D47" s="66"/>
      <c r="E47" s="66"/>
      <c r="F47" s="66"/>
      <c r="G47" s="66"/>
      <c r="H47" s="67"/>
      <c r="I47" s="67"/>
      <c r="J47" s="66"/>
      <c r="K47" s="66"/>
      <c r="L47" s="66"/>
      <c r="M47" s="67"/>
      <c r="N47" s="66"/>
      <c r="O47" s="66"/>
      <c r="P47" s="66"/>
      <c r="Q47" s="66"/>
      <c r="R47" s="68"/>
      <c r="S47" s="69"/>
      <c r="T47" s="120"/>
      <c r="U47" s="69"/>
      <c r="V47" s="120"/>
      <c r="W47" s="68"/>
      <c r="X47" s="68"/>
      <c r="Y47" s="69"/>
      <c r="Z47" s="67"/>
      <c r="AA47" s="67"/>
      <c r="AB47" s="66"/>
      <c r="AC47" s="66"/>
      <c r="AD47" s="69"/>
      <c r="AE47" s="67"/>
      <c r="AF47" s="66"/>
      <c r="AG47" s="67"/>
      <c r="AH47" s="71"/>
      <c r="AI47" s="121"/>
    </row>
    <row r="48" spans="1:35">
      <c r="A48" s="119"/>
      <c r="B48" s="66"/>
      <c r="C48" s="66"/>
      <c r="D48" s="66"/>
      <c r="E48" s="66"/>
      <c r="F48" s="66"/>
      <c r="G48" s="66"/>
      <c r="H48" s="67"/>
      <c r="I48" s="67"/>
      <c r="J48" s="66"/>
      <c r="K48" s="66"/>
      <c r="L48" s="66"/>
      <c r="M48" s="67"/>
      <c r="N48" s="66"/>
      <c r="O48" s="66"/>
      <c r="P48" s="66"/>
      <c r="Q48" s="66"/>
      <c r="R48" s="68"/>
      <c r="S48" s="69"/>
      <c r="T48" s="120"/>
      <c r="U48" s="69"/>
      <c r="V48" s="120"/>
      <c r="W48" s="68"/>
      <c r="X48" s="68"/>
      <c r="Y48" s="69"/>
      <c r="Z48" s="67"/>
      <c r="AA48" s="67"/>
      <c r="AB48" s="66"/>
      <c r="AC48" s="66"/>
      <c r="AD48" s="69"/>
      <c r="AE48" s="67"/>
      <c r="AF48" s="66"/>
      <c r="AG48" s="67"/>
      <c r="AH48" s="71"/>
      <c r="AI48" s="121"/>
    </row>
    <row r="49" spans="1:35">
      <c r="A49" s="119"/>
      <c r="B49" s="66"/>
      <c r="C49" s="66"/>
      <c r="D49" s="66"/>
      <c r="E49" s="66"/>
      <c r="F49" s="66"/>
      <c r="G49" s="66"/>
      <c r="H49" s="67"/>
      <c r="I49" s="67"/>
      <c r="J49" s="66"/>
      <c r="K49" s="66"/>
      <c r="L49" s="66"/>
      <c r="M49" s="67"/>
      <c r="N49" s="66"/>
      <c r="O49" s="66"/>
      <c r="P49" s="66"/>
      <c r="Q49" s="66"/>
      <c r="R49" s="68"/>
      <c r="S49" s="69"/>
      <c r="T49" s="120"/>
      <c r="U49" s="69"/>
      <c r="V49" s="120"/>
      <c r="W49" s="68"/>
      <c r="X49" s="68"/>
      <c r="Y49" s="69"/>
      <c r="Z49" s="67"/>
      <c r="AA49" s="67"/>
      <c r="AB49" s="66"/>
      <c r="AC49" s="66"/>
      <c r="AD49" s="69"/>
      <c r="AE49" s="67"/>
      <c r="AF49" s="66"/>
      <c r="AG49" s="67"/>
      <c r="AH49" s="71"/>
      <c r="AI49" s="121"/>
    </row>
    <row r="50" spans="1:35">
      <c r="A50" s="119"/>
      <c r="B50" s="66"/>
      <c r="C50" s="66"/>
      <c r="D50" s="66"/>
      <c r="E50" s="66"/>
      <c r="F50" s="66"/>
      <c r="G50" s="66"/>
      <c r="H50" s="67"/>
      <c r="I50" s="67"/>
      <c r="J50" s="66"/>
      <c r="K50" s="66"/>
      <c r="L50" s="66"/>
      <c r="M50" s="67"/>
      <c r="N50" s="66"/>
      <c r="O50" s="66"/>
      <c r="P50" s="66"/>
      <c r="Q50" s="66"/>
      <c r="R50" s="68"/>
      <c r="S50" s="69"/>
      <c r="T50" s="120"/>
      <c r="U50" s="69"/>
      <c r="V50" s="120"/>
      <c r="W50" s="68"/>
      <c r="X50" s="68"/>
      <c r="Y50" s="69"/>
      <c r="Z50" s="67"/>
      <c r="AA50" s="67"/>
      <c r="AB50" s="66"/>
      <c r="AC50" s="66"/>
      <c r="AD50" s="69"/>
      <c r="AE50" s="67"/>
      <c r="AF50" s="66"/>
      <c r="AG50" s="67"/>
      <c r="AH50" s="71"/>
      <c r="AI50" s="121"/>
    </row>
    <row r="51" spans="1:35">
      <c r="A51" s="119"/>
      <c r="B51" s="66"/>
      <c r="C51" s="66"/>
      <c r="D51" s="66"/>
      <c r="E51" s="66"/>
      <c r="F51" s="66"/>
      <c r="G51" s="66"/>
      <c r="H51" s="67"/>
      <c r="I51" s="67"/>
      <c r="J51" s="66"/>
      <c r="K51" s="66"/>
      <c r="L51" s="66"/>
      <c r="M51" s="67"/>
      <c r="N51" s="66"/>
      <c r="O51" s="66"/>
      <c r="P51" s="66"/>
      <c r="Q51" s="66"/>
      <c r="R51" s="68"/>
      <c r="S51" s="69"/>
      <c r="T51" s="120"/>
      <c r="U51" s="69"/>
      <c r="V51" s="120"/>
      <c r="W51" s="68"/>
      <c r="X51" s="68"/>
      <c r="Y51" s="69"/>
      <c r="Z51" s="67"/>
      <c r="AA51" s="67"/>
      <c r="AB51" s="66"/>
      <c r="AC51" s="66"/>
      <c r="AD51" s="69"/>
      <c r="AE51" s="67"/>
      <c r="AF51" s="66"/>
      <c r="AG51" s="67"/>
      <c r="AH51" s="71"/>
      <c r="AI51" s="121"/>
    </row>
    <row r="52" spans="1:35">
      <c r="A52" s="119"/>
      <c r="B52" s="66"/>
      <c r="C52" s="66"/>
      <c r="D52" s="66"/>
      <c r="E52" s="66"/>
      <c r="F52" s="66"/>
      <c r="G52" s="66"/>
      <c r="H52" s="67"/>
      <c r="I52" s="67"/>
      <c r="J52" s="66"/>
      <c r="K52" s="66"/>
      <c r="L52" s="66"/>
      <c r="M52" s="67"/>
      <c r="N52" s="66"/>
      <c r="O52" s="66"/>
      <c r="P52" s="66"/>
      <c r="Q52" s="66"/>
      <c r="R52" s="68"/>
      <c r="S52" s="69"/>
      <c r="T52" s="120"/>
      <c r="U52" s="69"/>
      <c r="V52" s="120"/>
      <c r="W52" s="68"/>
      <c r="X52" s="68"/>
      <c r="Y52" s="69"/>
      <c r="Z52" s="67"/>
      <c r="AA52" s="67"/>
      <c r="AB52" s="66"/>
      <c r="AC52" s="66"/>
      <c r="AD52" s="69"/>
      <c r="AE52" s="67"/>
      <c r="AF52" s="66"/>
      <c r="AG52" s="67"/>
      <c r="AH52" s="71"/>
      <c r="AI52" s="121"/>
    </row>
    <row r="53" spans="1:35">
      <c r="A53" s="119"/>
      <c r="B53" s="66"/>
      <c r="C53" s="66"/>
      <c r="D53" s="66"/>
      <c r="E53" s="66"/>
      <c r="F53" s="66"/>
      <c r="G53" s="66"/>
      <c r="H53" s="67"/>
      <c r="I53" s="67"/>
      <c r="J53" s="66"/>
      <c r="K53" s="66"/>
      <c r="L53" s="66"/>
      <c r="M53" s="67"/>
      <c r="N53" s="66"/>
      <c r="O53" s="66"/>
      <c r="P53" s="66"/>
      <c r="Q53" s="66"/>
      <c r="R53" s="68"/>
      <c r="S53" s="69"/>
      <c r="T53" s="120"/>
      <c r="U53" s="69"/>
      <c r="V53" s="120"/>
      <c r="W53" s="68"/>
      <c r="X53" s="68"/>
      <c r="Y53" s="69"/>
      <c r="Z53" s="67"/>
      <c r="AA53" s="67"/>
      <c r="AB53" s="66"/>
      <c r="AC53" s="66"/>
      <c r="AD53" s="69"/>
      <c r="AE53" s="67"/>
      <c r="AF53" s="66"/>
      <c r="AG53" s="67"/>
      <c r="AH53" s="71"/>
      <c r="AI53" s="121"/>
    </row>
    <row r="54" spans="1:35">
      <c r="A54" s="119"/>
      <c r="B54" s="66"/>
      <c r="C54" s="66"/>
      <c r="D54" s="66"/>
      <c r="E54" s="66"/>
      <c r="F54" s="66"/>
      <c r="G54" s="66"/>
      <c r="H54" s="67"/>
      <c r="I54" s="67"/>
      <c r="J54" s="66"/>
      <c r="K54" s="66"/>
      <c r="L54" s="66"/>
      <c r="M54" s="67"/>
      <c r="N54" s="66"/>
      <c r="O54" s="66"/>
      <c r="P54" s="66"/>
      <c r="Q54" s="66"/>
      <c r="R54" s="68"/>
      <c r="S54" s="69"/>
      <c r="T54" s="120"/>
      <c r="U54" s="69"/>
      <c r="V54" s="120"/>
      <c r="W54" s="68"/>
      <c r="X54" s="68"/>
      <c r="Y54" s="69"/>
      <c r="Z54" s="67"/>
      <c r="AA54" s="67"/>
      <c r="AB54" s="66"/>
      <c r="AC54" s="66"/>
      <c r="AD54" s="69"/>
      <c r="AE54" s="67"/>
      <c r="AF54" s="66"/>
      <c r="AG54" s="67"/>
      <c r="AH54" s="71"/>
      <c r="AI54" s="121"/>
    </row>
    <row r="55" spans="1:35">
      <c r="A55" s="119"/>
      <c r="B55" s="66"/>
      <c r="C55" s="66"/>
      <c r="D55" s="66"/>
      <c r="E55" s="66"/>
      <c r="F55" s="66"/>
      <c r="G55" s="66"/>
      <c r="H55" s="67"/>
      <c r="I55" s="67"/>
      <c r="J55" s="66"/>
      <c r="K55" s="66"/>
      <c r="L55" s="66"/>
      <c r="M55" s="67"/>
      <c r="N55" s="66"/>
      <c r="O55" s="66"/>
      <c r="P55" s="66"/>
      <c r="Q55" s="66"/>
      <c r="R55" s="68"/>
      <c r="S55" s="69"/>
      <c r="T55" s="120"/>
      <c r="U55" s="69"/>
      <c r="V55" s="120"/>
      <c r="W55" s="68"/>
      <c r="X55" s="68"/>
      <c r="Y55" s="69"/>
      <c r="Z55" s="67"/>
      <c r="AA55" s="67"/>
      <c r="AB55" s="66"/>
      <c r="AC55" s="66"/>
      <c r="AD55" s="69"/>
      <c r="AE55" s="67"/>
      <c r="AF55" s="66"/>
      <c r="AG55" s="67"/>
      <c r="AH55" s="71"/>
      <c r="AI55" s="121"/>
    </row>
    <row r="56" spans="1:35">
      <c r="A56" s="119"/>
      <c r="B56" s="66"/>
      <c r="C56" s="66"/>
      <c r="D56" s="66"/>
      <c r="E56" s="66"/>
      <c r="F56" s="66"/>
      <c r="G56" s="66"/>
      <c r="H56" s="67"/>
      <c r="I56" s="67"/>
      <c r="J56" s="66"/>
      <c r="K56" s="66"/>
      <c r="L56" s="66"/>
      <c r="M56" s="67"/>
      <c r="N56" s="66"/>
      <c r="O56" s="66"/>
      <c r="P56" s="66"/>
      <c r="Q56" s="66"/>
      <c r="R56" s="68"/>
      <c r="S56" s="69"/>
      <c r="T56" s="120"/>
      <c r="U56" s="69"/>
      <c r="V56" s="120"/>
      <c r="W56" s="68"/>
      <c r="X56" s="68"/>
      <c r="Y56" s="69"/>
      <c r="Z56" s="67"/>
      <c r="AA56" s="67"/>
      <c r="AB56" s="66"/>
      <c r="AC56" s="66"/>
      <c r="AD56" s="69"/>
      <c r="AE56" s="67"/>
      <c r="AF56" s="66"/>
      <c r="AG56" s="67"/>
      <c r="AH56" s="71"/>
      <c r="AI56" s="121"/>
    </row>
    <row r="57" spans="1:35">
      <c r="A57" s="119"/>
      <c r="B57" s="66"/>
      <c r="C57" s="66"/>
      <c r="D57" s="66"/>
      <c r="E57" s="66"/>
      <c r="F57" s="66"/>
      <c r="G57" s="66"/>
      <c r="H57" s="67"/>
      <c r="I57" s="67"/>
      <c r="J57" s="66"/>
      <c r="K57" s="66"/>
      <c r="L57" s="66"/>
      <c r="M57" s="67"/>
      <c r="N57" s="66"/>
      <c r="O57" s="66"/>
      <c r="P57" s="66"/>
      <c r="Q57" s="66"/>
      <c r="R57" s="68"/>
      <c r="S57" s="69"/>
      <c r="T57" s="120"/>
      <c r="U57" s="69"/>
      <c r="V57" s="120"/>
      <c r="W57" s="68"/>
      <c r="X57" s="68"/>
      <c r="Y57" s="69"/>
      <c r="Z57" s="67"/>
      <c r="AA57" s="67"/>
      <c r="AB57" s="66"/>
      <c r="AC57" s="66"/>
      <c r="AD57" s="69"/>
      <c r="AE57" s="67"/>
      <c r="AF57" s="66"/>
      <c r="AG57" s="67"/>
      <c r="AH57" s="71"/>
      <c r="AI57" s="121"/>
    </row>
    <row r="58" spans="1:35">
      <c r="A58" s="119"/>
      <c r="B58" s="66"/>
      <c r="C58" s="66"/>
      <c r="D58" s="66"/>
      <c r="E58" s="66"/>
      <c r="F58" s="66"/>
      <c r="G58" s="66"/>
      <c r="H58" s="67"/>
      <c r="I58" s="67"/>
      <c r="J58" s="66"/>
      <c r="K58" s="66"/>
      <c r="L58" s="66"/>
      <c r="M58" s="67"/>
      <c r="N58" s="66"/>
      <c r="O58" s="66"/>
      <c r="P58" s="66"/>
      <c r="Q58" s="66"/>
      <c r="R58" s="68"/>
      <c r="S58" s="69"/>
      <c r="T58" s="120"/>
      <c r="U58" s="69"/>
      <c r="V58" s="120"/>
      <c r="W58" s="68"/>
      <c r="X58" s="68"/>
      <c r="Y58" s="69"/>
      <c r="Z58" s="67"/>
      <c r="AA58" s="67"/>
      <c r="AB58" s="66"/>
      <c r="AC58" s="66"/>
      <c r="AD58" s="69"/>
      <c r="AE58" s="67"/>
      <c r="AF58" s="66"/>
      <c r="AG58" s="67"/>
      <c r="AH58" s="71"/>
      <c r="AI58" s="121"/>
    </row>
    <row r="59" spans="1:35">
      <c r="A59" s="119"/>
      <c r="B59" s="66"/>
      <c r="C59" s="66"/>
      <c r="D59" s="66"/>
      <c r="E59" s="66"/>
      <c r="F59" s="66"/>
      <c r="G59" s="66"/>
      <c r="H59" s="67"/>
      <c r="I59" s="67"/>
      <c r="J59" s="66"/>
      <c r="K59" s="66"/>
      <c r="L59" s="66"/>
      <c r="M59" s="67"/>
      <c r="N59" s="66"/>
      <c r="O59" s="66"/>
      <c r="P59" s="66"/>
      <c r="Q59" s="66"/>
      <c r="R59" s="68"/>
      <c r="S59" s="69"/>
      <c r="T59" s="120"/>
      <c r="U59" s="69"/>
      <c r="V59" s="120"/>
      <c r="W59" s="68"/>
      <c r="X59" s="68"/>
      <c r="Y59" s="69"/>
      <c r="Z59" s="67"/>
      <c r="AA59" s="67"/>
      <c r="AB59" s="66"/>
      <c r="AC59" s="66"/>
      <c r="AD59" s="69"/>
      <c r="AE59" s="67"/>
      <c r="AF59" s="66"/>
      <c r="AG59" s="67"/>
      <c r="AH59" s="71"/>
      <c r="AI59" s="121"/>
    </row>
    <row r="60" spans="1:35">
      <c r="A60" s="119"/>
      <c r="B60" s="66"/>
      <c r="C60" s="66"/>
      <c r="D60" s="66"/>
      <c r="E60" s="66"/>
      <c r="F60" s="66"/>
      <c r="G60" s="66"/>
      <c r="H60" s="67"/>
      <c r="I60" s="67"/>
      <c r="J60" s="66"/>
      <c r="K60" s="66"/>
      <c r="L60" s="66"/>
      <c r="M60" s="67"/>
      <c r="N60" s="66"/>
      <c r="O60" s="66"/>
      <c r="P60" s="66"/>
      <c r="Q60" s="66"/>
      <c r="R60" s="68"/>
      <c r="S60" s="69"/>
      <c r="T60" s="120"/>
      <c r="U60" s="69"/>
      <c r="V60" s="120"/>
      <c r="W60" s="68"/>
      <c r="X60" s="68"/>
      <c r="Y60" s="69"/>
      <c r="Z60" s="67"/>
      <c r="AA60" s="67"/>
      <c r="AB60" s="66"/>
      <c r="AC60" s="66"/>
      <c r="AD60" s="69"/>
      <c r="AE60" s="67"/>
      <c r="AF60" s="66"/>
      <c r="AG60" s="67"/>
      <c r="AH60" s="71"/>
      <c r="AI60" s="121"/>
    </row>
    <row r="61" spans="1:35">
      <c r="A61" s="119"/>
      <c r="B61" s="66"/>
      <c r="C61" s="66"/>
      <c r="D61" s="66"/>
      <c r="E61" s="66"/>
      <c r="F61" s="66"/>
      <c r="G61" s="66"/>
      <c r="H61" s="67"/>
      <c r="I61" s="67"/>
      <c r="J61" s="66"/>
      <c r="K61" s="66"/>
      <c r="L61" s="66"/>
      <c r="M61" s="67"/>
      <c r="N61" s="66"/>
      <c r="O61" s="66"/>
      <c r="P61" s="66"/>
      <c r="Q61" s="66"/>
      <c r="R61" s="68"/>
      <c r="S61" s="69"/>
      <c r="T61" s="120"/>
      <c r="U61" s="69"/>
      <c r="V61" s="120"/>
      <c r="W61" s="68"/>
      <c r="X61" s="68"/>
      <c r="Y61" s="69"/>
      <c r="Z61" s="67"/>
      <c r="AA61" s="67"/>
      <c r="AB61" s="66"/>
      <c r="AC61" s="66"/>
      <c r="AD61" s="69"/>
      <c r="AE61" s="67"/>
      <c r="AF61" s="66"/>
      <c r="AG61" s="67"/>
      <c r="AH61" s="71"/>
      <c r="AI61" s="121"/>
    </row>
    <row r="62" spans="1:35">
      <c r="A62" s="119"/>
      <c r="B62" s="66"/>
      <c r="C62" s="66"/>
      <c r="D62" s="66"/>
      <c r="E62" s="66"/>
      <c r="F62" s="66"/>
      <c r="G62" s="66"/>
      <c r="H62" s="67"/>
      <c r="I62" s="67"/>
      <c r="J62" s="66"/>
      <c r="K62" s="66"/>
      <c r="L62" s="66"/>
      <c r="M62" s="67"/>
      <c r="N62" s="66"/>
      <c r="O62" s="66"/>
      <c r="P62" s="66"/>
      <c r="Q62" s="66"/>
      <c r="R62" s="68"/>
      <c r="S62" s="69"/>
      <c r="T62" s="120"/>
      <c r="U62" s="69"/>
      <c r="V62" s="120"/>
      <c r="W62" s="68"/>
      <c r="X62" s="68"/>
      <c r="Y62" s="69"/>
      <c r="Z62" s="67"/>
      <c r="AA62" s="67"/>
      <c r="AB62" s="66"/>
      <c r="AC62" s="66"/>
      <c r="AD62" s="69"/>
      <c r="AE62" s="67"/>
      <c r="AF62" s="66"/>
      <c r="AG62" s="67"/>
      <c r="AH62" s="71"/>
      <c r="AI62" s="121"/>
    </row>
    <row r="63" spans="1:35">
      <c r="A63" s="119"/>
      <c r="B63" s="66"/>
      <c r="C63" s="66"/>
      <c r="D63" s="66"/>
      <c r="E63" s="66"/>
      <c r="F63" s="66"/>
      <c r="G63" s="66"/>
      <c r="H63" s="67"/>
      <c r="I63" s="67"/>
      <c r="J63" s="66"/>
      <c r="K63" s="66"/>
      <c r="L63" s="66"/>
      <c r="M63" s="67"/>
      <c r="N63" s="66"/>
      <c r="O63" s="66"/>
      <c r="P63" s="66"/>
      <c r="Q63" s="66"/>
      <c r="R63" s="68"/>
      <c r="S63" s="69"/>
      <c r="T63" s="120"/>
      <c r="U63" s="69"/>
      <c r="V63" s="120"/>
      <c r="W63" s="68"/>
      <c r="X63" s="68"/>
      <c r="Y63" s="69"/>
      <c r="Z63" s="67"/>
      <c r="AA63" s="67"/>
      <c r="AB63" s="66"/>
      <c r="AC63" s="66"/>
      <c r="AD63" s="69"/>
      <c r="AE63" s="67"/>
      <c r="AF63" s="66"/>
      <c r="AG63" s="67"/>
      <c r="AH63" s="71"/>
      <c r="AI63" s="121"/>
    </row>
    <row r="64" spans="1:35">
      <c r="A64" s="119"/>
      <c r="B64" s="66"/>
      <c r="C64" s="66"/>
      <c r="D64" s="66"/>
      <c r="E64" s="66"/>
      <c r="F64" s="66"/>
      <c r="G64" s="66"/>
      <c r="H64" s="67"/>
      <c r="I64" s="67"/>
      <c r="J64" s="66"/>
      <c r="K64" s="66"/>
      <c r="L64" s="66"/>
      <c r="M64" s="67"/>
      <c r="N64" s="66"/>
      <c r="O64" s="66"/>
      <c r="P64" s="66"/>
      <c r="Q64" s="66"/>
      <c r="R64" s="68"/>
      <c r="S64" s="69"/>
      <c r="T64" s="120"/>
      <c r="U64" s="69"/>
      <c r="V64" s="120"/>
      <c r="W64" s="68"/>
      <c r="X64" s="68"/>
      <c r="Y64" s="69"/>
      <c r="Z64" s="67"/>
      <c r="AA64" s="67"/>
      <c r="AB64" s="66"/>
      <c r="AC64" s="66"/>
      <c r="AD64" s="69"/>
      <c r="AE64" s="67"/>
      <c r="AF64" s="66"/>
      <c r="AG64" s="67"/>
      <c r="AH64" s="71"/>
      <c r="AI64" s="121"/>
    </row>
    <row r="65" spans="1:35">
      <c r="A65" s="119"/>
      <c r="B65" s="66"/>
      <c r="C65" s="66"/>
      <c r="D65" s="66"/>
      <c r="E65" s="66"/>
      <c r="F65" s="66"/>
      <c r="G65" s="66"/>
      <c r="H65" s="67"/>
      <c r="I65" s="67"/>
      <c r="J65" s="66"/>
      <c r="K65" s="66"/>
      <c r="L65" s="66"/>
      <c r="M65" s="67"/>
      <c r="N65" s="66"/>
      <c r="O65" s="66"/>
      <c r="P65" s="66"/>
      <c r="Q65" s="66"/>
      <c r="R65" s="68"/>
      <c r="S65" s="69"/>
      <c r="T65" s="120"/>
      <c r="U65" s="69"/>
      <c r="V65" s="120"/>
      <c r="W65" s="68"/>
      <c r="X65" s="68"/>
      <c r="Y65" s="69"/>
      <c r="Z65" s="67"/>
      <c r="AA65" s="67"/>
      <c r="AB65" s="66"/>
      <c r="AC65" s="66"/>
      <c r="AD65" s="69"/>
      <c r="AE65" s="67"/>
      <c r="AF65" s="66"/>
      <c r="AG65" s="67"/>
      <c r="AH65" s="71"/>
      <c r="AI65" s="121"/>
    </row>
    <row r="66" spans="1:35">
      <c r="A66" s="119"/>
      <c r="B66" s="66"/>
      <c r="C66" s="66"/>
      <c r="D66" s="66"/>
      <c r="E66" s="66"/>
      <c r="F66" s="66"/>
      <c r="G66" s="66"/>
      <c r="H66" s="67"/>
      <c r="I66" s="67"/>
      <c r="J66" s="66"/>
      <c r="K66" s="66"/>
      <c r="L66" s="66"/>
      <c r="M66" s="67"/>
      <c r="N66" s="66"/>
      <c r="O66" s="66"/>
      <c r="P66" s="66"/>
      <c r="Q66" s="66"/>
      <c r="R66" s="68"/>
      <c r="S66" s="69"/>
      <c r="T66" s="120"/>
      <c r="U66" s="69"/>
      <c r="V66" s="120"/>
      <c r="W66" s="68"/>
      <c r="X66" s="68"/>
      <c r="Y66" s="69"/>
      <c r="Z66" s="67"/>
      <c r="AA66" s="67"/>
      <c r="AB66" s="66"/>
      <c r="AC66" s="66"/>
      <c r="AD66" s="69"/>
      <c r="AE66" s="67"/>
      <c r="AF66" s="66"/>
      <c r="AG66" s="67"/>
      <c r="AH66" s="71"/>
      <c r="AI66" s="121"/>
    </row>
  </sheetData>
  <dataConsolidate/>
  <conditionalFormatting sqref="B1">
    <cfRule type="cellIs" dxfId="16" priority="8" operator="equal">
      <formula>"Off"</formula>
    </cfRule>
    <cfRule type="cellIs" dxfId="15" priority="9" operator="equal">
      <formula>"On"</formula>
    </cfRule>
  </conditionalFormatting>
  <conditionalFormatting sqref="B3:AH66">
    <cfRule type="expression" dxfId="14" priority="5">
      <formula>IF($B$1="On",CELL("строка")=ROW(A3),FALSE)</formula>
    </cfRule>
  </conditionalFormatting>
  <conditionalFormatting sqref="A3:AH66">
    <cfRule type="expression" dxfId="13" priority="6">
      <formula>IF($B$1="On",$I3 &lt; TODAY(),FALSE)</formula>
    </cfRule>
  </conditionalFormatting>
  <dataValidations count="1">
    <dataValidation type="list" allowBlank="1" showInputMessage="1" showErrorMessage="1" sqref="B1">
      <formula1>"On,Off"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X54"/>
  <sheetViews>
    <sheetView view="pageBreakPreview" zoomScale="80" zoomScaleNormal="85" zoomScaleSheetLayoutView="80" workbookViewId="0">
      <selection activeCell="G26" sqref="G26:H26"/>
    </sheetView>
  </sheetViews>
  <sheetFormatPr defaultRowHeight="15"/>
  <cols>
    <col min="1" max="1" width="9.140625" customWidth="1"/>
    <col min="2" max="2" width="10" customWidth="1"/>
    <col min="3" max="3" width="11.85546875" customWidth="1"/>
    <col min="4" max="4" width="7.42578125" customWidth="1"/>
    <col min="5" max="5" width="13.28515625" customWidth="1"/>
    <col min="6" max="6" width="7.5703125" customWidth="1"/>
    <col min="7" max="7" width="9" customWidth="1"/>
    <col min="8" max="8" width="7.5703125" customWidth="1"/>
    <col min="9" max="9" width="17.7109375" customWidth="1"/>
    <col min="10" max="10" width="4.85546875" customWidth="1"/>
    <col min="11" max="11" width="13.28515625" customWidth="1"/>
    <col min="13" max="13" width="5.28515625" customWidth="1"/>
    <col min="14" max="14" width="11.5703125" customWidth="1"/>
    <col min="15" max="15" width="17.140625" customWidth="1"/>
    <col min="16" max="16" width="19" customWidth="1"/>
    <col min="22" max="22" width="33.28515625" customWidth="1"/>
  </cols>
  <sheetData>
    <row r="1" spans="1:24">
      <c r="O1" s="14" t="s">
        <v>188</v>
      </c>
      <c r="P1" s="14" t="s">
        <v>42</v>
      </c>
    </row>
    <row r="2" spans="1:24">
      <c r="O2" t="s">
        <v>3</v>
      </c>
      <c r="P2" t="str">
        <f>VLOOKUP("X",таблРеестр[],5,FALSE)</f>
        <v>РД</v>
      </c>
    </row>
    <row r="3" spans="1:24" ht="20.25">
      <c r="B3" s="110" t="s">
        <v>189</v>
      </c>
      <c r="C3" s="110"/>
      <c r="D3" s="110"/>
      <c r="E3" s="110"/>
      <c r="F3" s="110"/>
      <c r="G3" s="110"/>
      <c r="H3" s="15" t="s">
        <v>190</v>
      </c>
      <c r="I3" s="16" t="str">
        <f>VLOOKUP("X",таблРеестр[],25,FALSE)</f>
        <v>2461/2-20</v>
      </c>
      <c r="K3" s="17"/>
      <c r="O3" t="s">
        <v>191</v>
      </c>
      <c r="P3" s="18" t="str">
        <f>VLOOKUP(CONCATENATE(P2,P1),таблДопстык[],4,FALSE)</f>
        <v>№9-1, 9-2 ø57х5 мм, материал сталь марки 20; №9-3, ø159х14 мм, материал сталь марки 20</v>
      </c>
      <c r="Q3" s="18"/>
      <c r="R3" s="18"/>
      <c r="S3" s="18"/>
      <c r="T3" s="18"/>
      <c r="U3" s="18"/>
      <c r="V3" s="18"/>
      <c r="W3" s="18"/>
      <c r="X3" s="18"/>
    </row>
    <row r="4" spans="1:24" ht="18.75">
      <c r="C4" s="19"/>
      <c r="D4" s="19"/>
      <c r="E4" s="19"/>
      <c r="F4" s="19"/>
      <c r="G4" s="19"/>
      <c r="H4" s="17"/>
      <c r="I4" s="17"/>
      <c r="J4" s="17"/>
      <c r="O4" t="s">
        <v>190</v>
      </c>
      <c r="P4" s="7">
        <v>1</v>
      </c>
    </row>
    <row r="5" spans="1:24" ht="16.5">
      <c r="A5" s="20" t="s">
        <v>192</v>
      </c>
      <c r="B5" s="21" t="str">
        <f>CONCATENATE("«",LEFT(TEXT(VLOOKUP("X",таблРеестр[],26,FALSE),"ДД.ММ.ГГ"),2),"»")</f>
        <v>«03»</v>
      </c>
      <c r="C5" s="22" t="str">
        <f>TEXT(VLOOKUP("X",таблРеестр[],26,FALSE),"[$-FC19]ММММ")</f>
        <v>августа</v>
      </c>
      <c r="D5" s="111" t="str">
        <f>CONCATENATE(TEXT(VLOOKUP("X",таблРеестр[],26,FALSE),"ГГГГГ")," г.")</f>
        <v>2020 г.</v>
      </c>
      <c r="E5" s="111"/>
      <c r="Q5" s="23"/>
      <c r="R5" s="23"/>
    </row>
    <row r="7" spans="1:24" ht="16.5">
      <c r="A7" s="91" t="s">
        <v>0</v>
      </c>
      <c r="B7" s="91"/>
      <c r="C7" s="91"/>
      <c r="D7" s="91"/>
      <c r="E7" s="91"/>
      <c r="F7" s="112" t="str">
        <f>VLOOKUP("X",таблРеестр[],2,FALSE)</f>
        <v> ООО "Для примера"</v>
      </c>
      <c r="G7" s="112"/>
      <c r="H7" s="112"/>
      <c r="I7" s="112"/>
      <c r="J7" s="112"/>
      <c r="K7" s="112"/>
      <c r="L7" s="112"/>
    </row>
    <row r="8" spans="1:24" ht="8.25" customHeight="1">
      <c r="A8" s="24"/>
      <c r="B8" s="25"/>
      <c r="C8" s="25"/>
      <c r="D8" s="25"/>
      <c r="E8" s="25"/>
      <c r="F8" s="25"/>
      <c r="G8" s="25"/>
      <c r="H8" s="25"/>
      <c r="I8" s="25"/>
      <c r="J8" s="25"/>
      <c r="K8" s="25"/>
    </row>
    <row r="9" spans="1:24" ht="17.25">
      <c r="A9" s="91" t="s">
        <v>193</v>
      </c>
      <c r="B9" s="91"/>
      <c r="C9" s="26" t="str">
        <f>VLOOKUP("X",таблРеестр[],3,FALSE)</f>
        <v>Абрам Соколов</v>
      </c>
      <c r="D9" s="27"/>
      <c r="E9" s="27"/>
      <c r="F9" s="27"/>
      <c r="G9" s="27"/>
      <c r="H9" s="27"/>
      <c r="I9" s="27"/>
      <c r="J9" s="27"/>
      <c r="K9" s="27"/>
      <c r="L9" s="27"/>
    </row>
    <row r="10" spans="1:24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</row>
    <row r="11" spans="1:24" ht="16.5">
      <c r="A11" s="28" t="s">
        <v>194</v>
      </c>
      <c r="B11" s="29"/>
      <c r="C11" s="29"/>
      <c r="D11" s="29"/>
      <c r="E11" s="113" t="str">
        <f>CONCATENATE("№",VLOOKUP("X",таблРеестр[],6,FALSE))</f>
        <v>№ ЗСР-2АЦ-I-12958 </v>
      </c>
      <c r="F11" s="113"/>
      <c r="G11" s="113"/>
      <c r="H11" s="30" t="s">
        <v>192</v>
      </c>
      <c r="I11" s="31" t="str">
        <f>CONCATENATE(TEXT(VLOOKUP("X",таблРеестр[],8,FALSE),"ДД.ММ.ГГГГ"), " г.")</f>
        <v>03.08.2018 г.</v>
      </c>
      <c r="J11" s="30" t="s">
        <v>195</v>
      </c>
      <c r="K11" s="31" t="str">
        <f>CONCATENATE(TEXT(VLOOKUP("X",таблРеестр[],9,FALSE),"ДД.ММ.ГГГГ")," г.")</f>
        <v>03.08.2021 г.</v>
      </c>
    </row>
    <row r="12" spans="1:24">
      <c r="A12" s="24"/>
      <c r="B12" s="24"/>
      <c r="C12" s="24"/>
      <c r="D12" s="24"/>
      <c r="E12" s="24"/>
      <c r="F12" s="114" t="s">
        <v>196</v>
      </c>
      <c r="G12" s="114"/>
      <c r="H12" s="115"/>
      <c r="I12" s="115"/>
      <c r="J12" s="115"/>
      <c r="K12" s="115"/>
    </row>
    <row r="13" spans="1:24" ht="18" customHeight="1">
      <c r="A13" s="116" t="str">
        <f>IF(VLOOKUP("X",таблРеестр[],30,FALSE)="","",
  IF(VLOOKUP("X",таблРеестр[],32,FALSE)&lt;&gt;"",
  CONCATENATE("с вкладышем №",VLOOKUP("X",таблРеестр[],30,FALSE)," В1 от ",TEXT(VLOOKUP("X",таблРеестр[],31,FALSE),"ДД.ММ.ГГГГ")," г. до ",TEXT(VLOOKUP("X",таблРеестр[],9,FALSE),"ДД.ММ.ГГГГ")," г.; с вкладышем №",VLOOKUP("X",таблРеестр[],32,FALSE)," В2 от ",TEXT(VLOOKUP("X",таблРеестр[],33,FALSE),"ДД.ММ.ГГГГ"),"г. до ",CONCATENATE(TEXT(VLOOKUP("X",таблРеестр[],9,FALSE),"ДД.ММ.ГГГГ")," г.")),
  CONCATENATE("с вкладышем №",VLOOKUP("X",таблРеестр[],30,FALSE)," В1 от ",TEXT(VLOOKUP("X",таблРеестр[],31,FALSE),"ДД.ММ.ГГГГ"),"г. до ",CONCATENATE(TEXT(VLOOKUP("X",таблРеестр[],9,FALSE),"ДД.ММ.ГГГГ")," г."))))</f>
        <v/>
      </c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</row>
    <row r="14" spans="1:24" ht="16.5">
      <c r="A14" s="93" t="s">
        <v>197</v>
      </c>
      <c r="B14" s="93"/>
      <c r="C14" s="101" t="str">
        <f>VLOOKUP("X",таблРеестр[],5,FALSE)</f>
        <v>РД</v>
      </c>
      <c r="D14" s="101"/>
      <c r="E14" s="101"/>
      <c r="F14" s="101"/>
      <c r="G14" s="101"/>
      <c r="H14" s="101"/>
      <c r="I14" s="101"/>
      <c r="J14" s="101"/>
      <c r="K14" s="101"/>
      <c r="L14" s="101"/>
    </row>
    <row r="15" spans="1:24" ht="10.5" customHeight="1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</row>
    <row r="16" spans="1:24" ht="16.5">
      <c r="A16" s="32" t="s">
        <v>198</v>
      </c>
      <c r="B16" s="33">
        <f>VLOOKUP("X",таблРеестр[],4,FALSE)</f>
        <v>4</v>
      </c>
      <c r="C16" s="34"/>
      <c r="D16" s="24"/>
      <c r="E16" s="111" t="s">
        <v>199</v>
      </c>
      <c r="F16" s="111"/>
      <c r="G16" s="33" t="str">
        <f>VLOOKUP("X",таблРеестр[],7,FALSE)</f>
        <v> 8P52 </v>
      </c>
      <c r="H16" s="24"/>
      <c r="I16" s="24"/>
      <c r="J16" s="24"/>
      <c r="K16" s="24"/>
    </row>
    <row r="17" spans="1:12" ht="0.75" customHeight="1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</row>
    <row r="18" spans="1:12" ht="16.5" customHeight="1">
      <c r="A18" s="93" t="s">
        <v>200</v>
      </c>
      <c r="B18" s="93"/>
      <c r="C18" s="93"/>
      <c r="D18" s="103" t="str">
        <f>IF(VLOOKUP("X",таблРеестр[],27,FALSE)="","",VLOOKUP("X",таблРеестр[],27,FALSE))</f>
        <v>КСС №1, 2 - Ø57х4, материал 12Х18Н10Т</v>
      </c>
      <c r="E18" s="109"/>
      <c r="F18" s="109"/>
      <c r="G18" s="109"/>
      <c r="H18" s="109"/>
      <c r="I18" s="109"/>
      <c r="J18" s="109"/>
      <c r="K18" s="109"/>
      <c r="L18" s="109"/>
    </row>
    <row r="19" spans="1:12">
      <c r="A19" s="24"/>
      <c r="B19" s="24"/>
      <c r="C19" s="24"/>
      <c r="D19" s="24"/>
      <c r="E19" s="24"/>
      <c r="F19" s="107" t="s">
        <v>201</v>
      </c>
      <c r="G19" s="107"/>
      <c r="H19" s="107"/>
      <c r="I19" s="107"/>
      <c r="J19" s="24"/>
      <c r="K19" s="24"/>
    </row>
    <row r="20" spans="1:12" ht="5.25" customHeight="1"/>
    <row r="21" spans="1:12" ht="16.5">
      <c r="A21" s="93" t="s">
        <v>202</v>
      </c>
      <c r="B21" s="93"/>
      <c r="C21" s="93"/>
      <c r="D21" s="93"/>
      <c r="E21" s="93"/>
      <c r="F21" s="93"/>
      <c r="G21" s="93"/>
      <c r="H21" s="24"/>
      <c r="I21" s="24"/>
      <c r="J21" s="24"/>
      <c r="K21" s="24"/>
      <c r="L21" s="24"/>
    </row>
    <row r="22" spans="1:12" ht="16.5">
      <c r="A22" s="91" t="s">
        <v>203</v>
      </c>
      <c r="B22" s="91"/>
      <c r="C22" s="91"/>
      <c r="D22" s="91"/>
      <c r="E22" s="91"/>
      <c r="F22" s="35" t="s">
        <v>190</v>
      </c>
      <c r="G22" s="82" t="str">
        <f>VLOOKUP("X",таблРеестр[],19,FALSE)</f>
        <v>3090</v>
      </c>
      <c r="H22" s="35" t="s">
        <v>192</v>
      </c>
      <c r="I22" s="36" t="str">
        <f>IF(ISNUMBER(SEARCH(" ",TEXT(VLOOKUP("X",таблРеестр[],20,FALSE),"ДД.ММ.ГГГГ"))),
CONCATENATE(SUBSTITUTE((TRIM(TEXT(VLOOKUP("X",таблРеестр[],20,FALSE),"ДД.ММ.ГГГГ")))," "," г. ")," г."),
CONCATENATE(TEXT(VLOOKUP("X",таблРеестр[],20,FALSE),"ДД.ММ.ГГГГ")," г."))</f>
        <v>14.05.2020 г.</v>
      </c>
      <c r="K22" s="37" t="str">
        <f>IF(VLOOKUP("X",таблРеестр[],28,FALSE)="","оценка годные",VLOOKUP("X",таблРеестр[],28,FALSE))</f>
        <v>оценка годные</v>
      </c>
      <c r="L22" s="24"/>
    </row>
    <row r="23" spans="1:12" ht="15.75" customHeight="1"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</row>
    <row r="24" spans="1:12" ht="16.5">
      <c r="A24" s="91" t="s">
        <v>204</v>
      </c>
      <c r="B24" s="91"/>
      <c r="C24" s="91"/>
      <c r="D24" s="91"/>
      <c r="E24" s="91"/>
      <c r="F24" s="35" t="s">
        <v>190</v>
      </c>
      <c r="G24" s="39" t="str">
        <f>VLOOKUP("X",таблРеестр[],21,FALSE)</f>
        <v>99</v>
      </c>
      <c r="H24" s="35" t="s">
        <v>192</v>
      </c>
      <c r="I24" s="40" t="str">
        <f>IF(ISNUMBER(SEARCH(" ",TEXT(VLOOKUP("X",таблРеестр[],22,FALSE),"ДД.ММ.ГГГГ"))),
CONCATENATE(SUBSTITUTE((TRIM(TEXT(VLOOKUP("X",таблРеестр[],22,FALSE),"ДД.ММ.ГГГГ")))," "," г. ")," г."),
CONCATENATE(TEXT(VLOOKUP("X",таблРеестр[],22,FALSE),"ДД.ММ.ГГГГ")," г."))</f>
        <v>18.05.2020 г.</v>
      </c>
      <c r="J24" s="41"/>
      <c r="K24" s="37" t="str">
        <f>IF(VLOOKUP("X",таблРеестр[],29,FALSE)="","оценка годные",VLOOKUP("X",таблРеестр[],29,FALSE))</f>
        <v>оценка годные</v>
      </c>
    </row>
    <row r="25" spans="1:12" ht="13.5" customHeight="1"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</row>
    <row r="26" spans="1:12" ht="16.5">
      <c r="A26" s="93" t="s">
        <v>205</v>
      </c>
      <c r="B26" s="93"/>
      <c r="C26" s="93"/>
      <c r="D26" s="42" t="s">
        <v>190</v>
      </c>
      <c r="E26" s="61" t="str">
        <f>IF(VLOOKUP("X",таблРеестр[],23,FALSE)="","-",VLOOKUP("X",таблРеестр[],23,FALSE))</f>
        <v>-</v>
      </c>
      <c r="F26" s="43" t="s">
        <v>192</v>
      </c>
      <c r="G26" s="108" t="str">
        <f>IF(VLOOKUP("X",таблРеестр[],24,FALSE)&lt;&gt;"",
IF(ISNUMBER(SEARCH(" ",TEXT(VLOOKUP("X",таблРеестр[],24,FALSE),"ДД.ММ.ГГГГ"))),
CONCATENATE(SUBSTITUTE((TRIM(TEXT(VLOOKUP("X",таблРеестр[],24,FALSE),"ДД.ММ.ГГГГ")))," "," г. ")," г."),
CONCATENATE(TEXT(VLOOKUP("X",таблРеестр[],24,FALSE),"ДД.ММ.ГГГГ")," г.")),"")</f>
        <v/>
      </c>
      <c r="H26" s="108"/>
      <c r="I26" s="42"/>
      <c r="J26" s="42"/>
      <c r="K26" s="37" t="str">
        <f>IF(VLOOKUP("X",таблРеестр[],24,FALSE)="","","оценка годные")</f>
        <v/>
      </c>
      <c r="L26" s="42"/>
    </row>
    <row r="27" spans="1:12" ht="15" customHeight="1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42"/>
    </row>
    <row r="28" spans="1:12" ht="16.5">
      <c r="A28" s="42" t="s">
        <v>206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</row>
    <row r="29" spans="1:12" ht="16.5">
      <c r="A29" s="32" t="s">
        <v>207</v>
      </c>
      <c r="B29" s="32"/>
      <c r="C29" s="32"/>
      <c r="D29" s="101" t="str">
        <f>VLOOKUP(P2,'Данные (2)'!$E$2:$F$4,2,FALSE)</f>
        <v>ручной дуговой сварке покрытыми электродами</v>
      </c>
      <c r="E29" s="101"/>
      <c r="F29" s="101"/>
      <c r="G29" s="101"/>
      <c r="H29" s="101"/>
      <c r="I29" s="101"/>
      <c r="J29" s="101"/>
      <c r="K29" s="101"/>
      <c r="L29" s="101"/>
    </row>
    <row r="30" spans="1:12" ht="16.5">
      <c r="A30" s="42"/>
      <c r="B30" s="42"/>
      <c r="C30" s="42"/>
      <c r="D30" s="102" t="s">
        <v>208</v>
      </c>
      <c r="E30" s="102"/>
      <c r="F30" s="102"/>
      <c r="G30" s="102"/>
      <c r="H30" s="102"/>
      <c r="I30" s="102"/>
      <c r="J30" s="102"/>
      <c r="K30" s="102"/>
      <c r="L30" s="102"/>
    </row>
    <row r="31" spans="1:12" ht="21" customHeight="1">
      <c r="A31" s="101" t="str">
        <f>VLOOKUP("X",таблРеестр[],10,FALSE)</f>
        <v>КО пп. 1, 2, 3, 4, 5; ОХНВП пп. 1, 2, 3, 4, 6, 8, 9, 15, 16; СК пп. 1, 3</v>
      </c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</row>
    <row r="32" spans="1:12" ht="16.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</row>
    <row r="33" spans="1:14" ht="33" customHeight="1">
      <c r="A33" s="93" t="s">
        <v>209</v>
      </c>
      <c r="B33" s="93"/>
      <c r="C33" s="93"/>
      <c r="D33" s="93" t="s">
        <v>210</v>
      </c>
      <c r="E33" s="93"/>
      <c r="F33" s="103" t="str">
        <f>IF(VLOOKUP("X",таблРеестр[],11,FALSE)="","",VLOOKUP("X",таблРеестр[],11,FALSE))</f>
        <v>Л+Т, Т, Л</v>
      </c>
      <c r="G33" s="103"/>
      <c r="H33" s="42"/>
      <c r="I33" s="42" t="s">
        <v>211</v>
      </c>
      <c r="J33" s="104" t="str">
        <f>IF(VLOOKUP("X",таблРеестр[],12,FALSE)="","",VLOOKUP("X",таблРеестр[],12,FALSE))</f>
        <v>СШ, УШ</v>
      </c>
      <c r="K33" s="104"/>
      <c r="L33" s="104"/>
    </row>
    <row r="34" spans="1:14" ht="21" customHeight="1">
      <c r="A34" s="93" t="s">
        <v>212</v>
      </c>
      <c r="B34" s="93"/>
      <c r="C34" s="93"/>
      <c r="D34" s="93"/>
      <c r="E34" s="98" t="str">
        <f>VLOOKUP("X",таблРеестр[],13,FALSE)</f>
        <v>М01, М11</v>
      </c>
      <c r="F34" s="98"/>
      <c r="G34" s="98"/>
      <c r="H34" s="98"/>
      <c r="I34" s="98"/>
      <c r="J34" s="98"/>
      <c r="K34" s="98"/>
      <c r="L34" s="98"/>
      <c r="M34" s="44"/>
      <c r="N34" s="44"/>
    </row>
    <row r="35" spans="1:14" ht="8.25" customHeight="1">
      <c r="A35" s="105" t="s">
        <v>266</v>
      </c>
      <c r="B35" s="105"/>
      <c r="C35" s="105"/>
      <c r="D35" s="105"/>
      <c r="E35" s="105"/>
      <c r="F35" s="105"/>
      <c r="G35" s="105"/>
      <c r="H35" s="105"/>
      <c r="I35" s="105"/>
      <c r="J35" s="105"/>
      <c r="K35" s="105"/>
      <c r="L35" s="105"/>
    </row>
    <row r="36" spans="1:14" ht="16.5" customHeight="1">
      <c r="A36" s="93" t="s">
        <v>213</v>
      </c>
      <c r="B36" s="93"/>
      <c r="C36" s="93"/>
      <c r="D36" s="106" t="str">
        <f>VLOOKUP("X",таблРеестр[],17,FALSE)</f>
        <v>А, Р, РА, РБ, РЦ, Б</v>
      </c>
      <c r="E36" s="99"/>
      <c r="F36" s="99"/>
      <c r="G36" s="99"/>
      <c r="H36" s="99"/>
      <c r="I36" s="99"/>
      <c r="J36" s="99"/>
      <c r="K36" s="99"/>
      <c r="L36" s="99"/>
    </row>
    <row r="37" spans="1:14" ht="16.5" customHeight="1">
      <c r="A37" s="95" t="s">
        <v>214</v>
      </c>
      <c r="B37" s="95"/>
      <c r="C37" s="95"/>
      <c r="D37" s="96" t="str">
        <f>VLOOKUP("X",таблРеестр[],14,FALSE)</f>
        <v>М01, М11: от 3 до 8</v>
      </c>
      <c r="E37" s="97"/>
      <c r="F37" s="97"/>
      <c r="G37" s="97"/>
      <c r="H37" s="97"/>
      <c r="I37" s="97"/>
      <c r="J37" s="97"/>
      <c r="K37" s="97"/>
      <c r="L37" s="97"/>
      <c r="M37" s="45"/>
      <c r="N37" s="45"/>
    </row>
    <row r="38" spans="1:14" ht="16.5" customHeight="1">
      <c r="A38" s="95" t="s">
        <v>215</v>
      </c>
      <c r="B38" s="95"/>
      <c r="C38" s="95"/>
      <c r="D38" s="96" t="str">
        <f>VLOOKUP("X",таблРеестр[],15,FALSE)</f>
        <v xml:space="preserve">М01, М11: от 28,5 до 114; </v>
      </c>
      <c r="E38" s="97"/>
      <c r="F38" s="97"/>
      <c r="G38" s="97"/>
      <c r="H38" s="97"/>
      <c r="I38" s="97"/>
      <c r="J38" s="97"/>
      <c r="K38" s="97"/>
      <c r="L38" s="97"/>
      <c r="M38" s="45"/>
      <c r="N38" s="45"/>
    </row>
    <row r="39" spans="1:14" ht="16.5" customHeight="1">
      <c r="A39" s="93" t="s">
        <v>216</v>
      </c>
      <c r="B39" s="93"/>
      <c r="C39" s="93"/>
      <c r="D39" s="98" t="str">
        <f>VLOOKUP("X",таблРеестр[],16,FALSE)</f>
        <v>Л: Н1, Н2, Г, П1, П2, В1; Т: Н1, Н2, Г, П2, В1, Н45; Л+Т: В1, Н2, П2, Н45</v>
      </c>
      <c r="E39" s="99"/>
      <c r="F39" s="99"/>
      <c r="G39" s="99"/>
      <c r="H39" s="99"/>
      <c r="I39" s="99"/>
      <c r="J39" s="99"/>
      <c r="K39" s="99"/>
      <c r="L39" s="99"/>
    </row>
    <row r="40" spans="1:14" ht="23.25" customHeight="1">
      <c r="A40" s="93" t="s">
        <v>217</v>
      </c>
      <c r="B40" s="93"/>
      <c r="C40" s="100" t="str">
        <f>VLOOKUP("X",таблРеестр[],18,FALSE)</f>
        <v>ос (бп), ос (сп), дс (бз), дс (зк)</v>
      </c>
      <c r="D40" s="100"/>
      <c r="E40" s="100"/>
      <c r="F40" s="100"/>
      <c r="G40" s="100"/>
      <c r="H40" s="100"/>
      <c r="I40" s="100"/>
      <c r="J40" s="100"/>
      <c r="K40" s="100"/>
      <c r="L40" s="100"/>
    </row>
    <row r="41" spans="1:14" ht="16.5">
      <c r="A41" s="46"/>
      <c r="B41" s="46"/>
      <c r="C41" s="47"/>
      <c r="D41" s="47"/>
      <c r="E41" s="47"/>
      <c r="F41" s="47"/>
      <c r="G41" s="47"/>
      <c r="H41" s="42"/>
      <c r="I41" s="42"/>
      <c r="J41" s="42"/>
      <c r="K41" s="42"/>
      <c r="L41" s="42"/>
    </row>
    <row r="42" spans="1:14" ht="54" customHeight="1">
      <c r="A42" s="91" t="s">
        <v>218</v>
      </c>
      <c r="B42" s="91"/>
      <c r="C42" s="92" t="str">
        <f>IF(VLOOKUP("x",таблРеестр[],35,FALSE)="","_____________________________________________________________________________","допускной лист сварщика оформлен на основании п.4.3 ТР")</f>
        <v>_____________________________________________________________________________</v>
      </c>
      <c r="D42" s="92"/>
      <c r="E42" s="92"/>
      <c r="F42" s="92"/>
      <c r="G42" s="92"/>
      <c r="H42" s="92"/>
      <c r="I42" s="92"/>
      <c r="J42" s="92"/>
      <c r="K42" s="92"/>
      <c r="L42" s="92"/>
      <c r="N42" t="s">
        <v>219</v>
      </c>
    </row>
    <row r="43" spans="1:14" ht="16.5">
      <c r="A43" s="93" t="s">
        <v>220</v>
      </c>
      <c r="B43" s="93"/>
      <c r="C43" s="93"/>
      <c r="D43" s="20" t="s">
        <v>190</v>
      </c>
      <c r="E43" s="48" t="str">
        <f>I3</f>
        <v>2461/2-20</v>
      </c>
      <c r="F43" s="32" t="s">
        <v>221</v>
      </c>
      <c r="G43" s="32"/>
      <c r="I43" s="49" t="str">
        <f>CONCATENATE(TEXT(VLOOKUP("X",таблРеестр[],9,FALSE)," ДД [$-FC19]ММММ ГГГГ")," г.")</f>
        <v xml:space="preserve"> 03 августа 2021 г.</v>
      </c>
      <c r="J43" s="49"/>
      <c r="K43" s="48"/>
      <c r="L43" s="42"/>
    </row>
    <row r="44" spans="1:14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</row>
    <row r="45" spans="1:14" ht="15" customHeight="1">
      <c r="A45" s="94" t="s">
        <v>222</v>
      </c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</row>
    <row r="46" spans="1:14" ht="15" customHeight="1">
      <c r="A46" s="94"/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</row>
    <row r="47" spans="1:14" ht="15" customHeight="1">
      <c r="A47" s="94"/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</row>
    <row r="48" spans="1:14" ht="31.5" customHeight="1">
      <c r="A48" s="94"/>
      <c r="B48" s="94"/>
      <c r="C48" s="94"/>
      <c r="D48" s="94"/>
      <c r="E48" s="94"/>
      <c r="F48" s="94"/>
      <c r="G48" s="94"/>
      <c r="H48" s="94"/>
      <c r="I48" s="94"/>
      <c r="J48" s="94"/>
      <c r="K48" s="94"/>
      <c r="L48" s="94"/>
    </row>
    <row r="49" spans="1:12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</row>
    <row r="50" spans="1:12" ht="18.75">
      <c r="A50" s="17" t="s">
        <v>223</v>
      </c>
      <c r="B50" s="17"/>
      <c r="C50" s="17"/>
      <c r="D50" s="17"/>
      <c r="E50" s="17"/>
      <c r="F50" s="17"/>
      <c r="G50" s="17"/>
      <c r="H50" s="17"/>
      <c r="I50" s="17"/>
      <c r="J50" s="24"/>
      <c r="K50" s="24"/>
      <c r="L50" s="24"/>
    </row>
    <row r="51" spans="1:12" ht="18.75">
      <c r="A51" s="17"/>
      <c r="B51" s="17"/>
      <c r="C51" s="17"/>
      <c r="D51" s="17"/>
      <c r="E51" s="17"/>
      <c r="F51" s="17"/>
      <c r="G51" s="17"/>
      <c r="H51" s="17"/>
      <c r="I51" s="17"/>
      <c r="J51" s="24"/>
      <c r="K51" s="24"/>
      <c r="L51" s="24"/>
    </row>
    <row r="52" spans="1:12" ht="18.75">
      <c r="A52" s="89" t="str">
        <f>IF($I$52="В.Н. Шалденков","Начальник ОТН","И.О. начальника ОТН")</f>
        <v>И.О. начальника ОТН</v>
      </c>
      <c r="B52" s="89"/>
      <c r="C52" s="89"/>
      <c r="D52" s="51"/>
      <c r="E52" s="90"/>
      <c r="F52" s="90"/>
      <c r="G52" s="90"/>
      <c r="H52" s="90"/>
      <c r="I52" s="51" t="str">
        <f>VLOOKUP("X",таблРеестр[],34,FALSE)</f>
        <v>И.И.Иванов</v>
      </c>
      <c r="J52" s="52"/>
      <c r="K52" s="52"/>
      <c r="L52" s="24"/>
    </row>
    <row r="53" spans="1:12" ht="18.75">
      <c r="A53" s="53"/>
      <c r="B53" s="53"/>
      <c r="C53" s="53"/>
      <c r="D53" s="53"/>
      <c r="E53" s="53"/>
      <c r="F53" s="53"/>
      <c r="G53" s="53"/>
      <c r="H53" s="53"/>
      <c r="I53" s="53"/>
    </row>
    <row r="54" spans="1:12" ht="18.75">
      <c r="A54" s="89" t="s">
        <v>224</v>
      </c>
      <c r="B54" s="89"/>
      <c r="C54" s="89"/>
      <c r="D54" s="51"/>
      <c r="E54" s="90"/>
      <c r="F54" s="90"/>
      <c r="G54" s="90"/>
      <c r="H54" s="90"/>
      <c r="I54" s="51" t="s">
        <v>225</v>
      </c>
      <c r="J54" s="52"/>
      <c r="K54" s="52"/>
    </row>
  </sheetData>
  <mergeCells count="48">
    <mergeCell ref="A18:C18"/>
    <mergeCell ref="D18:L18"/>
    <mergeCell ref="B3:G3"/>
    <mergeCell ref="D5:E5"/>
    <mergeCell ref="A7:E7"/>
    <mergeCell ref="F7:L7"/>
    <mergeCell ref="A9:B9"/>
    <mergeCell ref="E11:G11"/>
    <mergeCell ref="F12:K12"/>
    <mergeCell ref="A13:L13"/>
    <mergeCell ref="A14:B14"/>
    <mergeCell ref="C14:L14"/>
    <mergeCell ref="E16:F16"/>
    <mergeCell ref="F19:I19"/>
    <mergeCell ref="A21:G21"/>
    <mergeCell ref="A22:E22"/>
    <mergeCell ref="A24:E24"/>
    <mergeCell ref="A26:C26"/>
    <mergeCell ref="G26:H26"/>
    <mergeCell ref="A37:C37"/>
    <mergeCell ref="D37:L37"/>
    <mergeCell ref="A27:K27"/>
    <mergeCell ref="D29:L29"/>
    <mergeCell ref="D30:L30"/>
    <mergeCell ref="A31:L31"/>
    <mergeCell ref="A33:C33"/>
    <mergeCell ref="D33:E33"/>
    <mergeCell ref="F33:G33"/>
    <mergeCell ref="J33:L33"/>
    <mergeCell ref="A34:D34"/>
    <mergeCell ref="E34:L34"/>
    <mergeCell ref="A35:L35"/>
    <mergeCell ref="A36:C36"/>
    <mergeCell ref="D36:L36"/>
    <mergeCell ref="A38:C38"/>
    <mergeCell ref="D38:L38"/>
    <mergeCell ref="A39:C39"/>
    <mergeCell ref="D39:L39"/>
    <mergeCell ref="A40:B40"/>
    <mergeCell ref="C40:L40"/>
    <mergeCell ref="A52:C52"/>
    <mergeCell ref="E52:H52"/>
    <mergeCell ref="A54:C54"/>
    <mergeCell ref="E54:H54"/>
    <mergeCell ref="A42:B42"/>
    <mergeCell ref="C42:L42"/>
    <mergeCell ref="A43:C43"/>
    <mergeCell ref="A45:L48"/>
  </mergeCells>
  <pageMargins left="0.7" right="0.7" top="0.75" bottom="0.75" header="0.3" footer="0.3"/>
  <pageSetup paperSize="9"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ke_welder_list">
                <anchor moveWithCells="1" sizeWithCells="1">
                  <from>
                    <xdr:col>12</xdr:col>
                    <xdr:colOff>47625</xdr:colOff>
                    <xdr:row>0</xdr:row>
                    <xdr:rowOff>9525</xdr:rowOff>
                  </from>
                  <to>
                    <xdr:col>14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Данные!$D$2:$D$8</xm:f>
          </x14:formula1>
          <xm:sqref>P1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O32"/>
  <sheetViews>
    <sheetView workbookViewId="0">
      <selection activeCell="B6" sqref="B6:L6"/>
    </sheetView>
  </sheetViews>
  <sheetFormatPr defaultRowHeight="15"/>
  <cols>
    <col min="1" max="1" width="20.42578125" customWidth="1"/>
    <col min="8" max="8" width="8.140625" customWidth="1"/>
    <col min="9" max="9" width="5.85546875" customWidth="1"/>
    <col min="10" max="12" width="6.28515625" customWidth="1"/>
    <col min="13" max="13" width="0" hidden="1" customWidth="1"/>
    <col min="14" max="14" width="9.28515625" bestFit="1" customWidth="1"/>
    <col min="15" max="15" width="6.7109375" bestFit="1" customWidth="1"/>
  </cols>
  <sheetData>
    <row r="1" spans="1:15">
      <c r="M1" t="s">
        <v>226</v>
      </c>
      <c r="N1" t="s">
        <v>227</v>
      </c>
      <c r="O1" t="s">
        <v>228</v>
      </c>
    </row>
    <row r="2" spans="1:15">
      <c r="A2" t="s">
        <v>27</v>
      </c>
      <c r="B2" t="s">
        <v>229</v>
      </c>
      <c r="C2" t="s">
        <v>91</v>
      </c>
      <c r="D2" s="56" t="s">
        <v>230</v>
      </c>
      <c r="E2" t="s">
        <v>27</v>
      </c>
      <c r="F2" s="56" t="s">
        <v>231</v>
      </c>
      <c r="M2" s="57" t="s">
        <v>232</v>
      </c>
      <c r="N2" t="s">
        <v>233</v>
      </c>
      <c r="O2" t="s">
        <v>234</v>
      </c>
    </row>
    <row r="3" spans="1:15">
      <c r="A3" t="s">
        <v>28</v>
      </c>
      <c r="B3" t="s">
        <v>235</v>
      </c>
      <c r="C3" t="s">
        <v>78</v>
      </c>
      <c r="D3" s="56" t="s">
        <v>86</v>
      </c>
      <c r="E3" t="s">
        <v>28</v>
      </c>
      <c r="F3" s="56" t="s">
        <v>236</v>
      </c>
      <c r="M3" s="57" t="s">
        <v>237</v>
      </c>
      <c r="N3" t="s">
        <v>238</v>
      </c>
      <c r="O3" t="s">
        <v>239</v>
      </c>
    </row>
    <row r="4" spans="1:15">
      <c r="A4" t="s">
        <v>29</v>
      </c>
      <c r="B4" t="s">
        <v>240</v>
      </c>
      <c r="C4" s="56" t="s">
        <v>241</v>
      </c>
      <c r="D4" s="58" t="s">
        <v>131</v>
      </c>
      <c r="E4" t="s">
        <v>29</v>
      </c>
      <c r="F4" s="56" t="s">
        <v>242</v>
      </c>
      <c r="M4" s="57" t="s">
        <v>243</v>
      </c>
      <c r="N4" t="s">
        <v>244</v>
      </c>
      <c r="O4" t="s">
        <v>245</v>
      </c>
    </row>
    <row r="5" spans="1:15">
      <c r="A5">
        <v>6</v>
      </c>
      <c r="B5" s="117" t="s">
        <v>246</v>
      </c>
      <c r="C5" s="117"/>
      <c r="D5" s="117"/>
      <c r="E5" s="117"/>
      <c r="F5" s="117"/>
      <c r="G5" s="117"/>
      <c r="H5" s="117"/>
      <c r="I5" s="117"/>
      <c r="J5" s="117"/>
      <c r="K5" s="117"/>
      <c r="L5" s="117"/>
      <c r="M5" s="57" t="s">
        <v>247</v>
      </c>
      <c r="N5" t="s">
        <v>248</v>
      </c>
      <c r="O5" t="s">
        <v>249</v>
      </c>
    </row>
    <row r="6" spans="1:15">
      <c r="A6">
        <v>4</v>
      </c>
      <c r="B6" s="118" t="s">
        <v>250</v>
      </c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57" t="s">
        <v>251</v>
      </c>
      <c r="N6" t="s">
        <v>252</v>
      </c>
      <c r="O6" t="s">
        <v>253</v>
      </c>
    </row>
    <row r="7" spans="1:15">
      <c r="A7">
        <v>5</v>
      </c>
      <c r="B7" s="117" t="s">
        <v>246</v>
      </c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57" t="s">
        <v>254</v>
      </c>
      <c r="N7" t="s">
        <v>255</v>
      </c>
      <c r="O7" t="s">
        <v>256</v>
      </c>
    </row>
    <row r="8" spans="1:15">
      <c r="A8">
        <v>3</v>
      </c>
      <c r="B8" s="118" t="s">
        <v>250</v>
      </c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57" t="s">
        <v>257</v>
      </c>
      <c r="N8" t="s">
        <v>258</v>
      </c>
      <c r="O8" t="s">
        <v>259</v>
      </c>
    </row>
    <row r="9" spans="1:15">
      <c r="M9" s="57" t="s">
        <v>260</v>
      </c>
      <c r="N9" t="s">
        <v>261</v>
      </c>
      <c r="O9" t="s">
        <v>262</v>
      </c>
    </row>
    <row r="10" spans="1:15">
      <c r="M10" s="57" t="s">
        <v>263</v>
      </c>
      <c r="N10" t="s">
        <v>264</v>
      </c>
      <c r="O10" t="s">
        <v>265</v>
      </c>
    </row>
    <row r="11" spans="1:15">
      <c r="A11" t="s">
        <v>42</v>
      </c>
      <c r="B11" t="s">
        <v>266</v>
      </c>
      <c r="C11">
        <v>4</v>
      </c>
      <c r="D11" s="56" t="s">
        <v>75</v>
      </c>
      <c r="M11" s="57" t="s">
        <v>267</v>
      </c>
      <c r="N11" t="s">
        <v>268</v>
      </c>
      <c r="O11" t="s">
        <v>269</v>
      </c>
    </row>
    <row r="12" spans="1:15">
      <c r="A12" t="s">
        <v>43</v>
      </c>
      <c r="B12" t="s">
        <v>270</v>
      </c>
      <c r="C12">
        <v>5</v>
      </c>
      <c r="D12" s="56" t="s">
        <v>271</v>
      </c>
      <c r="M12" s="57" t="s">
        <v>272</v>
      </c>
      <c r="N12" t="s">
        <v>273</v>
      </c>
      <c r="O12" t="s">
        <v>274</v>
      </c>
    </row>
    <row r="13" spans="1:15">
      <c r="A13" t="s">
        <v>44</v>
      </c>
      <c r="B13" t="s">
        <v>266</v>
      </c>
      <c r="C13">
        <v>6</v>
      </c>
      <c r="D13" s="56" t="s">
        <v>114</v>
      </c>
      <c r="M13" s="57" t="s">
        <v>275</v>
      </c>
      <c r="N13" t="s">
        <v>276</v>
      </c>
      <c r="O13" t="s">
        <v>277</v>
      </c>
    </row>
    <row r="14" spans="1:15">
      <c r="A14" t="s">
        <v>45</v>
      </c>
      <c r="B14" t="s">
        <v>266</v>
      </c>
      <c r="D14" s="56" t="s">
        <v>114</v>
      </c>
      <c r="M14" s="57" t="s">
        <v>278</v>
      </c>
      <c r="O14" t="s">
        <v>279</v>
      </c>
    </row>
    <row r="15" spans="1:15">
      <c r="A15" t="s">
        <v>46</v>
      </c>
      <c r="B15" t="s">
        <v>266</v>
      </c>
      <c r="D15" s="56" t="s">
        <v>75</v>
      </c>
      <c r="M15" s="57" t="s">
        <v>280</v>
      </c>
      <c r="O15" t="s">
        <v>281</v>
      </c>
    </row>
    <row r="16" spans="1:15" ht="24.75" customHeight="1">
      <c r="A16" t="s">
        <v>47</v>
      </c>
      <c r="B16" s="59"/>
      <c r="C16" s="59"/>
      <c r="D16" s="56" t="s">
        <v>282</v>
      </c>
      <c r="M16" s="57" t="s">
        <v>283</v>
      </c>
      <c r="O16" t="s">
        <v>284</v>
      </c>
    </row>
    <row r="17" spans="1:15">
      <c r="A17" t="s">
        <v>48</v>
      </c>
      <c r="B17" s="56"/>
      <c r="D17" s="56" t="s">
        <v>282</v>
      </c>
      <c r="M17" s="57" t="s">
        <v>285</v>
      </c>
      <c r="O17" t="s">
        <v>286</v>
      </c>
    </row>
    <row r="18" spans="1:15">
      <c r="A18" s="56"/>
      <c r="B18" s="56"/>
      <c r="M18" s="57" t="s">
        <v>287</v>
      </c>
      <c r="O18" t="s">
        <v>288</v>
      </c>
    </row>
    <row r="19" spans="1:15">
      <c r="A19" s="56"/>
      <c r="B19" s="56"/>
      <c r="M19" s="57" t="s">
        <v>289</v>
      </c>
      <c r="O19" t="s">
        <v>290</v>
      </c>
    </row>
    <row r="20" spans="1:15">
      <c r="A20" s="59" t="s">
        <v>212</v>
      </c>
      <c r="M20" s="57" t="s">
        <v>291</v>
      </c>
      <c r="O20" t="s">
        <v>292</v>
      </c>
    </row>
    <row r="21" spans="1:15">
      <c r="A21" s="56" t="s">
        <v>293</v>
      </c>
      <c r="M21" s="57" t="s">
        <v>294</v>
      </c>
      <c r="O21" t="s">
        <v>295</v>
      </c>
    </row>
    <row r="22" spans="1:15">
      <c r="M22" s="57" t="s">
        <v>296</v>
      </c>
      <c r="O22" t="s">
        <v>297</v>
      </c>
    </row>
    <row r="23" spans="1:15">
      <c r="A23" t="s">
        <v>27</v>
      </c>
      <c r="M23" s="57" t="s">
        <v>298</v>
      </c>
      <c r="O23" t="s">
        <v>299</v>
      </c>
    </row>
    <row r="24" spans="1:15">
      <c r="A24" t="s">
        <v>28</v>
      </c>
      <c r="M24" s="57" t="s">
        <v>300</v>
      </c>
      <c r="O24" t="s">
        <v>301</v>
      </c>
    </row>
    <row r="25" spans="1:15">
      <c r="A25" t="s">
        <v>29</v>
      </c>
      <c r="M25" s="57" t="s">
        <v>302</v>
      </c>
      <c r="O25" t="s">
        <v>303</v>
      </c>
    </row>
    <row r="26" spans="1:15">
      <c r="M26" s="57" t="s">
        <v>304</v>
      </c>
      <c r="O26" t="s">
        <v>305</v>
      </c>
    </row>
    <row r="27" spans="1:15">
      <c r="M27" s="57" t="s">
        <v>306</v>
      </c>
      <c r="O27" t="s">
        <v>307</v>
      </c>
    </row>
    <row r="28" spans="1:15">
      <c r="M28" s="57" t="s">
        <v>308</v>
      </c>
      <c r="O28" t="s">
        <v>309</v>
      </c>
    </row>
    <row r="29" spans="1:15">
      <c r="M29" s="57" t="s">
        <v>310</v>
      </c>
      <c r="O29" t="s">
        <v>311</v>
      </c>
    </row>
    <row r="30" spans="1:15" ht="18.75">
      <c r="A30" s="51" t="s">
        <v>84</v>
      </c>
      <c r="M30" s="57" t="s">
        <v>312</v>
      </c>
      <c r="O30" t="s">
        <v>313</v>
      </c>
    </row>
    <row r="31" spans="1:15">
      <c r="M31" s="57" t="s">
        <v>314</v>
      </c>
      <c r="O31" t="s">
        <v>315</v>
      </c>
    </row>
    <row r="32" spans="1:15">
      <c r="M32" s="57" t="s">
        <v>316</v>
      </c>
      <c r="O32" t="s">
        <v>317</v>
      </c>
    </row>
  </sheetData>
  <mergeCells count="4">
    <mergeCell ref="B5:L5"/>
    <mergeCell ref="B6:L6"/>
    <mergeCell ref="B7:L7"/>
    <mergeCell ref="B8:L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N1931"/>
  <sheetViews>
    <sheetView zoomScale="90" zoomScaleNormal="90" workbookViewId="0">
      <selection activeCell="E15" sqref="E15"/>
    </sheetView>
  </sheetViews>
  <sheetFormatPr defaultRowHeight="20.100000000000001" customHeight="1"/>
  <cols>
    <col min="1" max="1" width="8.28515625" style="84" customWidth="1"/>
    <col min="2" max="2" width="43.28515625" style="6" bestFit="1" customWidth="1"/>
    <col min="3" max="3" width="19.42578125" style="4" customWidth="1"/>
    <col min="4" max="4" width="31.42578125" style="6" bestFit="1" customWidth="1"/>
    <col min="5" max="5" width="38.7109375" style="6" customWidth="1"/>
    <col min="6" max="6" width="50.140625" style="6" bestFit="1" customWidth="1"/>
    <col min="7" max="7" width="16" style="6" bestFit="1" customWidth="1"/>
    <col min="8" max="8" width="58.85546875" style="4" customWidth="1"/>
    <col min="9" max="9" width="39.28515625" style="6" customWidth="1"/>
    <col min="10" max="10" width="26.5703125" style="6" customWidth="1"/>
    <col min="11" max="11" width="28.5703125" style="6" customWidth="1"/>
    <col min="12" max="12" width="60.85546875" style="6" customWidth="1"/>
    <col min="13" max="13" width="86.85546875" style="6" customWidth="1"/>
    <col min="14" max="14" width="17.42578125" style="6" bestFit="1" customWidth="1"/>
    <col min="15" max="25" width="12" bestFit="1" customWidth="1"/>
    <col min="26" max="39" width="13" bestFit="1" customWidth="1"/>
    <col min="40" max="40" width="12" bestFit="1" customWidth="1"/>
  </cols>
  <sheetData>
    <row r="1" spans="1:40" s="6" customFormat="1" ht="30">
      <c r="A1" s="87" t="s">
        <v>37</v>
      </c>
      <c r="B1" s="86" t="s">
        <v>0</v>
      </c>
      <c r="C1" s="86" t="s">
        <v>1</v>
      </c>
      <c r="D1" s="86" t="s">
        <v>2</v>
      </c>
      <c r="E1" s="86" t="s">
        <v>4</v>
      </c>
      <c r="F1" s="86" t="s">
        <v>7</v>
      </c>
      <c r="G1" s="86" t="s">
        <v>3</v>
      </c>
      <c r="H1" s="86" t="s">
        <v>8</v>
      </c>
      <c r="I1" s="86" t="s">
        <v>159</v>
      </c>
      <c r="J1" s="86" t="s">
        <v>9</v>
      </c>
      <c r="K1" s="86" t="s">
        <v>10</v>
      </c>
      <c r="L1" s="86" t="s">
        <v>38</v>
      </c>
      <c r="M1" s="86" t="s">
        <v>39</v>
      </c>
      <c r="N1" s="86" t="s">
        <v>40</v>
      </c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</row>
    <row r="2" spans="1:40" ht="15">
      <c r="A2" s="83">
        <f>IF(B2&lt;&gt;B1,1,A1+1)</f>
        <v>1</v>
      </c>
      <c r="B2" s="86" t="s">
        <v>403</v>
      </c>
      <c r="C2" s="85" t="s">
        <v>406</v>
      </c>
      <c r="D2" s="86">
        <v>5</v>
      </c>
      <c r="E2" s="86" t="s">
        <v>98</v>
      </c>
      <c r="F2" s="88">
        <v>44431</v>
      </c>
      <c r="G2" s="86" t="s">
        <v>28</v>
      </c>
      <c r="H2" s="85" t="s">
        <v>81</v>
      </c>
      <c r="I2" s="86" t="s">
        <v>114</v>
      </c>
      <c r="J2" s="86" t="s">
        <v>129</v>
      </c>
      <c r="K2" s="86" t="s">
        <v>128</v>
      </c>
      <c r="L2" s="86" t="s">
        <v>386</v>
      </c>
      <c r="M2" s="86" t="s">
        <v>366</v>
      </c>
      <c r="N2" s="86"/>
      <c r="O2" s="79"/>
      <c r="P2" s="79"/>
      <c r="Q2" s="76"/>
      <c r="R2" s="77"/>
      <c r="S2" s="76"/>
      <c r="T2" s="77"/>
      <c r="U2" s="76"/>
      <c r="V2" s="77"/>
      <c r="W2" s="76"/>
      <c r="X2" s="77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7"/>
      <c r="AM2" s="76"/>
      <c r="AN2" s="76"/>
    </row>
    <row r="3" spans="1:40" ht="15">
      <c r="A3" s="83">
        <f t="shared" ref="A3:A64" si="0">IF(B3&lt;&gt;B2,1,A2+1)</f>
        <v>2</v>
      </c>
      <c r="B3" s="86" t="s">
        <v>403</v>
      </c>
      <c r="C3" s="85" t="s">
        <v>407</v>
      </c>
      <c r="D3" s="86">
        <v>5</v>
      </c>
      <c r="E3" s="86" t="s">
        <v>112</v>
      </c>
      <c r="F3" s="88">
        <v>44675</v>
      </c>
      <c r="G3" s="86" t="s">
        <v>28</v>
      </c>
      <c r="H3" s="85" t="s">
        <v>81</v>
      </c>
      <c r="I3" s="86" t="s">
        <v>114</v>
      </c>
      <c r="J3" s="86" t="s">
        <v>129</v>
      </c>
      <c r="K3" s="86" t="s">
        <v>128</v>
      </c>
      <c r="L3" s="86" t="s">
        <v>387</v>
      </c>
      <c r="M3" s="86" t="s">
        <v>367</v>
      </c>
      <c r="N3" s="86"/>
      <c r="O3" s="79"/>
      <c r="P3" s="79"/>
      <c r="Q3" s="76"/>
      <c r="R3" s="77"/>
      <c r="S3" s="76"/>
      <c r="T3" s="77"/>
      <c r="U3" s="76"/>
      <c r="V3" s="77"/>
      <c r="W3" s="76"/>
      <c r="X3" s="77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7"/>
      <c r="AM3" s="76"/>
      <c r="AN3" s="76"/>
    </row>
    <row r="4" spans="1:40" ht="15">
      <c r="A4" s="83">
        <f t="shared" si="0"/>
        <v>3</v>
      </c>
      <c r="B4" s="86" t="s">
        <v>403</v>
      </c>
      <c r="C4" s="85" t="s">
        <v>408</v>
      </c>
      <c r="D4" s="86">
        <v>4</v>
      </c>
      <c r="E4" s="86" t="s">
        <v>94</v>
      </c>
      <c r="F4" s="88">
        <v>44046</v>
      </c>
      <c r="G4" s="86" t="s">
        <v>28</v>
      </c>
      <c r="H4" s="85" t="s">
        <v>81</v>
      </c>
      <c r="I4" s="86" t="s">
        <v>114</v>
      </c>
      <c r="J4" s="86" t="s">
        <v>129</v>
      </c>
      <c r="K4" s="86" t="s">
        <v>128</v>
      </c>
      <c r="L4" s="86" t="s">
        <v>388</v>
      </c>
      <c r="M4" s="86" t="s">
        <v>368</v>
      </c>
      <c r="N4" s="86"/>
      <c r="O4" s="79"/>
      <c r="P4" s="79"/>
      <c r="Q4" s="76"/>
      <c r="R4" s="77"/>
      <c r="S4" s="76"/>
      <c r="T4" s="77"/>
      <c r="U4" s="76"/>
      <c r="V4" s="77"/>
      <c r="W4" s="76"/>
      <c r="X4" s="77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7"/>
      <c r="AM4" s="76"/>
      <c r="AN4" s="76"/>
    </row>
    <row r="5" spans="1:40" ht="15">
      <c r="A5" s="83">
        <f t="shared" si="0"/>
        <v>4</v>
      </c>
      <c r="B5" s="86" t="s">
        <v>403</v>
      </c>
      <c r="C5" s="85" t="s">
        <v>409</v>
      </c>
      <c r="D5" s="86">
        <v>4</v>
      </c>
      <c r="E5" s="86" t="s">
        <v>94</v>
      </c>
      <c r="F5" s="88">
        <v>44411</v>
      </c>
      <c r="G5" s="86" t="s">
        <v>28</v>
      </c>
      <c r="H5" s="85" t="s">
        <v>81</v>
      </c>
      <c r="I5" s="86" t="s">
        <v>114</v>
      </c>
      <c r="J5" s="86" t="s">
        <v>129</v>
      </c>
      <c r="K5" s="86" t="s">
        <v>128</v>
      </c>
      <c r="L5" s="86" t="s">
        <v>388</v>
      </c>
      <c r="M5" s="86" t="s">
        <v>369</v>
      </c>
      <c r="N5" s="86"/>
      <c r="O5" s="79"/>
      <c r="P5" s="79"/>
      <c r="Q5" s="76"/>
      <c r="R5" s="77"/>
      <c r="S5" s="76"/>
      <c r="T5" s="77"/>
      <c r="U5" s="76"/>
      <c r="V5" s="77"/>
      <c r="W5" s="76"/>
      <c r="X5" s="77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7"/>
      <c r="AM5" s="76"/>
      <c r="AN5" s="76"/>
    </row>
    <row r="6" spans="1:40" ht="15">
      <c r="A6" s="83">
        <f t="shared" si="0"/>
        <v>5</v>
      </c>
      <c r="B6" s="86" t="s">
        <v>403</v>
      </c>
      <c r="C6" s="85" t="s">
        <v>410</v>
      </c>
      <c r="D6" s="86">
        <v>5</v>
      </c>
      <c r="E6" s="86" t="s">
        <v>100</v>
      </c>
      <c r="F6" s="88">
        <v>44431</v>
      </c>
      <c r="G6" s="86" t="s">
        <v>28</v>
      </c>
      <c r="H6" s="85" t="s">
        <v>81</v>
      </c>
      <c r="I6" s="86" t="s">
        <v>114</v>
      </c>
      <c r="J6" s="86" t="s">
        <v>129</v>
      </c>
      <c r="K6" s="86" t="s">
        <v>128</v>
      </c>
      <c r="L6" s="86" t="s">
        <v>389</v>
      </c>
      <c r="M6" s="86" t="s">
        <v>370</v>
      </c>
      <c r="N6" s="86"/>
      <c r="O6" s="79"/>
      <c r="P6" s="79"/>
      <c r="Q6" s="76"/>
      <c r="R6" s="77"/>
      <c r="S6" s="76"/>
      <c r="T6" s="77"/>
      <c r="U6" s="76"/>
      <c r="V6" s="77"/>
      <c r="W6" s="76"/>
      <c r="X6" s="77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7"/>
      <c r="AM6" s="76"/>
      <c r="AN6" s="76"/>
    </row>
    <row r="7" spans="1:40" ht="15">
      <c r="A7" s="83">
        <f t="shared" si="0"/>
        <v>6</v>
      </c>
      <c r="B7" s="86" t="s">
        <v>403</v>
      </c>
      <c r="C7" s="85" t="s">
        <v>411</v>
      </c>
      <c r="D7" s="86">
        <v>5</v>
      </c>
      <c r="E7" s="86" t="s">
        <v>109</v>
      </c>
      <c r="F7" s="88">
        <v>44675</v>
      </c>
      <c r="G7" s="86" t="s">
        <v>28</v>
      </c>
      <c r="H7" s="85" t="s">
        <v>81</v>
      </c>
      <c r="I7" s="86" t="s">
        <v>114</v>
      </c>
      <c r="J7" s="86" t="s">
        <v>129</v>
      </c>
      <c r="K7" s="86" t="s">
        <v>128</v>
      </c>
      <c r="L7" s="86" t="s">
        <v>390</v>
      </c>
      <c r="M7" s="86" t="s">
        <v>371</v>
      </c>
      <c r="N7" s="86"/>
      <c r="O7" s="79"/>
      <c r="P7" s="79"/>
      <c r="Q7" s="76"/>
      <c r="R7" s="77"/>
      <c r="S7" s="76"/>
      <c r="T7" s="77"/>
      <c r="U7" s="76"/>
      <c r="V7" s="77"/>
      <c r="W7" s="76"/>
      <c r="X7" s="77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7"/>
      <c r="AM7" s="76"/>
      <c r="AN7" s="76"/>
    </row>
    <row r="8" spans="1:40" ht="15">
      <c r="A8" s="83">
        <f t="shared" si="0"/>
        <v>7</v>
      </c>
      <c r="B8" s="86" t="s">
        <v>403</v>
      </c>
      <c r="C8" s="85" t="s">
        <v>412</v>
      </c>
      <c r="D8" s="86">
        <v>4</v>
      </c>
      <c r="E8" s="86" t="s">
        <v>102</v>
      </c>
      <c r="F8" s="88">
        <v>44431</v>
      </c>
      <c r="G8" s="86" t="s">
        <v>28</v>
      </c>
      <c r="H8" s="85" t="s">
        <v>81</v>
      </c>
      <c r="I8" s="86" t="s">
        <v>114</v>
      </c>
      <c r="J8" s="86" t="s">
        <v>129</v>
      </c>
      <c r="K8" s="86" t="s">
        <v>128</v>
      </c>
      <c r="L8" s="86" t="s">
        <v>391</v>
      </c>
      <c r="M8" s="86" t="s">
        <v>372</v>
      </c>
      <c r="N8" s="86"/>
      <c r="O8" s="79"/>
      <c r="P8" s="79"/>
      <c r="Q8" s="76"/>
      <c r="R8" s="77"/>
      <c r="S8" s="76"/>
      <c r="T8" s="77"/>
      <c r="U8" s="76"/>
      <c r="V8" s="77"/>
      <c r="W8" s="76"/>
      <c r="X8" s="77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7"/>
      <c r="AM8" s="76"/>
      <c r="AN8" s="76"/>
    </row>
    <row r="9" spans="1:40" ht="15">
      <c r="A9" s="83">
        <f t="shared" si="0"/>
        <v>8</v>
      </c>
      <c r="B9" s="86" t="s">
        <v>403</v>
      </c>
      <c r="C9" s="85" t="s">
        <v>413</v>
      </c>
      <c r="D9" s="86">
        <v>5</v>
      </c>
      <c r="E9" s="86" t="s">
        <v>105</v>
      </c>
      <c r="F9" s="88">
        <v>44431</v>
      </c>
      <c r="G9" s="86" t="s">
        <v>28</v>
      </c>
      <c r="H9" s="85" t="s">
        <v>81</v>
      </c>
      <c r="I9" s="86" t="s">
        <v>114</v>
      </c>
      <c r="J9" s="86" t="s">
        <v>129</v>
      </c>
      <c r="K9" s="86" t="s">
        <v>128</v>
      </c>
      <c r="L9" s="86" t="s">
        <v>392</v>
      </c>
      <c r="M9" s="86" t="s">
        <v>373</v>
      </c>
      <c r="N9" s="86"/>
      <c r="O9" s="79"/>
      <c r="P9" s="79"/>
      <c r="Q9" s="76"/>
      <c r="R9" s="77"/>
      <c r="S9" s="76"/>
      <c r="T9" s="77"/>
      <c r="U9" s="76"/>
      <c r="V9" s="77"/>
      <c r="W9" s="76"/>
      <c r="X9" s="77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7"/>
      <c r="AM9" s="76"/>
      <c r="AN9" s="76"/>
    </row>
    <row r="10" spans="1:40" ht="15">
      <c r="A10" s="83">
        <f t="shared" si="0"/>
        <v>1</v>
      </c>
      <c r="B10" s="86" t="s">
        <v>404</v>
      </c>
      <c r="C10" s="85" t="s">
        <v>414</v>
      </c>
      <c r="D10" s="86">
        <v>4</v>
      </c>
      <c r="E10" s="86" t="s">
        <v>106</v>
      </c>
      <c r="F10" s="88">
        <v>44046</v>
      </c>
      <c r="G10" s="86" t="s">
        <v>28</v>
      </c>
      <c r="H10" s="85" t="s">
        <v>81</v>
      </c>
      <c r="I10" s="86" t="s">
        <v>114</v>
      </c>
      <c r="J10" s="86" t="s">
        <v>129</v>
      </c>
      <c r="K10" s="86" t="s">
        <v>128</v>
      </c>
      <c r="L10" s="86" t="s">
        <v>350</v>
      </c>
      <c r="M10" s="86"/>
      <c r="N10" s="86"/>
      <c r="O10" s="79"/>
      <c r="P10" s="79"/>
      <c r="Q10" s="76"/>
      <c r="R10" s="77"/>
      <c r="S10" s="76"/>
      <c r="T10" s="77"/>
      <c r="U10" s="76"/>
      <c r="V10" s="77"/>
      <c r="W10" s="76"/>
      <c r="X10" s="77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7"/>
      <c r="AM10" s="76"/>
      <c r="AN10" s="76"/>
    </row>
    <row r="11" spans="1:40" ht="15">
      <c r="A11" s="83">
        <f t="shared" si="0"/>
        <v>2</v>
      </c>
      <c r="B11" s="86" t="s">
        <v>404</v>
      </c>
      <c r="C11" s="85" t="s">
        <v>415</v>
      </c>
      <c r="D11" s="86">
        <v>5</v>
      </c>
      <c r="E11" s="86" t="s">
        <v>145</v>
      </c>
      <c r="F11" s="88">
        <v>44622</v>
      </c>
      <c r="G11" s="86" t="s">
        <v>29</v>
      </c>
      <c r="H11" s="85" t="s">
        <v>147</v>
      </c>
      <c r="I11" s="86" t="s">
        <v>75</v>
      </c>
      <c r="J11" s="86" t="s">
        <v>76</v>
      </c>
      <c r="K11" s="86" t="s">
        <v>142</v>
      </c>
      <c r="L11" s="86" t="s">
        <v>393</v>
      </c>
      <c r="M11" s="86" t="s">
        <v>374</v>
      </c>
      <c r="N11" s="86"/>
      <c r="O11" s="79"/>
      <c r="P11" s="79"/>
      <c r="Q11" s="76"/>
      <c r="R11" s="77"/>
      <c r="S11" s="76"/>
      <c r="T11" s="77"/>
      <c r="U11" s="76"/>
      <c r="V11" s="77"/>
      <c r="W11" s="76"/>
      <c r="X11" s="77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7"/>
      <c r="AM11" s="76"/>
      <c r="AN11" s="76"/>
    </row>
    <row r="12" spans="1:40" ht="15">
      <c r="A12" s="83">
        <f t="shared" si="0"/>
        <v>3</v>
      </c>
      <c r="B12" s="86" t="s">
        <v>404</v>
      </c>
      <c r="C12" s="85" t="s">
        <v>416</v>
      </c>
      <c r="D12" s="86">
        <v>5</v>
      </c>
      <c r="E12" s="86" t="s">
        <v>172</v>
      </c>
      <c r="F12" s="88">
        <v>44622</v>
      </c>
      <c r="G12" s="86" t="s">
        <v>29</v>
      </c>
      <c r="H12" s="85" t="s">
        <v>171</v>
      </c>
      <c r="I12" s="86" t="s">
        <v>75</v>
      </c>
      <c r="J12" s="86" t="s">
        <v>76</v>
      </c>
      <c r="K12" s="86" t="s">
        <v>142</v>
      </c>
      <c r="L12" s="86" t="s">
        <v>394</v>
      </c>
      <c r="M12" s="86" t="s">
        <v>375</v>
      </c>
      <c r="N12" s="86"/>
      <c r="O12" s="79"/>
      <c r="P12" s="79"/>
      <c r="Q12" s="76"/>
      <c r="R12" s="77"/>
      <c r="S12" s="76"/>
      <c r="T12" s="77"/>
      <c r="U12" s="76"/>
      <c r="V12" s="77"/>
      <c r="W12" s="76"/>
      <c r="X12" s="77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7"/>
      <c r="AM12" s="76"/>
      <c r="AN12" s="76"/>
    </row>
    <row r="13" spans="1:40" ht="15">
      <c r="A13" s="83">
        <f t="shared" si="0"/>
        <v>4</v>
      </c>
      <c r="B13" s="86" t="s">
        <v>404</v>
      </c>
      <c r="C13" s="85" t="s">
        <v>417</v>
      </c>
      <c r="D13" s="86">
        <v>5</v>
      </c>
      <c r="E13" s="86" t="s">
        <v>174</v>
      </c>
      <c r="F13" s="88">
        <v>44776</v>
      </c>
      <c r="G13" s="86" t="s">
        <v>29</v>
      </c>
      <c r="H13" s="85" t="s">
        <v>171</v>
      </c>
      <c r="I13" s="86" t="s">
        <v>75</v>
      </c>
      <c r="J13" s="86" t="s">
        <v>76</v>
      </c>
      <c r="K13" s="86" t="s">
        <v>142</v>
      </c>
      <c r="L13" s="86" t="s">
        <v>395</v>
      </c>
      <c r="M13" s="86" t="s">
        <v>376</v>
      </c>
      <c r="N13" s="86"/>
      <c r="O13" s="79"/>
      <c r="P13" s="79"/>
      <c r="Q13" s="76"/>
      <c r="R13" s="77"/>
      <c r="S13" s="76"/>
      <c r="T13" s="77"/>
      <c r="U13" s="76"/>
      <c r="V13" s="77"/>
      <c r="W13" s="76"/>
      <c r="X13" s="77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7"/>
      <c r="AM13" s="76"/>
      <c r="AN13" s="76"/>
    </row>
    <row r="14" spans="1:40" ht="15">
      <c r="A14" s="83">
        <f t="shared" si="0"/>
        <v>5</v>
      </c>
      <c r="B14" s="86" t="s">
        <v>404</v>
      </c>
      <c r="C14" s="85" t="s">
        <v>418</v>
      </c>
      <c r="D14" s="86">
        <v>5</v>
      </c>
      <c r="E14" s="86" t="s">
        <v>166</v>
      </c>
      <c r="F14" s="88">
        <v>44347</v>
      </c>
      <c r="G14" s="86" t="s">
        <v>29</v>
      </c>
      <c r="H14" s="85" t="s">
        <v>152</v>
      </c>
      <c r="I14" s="86" t="s">
        <v>75</v>
      </c>
      <c r="J14" s="86" t="s">
        <v>80</v>
      </c>
      <c r="K14" s="86" t="s">
        <v>158</v>
      </c>
      <c r="L14" s="86"/>
      <c r="M14" s="86" t="s">
        <v>377</v>
      </c>
      <c r="N14" s="86"/>
      <c r="O14" s="79"/>
      <c r="P14" s="79"/>
      <c r="Q14" s="76"/>
      <c r="R14" s="77"/>
      <c r="S14" s="76"/>
      <c r="T14" s="77"/>
      <c r="U14" s="76"/>
      <c r="V14" s="77"/>
      <c r="W14" s="76"/>
      <c r="X14" s="77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7"/>
      <c r="AM14" s="76"/>
      <c r="AN14" s="76"/>
    </row>
    <row r="15" spans="1:40" ht="15">
      <c r="A15" s="83">
        <f t="shared" si="0"/>
        <v>6</v>
      </c>
      <c r="B15" s="86" t="s">
        <v>404</v>
      </c>
      <c r="C15" s="85" t="s">
        <v>419</v>
      </c>
      <c r="D15" s="86">
        <v>5</v>
      </c>
      <c r="E15" s="86" t="s">
        <v>177</v>
      </c>
      <c r="F15" s="88">
        <v>44776</v>
      </c>
      <c r="G15" s="86" t="s">
        <v>29</v>
      </c>
      <c r="H15" s="85" t="s">
        <v>171</v>
      </c>
      <c r="I15" s="86" t="s">
        <v>75</v>
      </c>
      <c r="J15" s="86" t="s">
        <v>76</v>
      </c>
      <c r="K15" s="86" t="s">
        <v>142</v>
      </c>
      <c r="L15" s="86" t="s">
        <v>396</v>
      </c>
      <c r="M15" s="86" t="s">
        <v>378</v>
      </c>
      <c r="N15" s="86"/>
      <c r="O15" s="79"/>
      <c r="P15" s="79"/>
      <c r="Q15" s="76"/>
      <c r="R15" s="77"/>
      <c r="S15" s="76"/>
      <c r="T15" s="77"/>
      <c r="U15" s="76"/>
      <c r="V15" s="77"/>
      <c r="W15" s="76"/>
      <c r="X15" s="77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7"/>
      <c r="AM15" s="76"/>
      <c r="AN15" s="76"/>
    </row>
    <row r="16" spans="1:40" ht="15">
      <c r="A16" s="83">
        <f t="shared" si="0"/>
        <v>7</v>
      </c>
      <c r="B16" s="86" t="s">
        <v>404</v>
      </c>
      <c r="C16" s="85" t="s">
        <v>420</v>
      </c>
      <c r="D16" s="86">
        <v>5</v>
      </c>
      <c r="E16" s="86" t="s">
        <v>182</v>
      </c>
      <c r="F16" s="88">
        <v>44007</v>
      </c>
      <c r="G16" s="86" t="s">
        <v>29</v>
      </c>
      <c r="H16" s="85" t="s">
        <v>171</v>
      </c>
      <c r="I16" s="86" t="s">
        <v>75</v>
      </c>
      <c r="J16" s="86" t="s">
        <v>76</v>
      </c>
      <c r="K16" s="86" t="s">
        <v>142</v>
      </c>
      <c r="L16" s="86" t="s">
        <v>397</v>
      </c>
      <c r="M16" s="86" t="s">
        <v>379</v>
      </c>
      <c r="N16" s="86"/>
      <c r="O16" s="79"/>
      <c r="P16" s="79"/>
      <c r="Q16" s="76"/>
      <c r="R16" s="77"/>
      <c r="S16" s="76"/>
      <c r="T16" s="77"/>
      <c r="U16" s="76"/>
      <c r="V16" s="77"/>
      <c r="W16" s="76"/>
      <c r="X16" s="77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7"/>
      <c r="AM16" s="76"/>
      <c r="AN16" s="76"/>
    </row>
    <row r="17" spans="1:40" ht="15">
      <c r="A17" s="83">
        <f t="shared" si="0"/>
        <v>1</v>
      </c>
      <c r="B17" s="86" t="s">
        <v>405</v>
      </c>
      <c r="C17" s="85" t="s">
        <v>421</v>
      </c>
      <c r="D17" s="86">
        <v>5</v>
      </c>
      <c r="E17" s="86" t="s">
        <v>160</v>
      </c>
      <c r="F17" s="88">
        <v>44630</v>
      </c>
      <c r="G17" s="86" t="s">
        <v>29</v>
      </c>
      <c r="H17" s="85" t="s">
        <v>156</v>
      </c>
      <c r="I17" s="86" t="s">
        <v>75</v>
      </c>
      <c r="J17" s="86" t="s">
        <v>76</v>
      </c>
      <c r="K17" s="86" t="s">
        <v>142</v>
      </c>
      <c r="L17" s="86" t="s">
        <v>398</v>
      </c>
      <c r="M17" s="86" t="s">
        <v>380</v>
      </c>
      <c r="N17" s="86"/>
      <c r="O17" s="79"/>
      <c r="P17" s="79"/>
      <c r="Q17" s="76"/>
      <c r="R17" s="77"/>
      <c r="S17" s="76"/>
      <c r="T17" s="77"/>
      <c r="U17" s="76"/>
      <c r="V17" s="77"/>
      <c r="W17" s="76"/>
      <c r="X17" s="77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7"/>
      <c r="AM17" s="76"/>
      <c r="AN17" s="76"/>
    </row>
    <row r="18" spans="1:40" ht="15">
      <c r="A18" s="83">
        <f t="shared" si="0"/>
        <v>2</v>
      </c>
      <c r="B18" s="86" t="s">
        <v>405</v>
      </c>
      <c r="C18" s="85" t="s">
        <v>422</v>
      </c>
      <c r="D18" s="86">
        <v>5</v>
      </c>
      <c r="E18" s="86" t="s">
        <v>318</v>
      </c>
      <c r="F18" s="88">
        <v>44630</v>
      </c>
      <c r="G18" s="86" t="s">
        <v>28</v>
      </c>
      <c r="H18" s="85" t="s">
        <v>171</v>
      </c>
      <c r="I18" s="86" t="s">
        <v>75</v>
      </c>
      <c r="J18" s="86" t="s">
        <v>80</v>
      </c>
      <c r="K18" s="86" t="s">
        <v>79</v>
      </c>
      <c r="L18" s="86" t="s">
        <v>399</v>
      </c>
      <c r="M18" s="86" t="s">
        <v>381</v>
      </c>
      <c r="N18" s="86"/>
      <c r="O18" s="79"/>
      <c r="P18" s="79"/>
      <c r="Q18" s="76"/>
      <c r="R18" s="77"/>
      <c r="S18" s="76"/>
      <c r="T18" s="77"/>
      <c r="U18" s="76"/>
      <c r="V18" s="77"/>
      <c r="W18" s="76"/>
      <c r="X18" s="77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7"/>
      <c r="AM18" s="76"/>
      <c r="AN18" s="76"/>
    </row>
    <row r="19" spans="1:40" ht="15">
      <c r="A19" s="83">
        <f t="shared" si="0"/>
        <v>3</v>
      </c>
      <c r="B19" s="86" t="s">
        <v>405</v>
      </c>
      <c r="C19" s="85" t="s">
        <v>423</v>
      </c>
      <c r="D19" s="86">
        <v>5</v>
      </c>
      <c r="E19" s="86" t="s">
        <v>180</v>
      </c>
      <c r="F19" s="88">
        <v>44630</v>
      </c>
      <c r="G19" s="86" t="s">
        <v>29</v>
      </c>
      <c r="H19" s="85" t="s">
        <v>171</v>
      </c>
      <c r="I19" s="86" t="s">
        <v>75</v>
      </c>
      <c r="J19" s="86" t="s">
        <v>76</v>
      </c>
      <c r="K19" s="86" t="s">
        <v>142</v>
      </c>
      <c r="L19" s="86" t="s">
        <v>400</v>
      </c>
      <c r="M19" s="86" t="s">
        <v>382</v>
      </c>
      <c r="N19" s="86"/>
      <c r="O19" s="79"/>
      <c r="P19" s="79"/>
      <c r="Q19" s="76"/>
      <c r="R19" s="77"/>
      <c r="S19" s="76"/>
      <c r="T19" s="77"/>
      <c r="U19" s="76"/>
      <c r="V19" s="77"/>
      <c r="W19" s="76"/>
      <c r="X19" s="77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7"/>
      <c r="AM19" s="76"/>
      <c r="AN19" s="76"/>
    </row>
    <row r="20" spans="1:40" ht="15">
      <c r="A20" s="83">
        <f t="shared" si="0"/>
        <v>4</v>
      </c>
      <c r="B20" s="86" t="s">
        <v>405</v>
      </c>
      <c r="C20" s="85" t="s">
        <v>424</v>
      </c>
      <c r="D20" s="86">
        <v>5</v>
      </c>
      <c r="E20" s="86" t="s">
        <v>324</v>
      </c>
      <c r="F20" s="88">
        <v>44630</v>
      </c>
      <c r="G20" s="86" t="s">
        <v>28</v>
      </c>
      <c r="H20" s="85" t="s">
        <v>171</v>
      </c>
      <c r="I20" s="86" t="s">
        <v>75</v>
      </c>
      <c r="J20" s="86" t="s">
        <v>80</v>
      </c>
      <c r="K20" s="86" t="s">
        <v>79</v>
      </c>
      <c r="L20" s="86" t="s">
        <v>401</v>
      </c>
      <c r="M20" s="86" t="s">
        <v>383</v>
      </c>
      <c r="N20" s="86"/>
      <c r="O20" s="79"/>
      <c r="P20" s="79"/>
      <c r="Q20" s="76"/>
      <c r="R20" s="77"/>
      <c r="S20" s="76"/>
      <c r="T20" s="77"/>
      <c r="U20" s="76"/>
      <c r="V20" s="77"/>
      <c r="W20" s="76"/>
      <c r="X20" s="77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7"/>
      <c r="AM20" s="76"/>
      <c r="AN20" s="76"/>
    </row>
    <row r="21" spans="1:40" ht="15">
      <c r="A21" s="83">
        <f t="shared" si="0"/>
        <v>5</v>
      </c>
      <c r="B21" s="86" t="s">
        <v>405</v>
      </c>
      <c r="C21" s="85" t="s">
        <v>425</v>
      </c>
      <c r="D21" s="86">
        <v>5</v>
      </c>
      <c r="E21" s="86" t="s">
        <v>151</v>
      </c>
      <c r="F21" s="88">
        <v>44347</v>
      </c>
      <c r="G21" s="86" t="s">
        <v>29</v>
      </c>
      <c r="H21" s="85" t="s">
        <v>152</v>
      </c>
      <c r="I21" s="86" t="s">
        <v>75</v>
      </c>
      <c r="J21" s="86" t="s">
        <v>76</v>
      </c>
      <c r="K21" s="86" t="s">
        <v>142</v>
      </c>
      <c r="L21" s="86" t="s">
        <v>402</v>
      </c>
      <c r="M21" s="86" t="s">
        <v>384</v>
      </c>
      <c r="N21" s="86"/>
      <c r="O21" s="79"/>
      <c r="P21" s="79"/>
      <c r="Q21" s="76"/>
      <c r="R21" s="77"/>
      <c r="S21" s="76"/>
      <c r="T21" s="77"/>
      <c r="U21" s="76"/>
      <c r="V21" s="77"/>
      <c r="W21" s="76"/>
      <c r="X21" s="77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7"/>
      <c r="AM21" s="76"/>
      <c r="AN21" s="76"/>
    </row>
    <row r="22" spans="1:40" ht="15">
      <c r="A22" s="83">
        <f t="shared" si="0"/>
        <v>1</v>
      </c>
      <c r="B22" s="86"/>
      <c r="C22" s="85"/>
      <c r="D22" s="86"/>
      <c r="E22" s="86"/>
      <c r="F22" s="88"/>
      <c r="G22" s="86"/>
      <c r="H22" s="85"/>
      <c r="I22" s="86"/>
      <c r="J22" s="86"/>
      <c r="K22" s="86"/>
      <c r="L22" s="86" t="s">
        <v>350</v>
      </c>
      <c r="M22" s="86"/>
      <c r="N22" s="86"/>
      <c r="O22" s="79"/>
      <c r="P22" s="79"/>
      <c r="Q22" s="76"/>
      <c r="R22" s="77"/>
      <c r="S22" s="76"/>
      <c r="T22" s="77"/>
      <c r="U22" s="76"/>
      <c r="V22" s="77"/>
      <c r="W22" s="76"/>
      <c r="X22" s="77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7"/>
      <c r="AM22" s="76"/>
      <c r="AN22" s="76"/>
    </row>
    <row r="23" spans="1:40" ht="15">
      <c r="A23" s="83">
        <f t="shared" si="0"/>
        <v>2</v>
      </c>
      <c r="B23" s="86"/>
      <c r="C23" s="85"/>
      <c r="D23" s="86"/>
      <c r="E23" s="86"/>
      <c r="F23" s="88"/>
      <c r="G23" s="86"/>
      <c r="H23" s="85"/>
      <c r="I23" s="86"/>
      <c r="J23" s="86"/>
      <c r="K23" s="86"/>
      <c r="L23" s="86" t="s">
        <v>350</v>
      </c>
      <c r="M23" s="86"/>
      <c r="N23" s="86"/>
      <c r="O23" s="79"/>
      <c r="P23" s="79"/>
      <c r="Q23" s="76"/>
      <c r="R23" s="77"/>
      <c r="S23" s="76"/>
      <c r="T23" s="77"/>
      <c r="U23" s="76"/>
      <c r="V23" s="77"/>
      <c r="W23" s="76"/>
      <c r="X23" s="77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7"/>
      <c r="AM23" s="76"/>
      <c r="AN23" s="76"/>
    </row>
    <row r="24" spans="1:40" ht="15">
      <c r="A24" s="83">
        <f t="shared" si="0"/>
        <v>3</v>
      </c>
      <c r="B24" s="86"/>
      <c r="C24" s="85"/>
      <c r="D24" s="86"/>
      <c r="E24" s="86"/>
      <c r="F24" s="88"/>
      <c r="G24" s="86"/>
      <c r="H24" s="85"/>
      <c r="I24" s="86"/>
      <c r="J24" s="86"/>
      <c r="K24" s="86"/>
      <c r="L24" s="86" t="s">
        <v>350</v>
      </c>
      <c r="M24" s="86"/>
      <c r="N24" s="86"/>
      <c r="O24" s="79"/>
      <c r="P24" s="79"/>
      <c r="Q24" s="76"/>
      <c r="R24" s="77"/>
      <c r="S24" s="76"/>
      <c r="T24" s="77"/>
      <c r="U24" s="76"/>
      <c r="V24" s="77"/>
      <c r="W24" s="76"/>
      <c r="X24" s="77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7"/>
      <c r="AM24" s="76"/>
      <c r="AN24" s="76"/>
    </row>
    <row r="25" spans="1:40" ht="15">
      <c r="A25" s="83">
        <f t="shared" si="0"/>
        <v>4</v>
      </c>
      <c r="B25" s="86"/>
      <c r="C25" s="85"/>
      <c r="D25" s="86"/>
      <c r="E25" s="86"/>
      <c r="F25" s="88"/>
      <c r="G25" s="86"/>
      <c r="H25" s="85"/>
      <c r="I25" s="86"/>
      <c r="J25" s="86"/>
      <c r="K25" s="86"/>
      <c r="L25" s="86" t="s">
        <v>350</v>
      </c>
      <c r="M25" s="86"/>
      <c r="N25" s="86"/>
      <c r="O25" s="79"/>
      <c r="P25" s="79"/>
      <c r="Q25" s="76"/>
      <c r="R25" s="77"/>
      <c r="S25" s="76"/>
      <c r="T25" s="77"/>
      <c r="U25" s="76"/>
      <c r="V25" s="77"/>
      <c r="W25" s="76"/>
      <c r="X25" s="77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7"/>
      <c r="AM25" s="76"/>
      <c r="AN25" s="76"/>
    </row>
    <row r="26" spans="1:40" ht="15">
      <c r="A26" s="83">
        <f t="shared" si="0"/>
        <v>5</v>
      </c>
      <c r="B26" s="86"/>
      <c r="C26" s="85"/>
      <c r="D26" s="86"/>
      <c r="E26" s="86"/>
      <c r="F26" s="88"/>
      <c r="G26" s="86"/>
      <c r="H26" s="85"/>
      <c r="I26" s="86"/>
      <c r="J26" s="86"/>
      <c r="K26" s="86"/>
      <c r="L26" s="86" t="s">
        <v>350</v>
      </c>
      <c r="M26" s="86"/>
      <c r="N26" s="86"/>
      <c r="O26" s="79"/>
      <c r="P26" s="79"/>
      <c r="Q26" s="76"/>
      <c r="R26" s="77"/>
      <c r="S26" s="76"/>
      <c r="T26" s="77"/>
      <c r="U26" s="76"/>
      <c r="V26" s="77"/>
      <c r="W26" s="76"/>
      <c r="X26" s="77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7"/>
      <c r="AM26" s="76"/>
      <c r="AN26" s="76"/>
    </row>
    <row r="27" spans="1:40" ht="15">
      <c r="A27" s="83">
        <f t="shared" si="0"/>
        <v>6</v>
      </c>
      <c r="B27" s="86"/>
      <c r="C27" s="85"/>
      <c r="D27" s="86"/>
      <c r="E27" s="86"/>
      <c r="F27" s="88"/>
      <c r="G27" s="86"/>
      <c r="H27" s="85"/>
      <c r="I27" s="86"/>
      <c r="J27" s="86"/>
      <c r="K27" s="86"/>
      <c r="L27" s="86" t="s">
        <v>350</v>
      </c>
      <c r="M27" s="86"/>
      <c r="N27" s="86"/>
      <c r="O27" s="79"/>
      <c r="P27" s="79"/>
      <c r="Q27" s="76"/>
      <c r="R27" s="77"/>
      <c r="S27" s="76"/>
      <c r="T27" s="77"/>
      <c r="U27" s="76"/>
      <c r="V27" s="77"/>
      <c r="W27" s="76"/>
      <c r="X27" s="77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7"/>
      <c r="AM27" s="76"/>
      <c r="AN27" s="76"/>
    </row>
    <row r="28" spans="1:40" ht="15">
      <c r="A28" s="83">
        <f t="shared" si="0"/>
        <v>7</v>
      </c>
      <c r="B28" s="86"/>
      <c r="C28" s="85"/>
      <c r="D28" s="86"/>
      <c r="E28" s="86"/>
      <c r="F28" s="88"/>
      <c r="G28" s="86"/>
      <c r="H28" s="85"/>
      <c r="I28" s="86"/>
      <c r="J28" s="86"/>
      <c r="K28" s="86"/>
      <c r="L28" s="86" t="s">
        <v>350</v>
      </c>
      <c r="M28" s="86"/>
      <c r="N28" s="86"/>
      <c r="O28" s="79"/>
      <c r="P28" s="79"/>
      <c r="Q28" s="76"/>
      <c r="R28" s="77"/>
      <c r="S28" s="76"/>
      <c r="T28" s="77"/>
      <c r="U28" s="76"/>
      <c r="V28" s="77"/>
      <c r="W28" s="76"/>
      <c r="X28" s="77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7"/>
      <c r="AM28" s="76"/>
      <c r="AN28" s="76"/>
    </row>
    <row r="29" spans="1:40" ht="15">
      <c r="A29" s="83">
        <f t="shared" si="0"/>
        <v>8</v>
      </c>
      <c r="B29" s="86"/>
      <c r="C29" s="85"/>
      <c r="D29" s="86"/>
      <c r="E29" s="86"/>
      <c r="F29" s="88"/>
      <c r="G29" s="86"/>
      <c r="H29" s="85"/>
      <c r="I29" s="86"/>
      <c r="J29" s="86"/>
      <c r="K29" s="86"/>
      <c r="L29" s="86" t="s">
        <v>350</v>
      </c>
      <c r="M29" s="86"/>
      <c r="N29" s="86"/>
      <c r="O29" s="79"/>
      <c r="P29" s="79"/>
      <c r="Q29" s="76"/>
      <c r="R29" s="77"/>
      <c r="S29" s="76"/>
      <c r="T29" s="77"/>
      <c r="U29" s="76"/>
      <c r="V29" s="77"/>
      <c r="W29" s="76"/>
      <c r="X29" s="77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7"/>
      <c r="AM29" s="76"/>
      <c r="AN29" s="76"/>
    </row>
    <row r="30" spans="1:40" ht="15">
      <c r="A30" s="83">
        <f t="shared" si="0"/>
        <v>9</v>
      </c>
      <c r="B30" s="86"/>
      <c r="C30" s="85"/>
      <c r="D30" s="86"/>
      <c r="E30" s="86"/>
      <c r="F30" s="88"/>
      <c r="G30" s="86"/>
      <c r="H30" s="85"/>
      <c r="I30" s="86"/>
      <c r="J30" s="86"/>
      <c r="K30" s="86"/>
      <c r="L30" s="86" t="s">
        <v>350</v>
      </c>
      <c r="M30" s="86"/>
      <c r="N30" s="86"/>
      <c r="O30" s="79"/>
      <c r="P30" s="79"/>
      <c r="Q30" s="76"/>
      <c r="R30" s="77"/>
      <c r="S30" s="76"/>
      <c r="T30" s="77"/>
      <c r="U30" s="76"/>
      <c r="V30" s="77"/>
      <c r="W30" s="76"/>
      <c r="X30" s="77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7"/>
      <c r="AM30" s="76"/>
      <c r="AN30" s="76"/>
    </row>
    <row r="31" spans="1:40" ht="15">
      <c r="A31" s="83">
        <f t="shared" si="0"/>
        <v>10</v>
      </c>
      <c r="B31" s="86"/>
      <c r="C31" s="85"/>
      <c r="D31" s="86"/>
      <c r="E31" s="86"/>
      <c r="F31" s="88"/>
      <c r="G31" s="86"/>
      <c r="H31" s="85"/>
      <c r="I31" s="86"/>
      <c r="J31" s="86"/>
      <c r="K31" s="86"/>
      <c r="L31" s="86" t="s">
        <v>350</v>
      </c>
      <c r="M31" s="86"/>
      <c r="N31" s="86"/>
      <c r="O31" s="79"/>
      <c r="P31" s="79"/>
      <c r="Q31" s="76"/>
      <c r="R31" s="77"/>
      <c r="S31" s="76"/>
      <c r="T31" s="77"/>
      <c r="U31" s="76"/>
      <c r="V31" s="77"/>
      <c r="W31" s="76"/>
      <c r="X31" s="77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7"/>
      <c r="AM31" s="76"/>
      <c r="AN31" s="76"/>
    </row>
    <row r="32" spans="1:40" ht="15">
      <c r="A32" s="83">
        <f t="shared" si="0"/>
        <v>11</v>
      </c>
      <c r="B32" s="86"/>
      <c r="C32" s="85"/>
      <c r="D32" s="86"/>
      <c r="E32" s="86"/>
      <c r="F32" s="88"/>
      <c r="G32" s="86"/>
      <c r="H32" s="85"/>
      <c r="I32" s="86"/>
      <c r="J32" s="86"/>
      <c r="K32" s="86"/>
      <c r="L32" s="86" t="s">
        <v>350</v>
      </c>
      <c r="M32" s="86"/>
      <c r="N32" s="86"/>
      <c r="O32" s="79"/>
      <c r="P32" s="79"/>
      <c r="Q32" s="76"/>
      <c r="R32" s="77"/>
      <c r="S32" s="76"/>
      <c r="T32" s="77"/>
      <c r="U32" s="76"/>
      <c r="V32" s="77"/>
      <c r="W32" s="76"/>
      <c r="X32" s="77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7"/>
      <c r="AM32" s="76"/>
      <c r="AN32" s="76"/>
    </row>
    <row r="33" spans="1:40" ht="15">
      <c r="A33" s="83">
        <f t="shared" si="0"/>
        <v>12</v>
      </c>
      <c r="B33" s="86"/>
      <c r="C33" s="85"/>
      <c r="D33" s="86"/>
      <c r="E33" s="86"/>
      <c r="F33" s="88"/>
      <c r="G33" s="86"/>
      <c r="H33" s="85"/>
      <c r="I33" s="86"/>
      <c r="J33" s="86"/>
      <c r="K33" s="86"/>
      <c r="L33" s="86" t="s">
        <v>350</v>
      </c>
      <c r="M33" s="86"/>
      <c r="N33" s="86"/>
      <c r="O33" s="79"/>
      <c r="P33" s="79"/>
      <c r="Q33" s="76"/>
      <c r="R33" s="77"/>
      <c r="S33" s="76"/>
      <c r="T33" s="77"/>
      <c r="U33" s="76"/>
      <c r="V33" s="77"/>
      <c r="W33" s="76"/>
      <c r="X33" s="77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7"/>
      <c r="AM33" s="76"/>
      <c r="AN33" s="76"/>
    </row>
    <row r="34" spans="1:40" ht="15">
      <c r="A34" s="83">
        <f t="shared" si="0"/>
        <v>13</v>
      </c>
      <c r="B34" s="86"/>
      <c r="C34" s="85"/>
      <c r="D34" s="86"/>
      <c r="E34" s="86"/>
      <c r="F34" s="88"/>
      <c r="G34" s="86"/>
      <c r="H34" s="85"/>
      <c r="I34" s="86"/>
      <c r="J34" s="86"/>
      <c r="K34" s="86"/>
      <c r="L34" s="86" t="s">
        <v>350</v>
      </c>
      <c r="M34" s="86"/>
      <c r="N34" s="86"/>
      <c r="O34" s="79"/>
      <c r="P34" s="79"/>
      <c r="Q34" s="76"/>
      <c r="R34" s="77"/>
      <c r="S34" s="76"/>
      <c r="T34" s="77"/>
      <c r="U34" s="76"/>
      <c r="V34" s="77"/>
      <c r="W34" s="76"/>
      <c r="X34" s="77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7"/>
      <c r="AM34" s="76"/>
      <c r="AN34" s="76"/>
    </row>
    <row r="35" spans="1:40" ht="15">
      <c r="A35" s="83">
        <f t="shared" si="0"/>
        <v>14</v>
      </c>
      <c r="B35" s="86"/>
      <c r="C35" s="85"/>
      <c r="D35" s="86"/>
      <c r="E35" s="86"/>
      <c r="F35" s="88"/>
      <c r="G35" s="86"/>
      <c r="H35" s="85"/>
      <c r="I35" s="86"/>
      <c r="J35" s="86"/>
      <c r="K35" s="86"/>
      <c r="L35" s="86" t="s">
        <v>350</v>
      </c>
      <c r="M35" s="86"/>
      <c r="N35" s="86"/>
      <c r="O35" s="79"/>
      <c r="P35" s="79"/>
      <c r="Q35" s="76"/>
      <c r="R35" s="77"/>
      <c r="S35" s="76"/>
      <c r="T35" s="77"/>
      <c r="U35" s="76"/>
      <c r="V35" s="77"/>
      <c r="W35" s="76"/>
      <c r="X35" s="77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7"/>
      <c r="AM35" s="76"/>
      <c r="AN35" s="76"/>
    </row>
    <row r="36" spans="1:40" ht="15">
      <c r="A36" s="83">
        <f t="shared" si="0"/>
        <v>15</v>
      </c>
      <c r="B36" s="86"/>
      <c r="C36" s="85"/>
      <c r="D36" s="86"/>
      <c r="E36" s="86"/>
      <c r="F36" s="88"/>
      <c r="G36" s="86"/>
      <c r="H36" s="85"/>
      <c r="I36" s="86"/>
      <c r="J36" s="86"/>
      <c r="K36" s="86"/>
      <c r="L36" s="86" t="s">
        <v>350</v>
      </c>
      <c r="M36" s="86"/>
      <c r="N36" s="86"/>
      <c r="O36" s="79"/>
      <c r="P36" s="79"/>
      <c r="Q36" s="76"/>
      <c r="R36" s="77"/>
      <c r="S36" s="76"/>
      <c r="T36" s="77"/>
      <c r="U36" s="76"/>
      <c r="V36" s="77"/>
      <c r="W36" s="76"/>
      <c r="X36" s="77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7"/>
      <c r="AM36" s="76"/>
      <c r="AN36" s="76"/>
    </row>
    <row r="37" spans="1:40" ht="15">
      <c r="A37" s="83">
        <f t="shared" si="0"/>
        <v>16</v>
      </c>
      <c r="B37" s="86"/>
      <c r="C37" s="85"/>
      <c r="D37" s="86"/>
      <c r="E37" s="86"/>
      <c r="F37" s="88"/>
      <c r="G37" s="86"/>
      <c r="H37" s="85"/>
      <c r="I37" s="86"/>
      <c r="J37" s="86"/>
      <c r="K37" s="86"/>
      <c r="L37" s="86" t="s">
        <v>350</v>
      </c>
      <c r="M37" s="86"/>
      <c r="N37" s="86"/>
      <c r="O37" s="79"/>
      <c r="P37" s="79"/>
      <c r="Q37" s="76"/>
      <c r="R37" s="77"/>
      <c r="S37" s="76"/>
      <c r="T37" s="77"/>
      <c r="U37" s="76"/>
      <c r="V37" s="77"/>
      <c r="W37" s="76"/>
      <c r="X37" s="77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7"/>
      <c r="AM37" s="76"/>
      <c r="AN37" s="76"/>
    </row>
    <row r="38" spans="1:40" ht="15">
      <c r="A38" s="83">
        <f t="shared" si="0"/>
        <v>17</v>
      </c>
      <c r="B38" s="86"/>
      <c r="C38" s="85"/>
      <c r="D38" s="86"/>
      <c r="E38" s="86"/>
      <c r="F38" s="88"/>
      <c r="G38" s="86"/>
      <c r="H38" s="85"/>
      <c r="I38" s="86"/>
      <c r="J38" s="86"/>
      <c r="K38" s="86"/>
      <c r="L38" s="86" t="s">
        <v>350</v>
      </c>
      <c r="M38" s="86"/>
      <c r="N38" s="86"/>
      <c r="O38" s="79"/>
      <c r="P38" s="79"/>
      <c r="Q38" s="76"/>
      <c r="R38" s="77"/>
      <c r="S38" s="76"/>
      <c r="T38" s="77"/>
      <c r="U38" s="76"/>
      <c r="V38" s="77"/>
      <c r="W38" s="76"/>
      <c r="X38" s="77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7"/>
      <c r="AM38" s="76"/>
      <c r="AN38" s="76"/>
    </row>
    <row r="39" spans="1:40" ht="15">
      <c r="A39" s="83">
        <f t="shared" si="0"/>
        <v>18</v>
      </c>
      <c r="B39" s="86"/>
      <c r="C39" s="85"/>
      <c r="D39" s="86"/>
      <c r="E39" s="86"/>
      <c r="F39" s="88"/>
      <c r="G39" s="86"/>
      <c r="H39" s="85"/>
      <c r="I39" s="86"/>
      <c r="J39" s="86"/>
      <c r="K39" s="86"/>
      <c r="L39" s="86" t="s">
        <v>350</v>
      </c>
      <c r="M39" s="86"/>
      <c r="N39" s="86"/>
      <c r="O39" s="79"/>
      <c r="P39" s="79"/>
      <c r="Q39" s="76"/>
      <c r="R39" s="77"/>
      <c r="S39" s="76"/>
      <c r="T39" s="77"/>
      <c r="U39" s="76"/>
      <c r="V39" s="77"/>
      <c r="W39" s="76"/>
      <c r="X39" s="77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7"/>
      <c r="AM39" s="76"/>
      <c r="AN39" s="76"/>
    </row>
    <row r="40" spans="1:40" ht="15">
      <c r="A40" s="83">
        <f t="shared" si="0"/>
        <v>19</v>
      </c>
      <c r="B40" s="86"/>
      <c r="C40" s="85"/>
      <c r="D40" s="86"/>
      <c r="E40" s="86"/>
      <c r="F40" s="88"/>
      <c r="G40" s="86"/>
      <c r="H40" s="85"/>
      <c r="I40" s="86"/>
      <c r="J40" s="86"/>
      <c r="K40" s="86"/>
      <c r="L40" s="86" t="s">
        <v>350</v>
      </c>
      <c r="M40" s="86"/>
      <c r="N40" s="86"/>
      <c r="O40" s="79"/>
      <c r="P40" s="79"/>
      <c r="Q40" s="76"/>
      <c r="R40" s="77"/>
      <c r="S40" s="76"/>
      <c r="T40" s="77"/>
      <c r="U40" s="76"/>
      <c r="V40" s="77"/>
      <c r="W40" s="76"/>
      <c r="X40" s="77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7"/>
      <c r="AM40" s="76"/>
      <c r="AN40" s="76"/>
    </row>
    <row r="41" spans="1:40" ht="15">
      <c r="A41" s="83">
        <f t="shared" si="0"/>
        <v>20</v>
      </c>
      <c r="B41" s="86"/>
      <c r="C41" s="85"/>
      <c r="D41" s="86"/>
      <c r="E41" s="86"/>
      <c r="F41" s="88"/>
      <c r="G41" s="86"/>
      <c r="H41" s="85"/>
      <c r="I41" s="86"/>
      <c r="J41" s="86"/>
      <c r="K41" s="86"/>
      <c r="L41" s="86" t="s">
        <v>350</v>
      </c>
      <c r="M41" s="86"/>
      <c r="N41" s="86"/>
      <c r="O41" s="79"/>
      <c r="P41" s="79"/>
      <c r="Q41" s="76"/>
      <c r="R41" s="77"/>
      <c r="S41" s="76"/>
      <c r="T41" s="77"/>
      <c r="U41" s="76"/>
      <c r="V41" s="77"/>
      <c r="W41" s="76"/>
      <c r="X41" s="77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7"/>
      <c r="AM41" s="76"/>
      <c r="AN41" s="76"/>
    </row>
    <row r="42" spans="1:40" ht="15">
      <c r="A42" s="83">
        <f t="shared" si="0"/>
        <v>21</v>
      </c>
      <c r="B42" s="86"/>
      <c r="C42" s="85"/>
      <c r="D42" s="86"/>
      <c r="E42" s="86"/>
      <c r="F42" s="88"/>
      <c r="G42" s="86"/>
      <c r="H42" s="85"/>
      <c r="I42" s="86"/>
      <c r="J42" s="86"/>
      <c r="K42" s="86"/>
      <c r="L42" s="86" t="s">
        <v>350</v>
      </c>
      <c r="M42" s="86"/>
      <c r="N42" s="86"/>
      <c r="O42" s="79"/>
      <c r="P42" s="79"/>
      <c r="Q42" s="76"/>
      <c r="R42" s="77"/>
      <c r="S42" s="76"/>
      <c r="T42" s="77"/>
      <c r="U42" s="76"/>
      <c r="V42" s="77"/>
      <c r="W42" s="76"/>
      <c r="X42" s="77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7"/>
      <c r="AM42" s="76"/>
      <c r="AN42" s="76"/>
    </row>
    <row r="43" spans="1:40" ht="15">
      <c r="A43" s="83">
        <f t="shared" si="0"/>
        <v>22</v>
      </c>
      <c r="B43" s="86"/>
      <c r="C43" s="85"/>
      <c r="D43" s="86"/>
      <c r="E43" s="86"/>
      <c r="F43" s="88"/>
      <c r="G43" s="86"/>
      <c r="H43" s="85"/>
      <c r="I43" s="86"/>
      <c r="J43" s="86"/>
      <c r="K43" s="86"/>
      <c r="L43" s="86" t="s">
        <v>350</v>
      </c>
      <c r="M43" s="86"/>
      <c r="N43" s="86"/>
      <c r="O43" s="79"/>
      <c r="P43" s="79"/>
      <c r="Q43" s="76"/>
      <c r="R43" s="77"/>
      <c r="S43" s="76"/>
      <c r="T43" s="77"/>
      <c r="U43" s="76"/>
      <c r="V43" s="77"/>
      <c r="W43" s="76"/>
      <c r="X43" s="77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7"/>
      <c r="AM43" s="76"/>
      <c r="AN43" s="76"/>
    </row>
    <row r="44" spans="1:40" ht="15">
      <c r="A44" s="83">
        <f t="shared" si="0"/>
        <v>23</v>
      </c>
      <c r="B44" s="86"/>
      <c r="C44" s="85"/>
      <c r="D44" s="86"/>
      <c r="E44" s="86"/>
      <c r="F44" s="88"/>
      <c r="G44" s="86"/>
      <c r="H44" s="85"/>
      <c r="I44" s="86"/>
      <c r="J44" s="86"/>
      <c r="K44" s="86"/>
      <c r="L44" s="86" t="s">
        <v>350</v>
      </c>
      <c r="M44" s="86"/>
      <c r="N44" s="86"/>
      <c r="O44" s="79"/>
      <c r="P44" s="79"/>
      <c r="Q44" s="76"/>
      <c r="R44" s="77"/>
      <c r="S44" s="76"/>
      <c r="T44" s="77"/>
      <c r="U44" s="76"/>
      <c r="V44" s="77"/>
      <c r="W44" s="76"/>
      <c r="X44" s="77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6"/>
      <c r="AJ44" s="76"/>
      <c r="AK44" s="76"/>
      <c r="AL44" s="77"/>
      <c r="AM44" s="76"/>
      <c r="AN44" s="76"/>
    </row>
    <row r="45" spans="1:40" ht="15">
      <c r="A45" s="83">
        <f t="shared" si="0"/>
        <v>24</v>
      </c>
      <c r="B45" s="86"/>
      <c r="C45" s="85"/>
      <c r="D45" s="86"/>
      <c r="E45" s="86"/>
      <c r="F45" s="88"/>
      <c r="G45" s="86"/>
      <c r="H45" s="85"/>
      <c r="I45" s="86"/>
      <c r="J45" s="86"/>
      <c r="K45" s="86"/>
      <c r="L45" s="86" t="s">
        <v>350</v>
      </c>
      <c r="M45" s="86"/>
      <c r="N45" s="86"/>
      <c r="O45" s="79"/>
      <c r="P45" s="79"/>
      <c r="Q45" s="76"/>
      <c r="R45" s="77"/>
      <c r="S45" s="76"/>
      <c r="T45" s="77"/>
      <c r="U45" s="76"/>
      <c r="V45" s="77"/>
      <c r="W45" s="76"/>
      <c r="X45" s="77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  <c r="AL45" s="77"/>
      <c r="AM45" s="76"/>
      <c r="AN45" s="76"/>
    </row>
    <row r="46" spans="1:40" ht="15">
      <c r="A46" s="83">
        <f t="shared" si="0"/>
        <v>25</v>
      </c>
      <c r="B46" s="86"/>
      <c r="C46" s="85"/>
      <c r="D46" s="86"/>
      <c r="E46" s="86"/>
      <c r="F46" s="88"/>
      <c r="G46" s="86"/>
      <c r="H46" s="85"/>
      <c r="I46" s="86"/>
      <c r="J46" s="86"/>
      <c r="K46" s="86"/>
      <c r="L46" s="86" t="s">
        <v>350</v>
      </c>
      <c r="M46" s="86"/>
      <c r="N46" s="86"/>
      <c r="O46" s="79"/>
      <c r="P46" s="79"/>
      <c r="Q46" s="76"/>
      <c r="R46" s="77"/>
      <c r="S46" s="76"/>
      <c r="T46" s="77"/>
      <c r="U46" s="76"/>
      <c r="V46" s="77"/>
      <c r="W46" s="76"/>
      <c r="X46" s="77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  <c r="AL46" s="77"/>
      <c r="AM46" s="76"/>
      <c r="AN46" s="76"/>
    </row>
    <row r="47" spans="1:40" ht="15">
      <c r="A47" s="83">
        <f t="shared" si="0"/>
        <v>26</v>
      </c>
      <c r="B47" s="86"/>
      <c r="C47" s="85"/>
      <c r="D47" s="86"/>
      <c r="E47" s="86"/>
      <c r="F47" s="88"/>
      <c r="G47" s="86"/>
      <c r="H47" s="85"/>
      <c r="I47" s="86"/>
      <c r="J47" s="86"/>
      <c r="K47" s="86"/>
      <c r="L47" s="86" t="s">
        <v>350</v>
      </c>
      <c r="M47" s="86"/>
      <c r="N47" s="86"/>
      <c r="O47" s="79"/>
      <c r="P47" s="79"/>
      <c r="Q47" s="76"/>
      <c r="R47" s="77"/>
      <c r="S47" s="76"/>
      <c r="T47" s="77"/>
      <c r="U47" s="76"/>
      <c r="V47" s="77"/>
      <c r="W47" s="76"/>
      <c r="X47" s="77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7"/>
      <c r="AM47" s="76"/>
      <c r="AN47" s="76"/>
    </row>
    <row r="48" spans="1:40" ht="15">
      <c r="A48" s="83">
        <f t="shared" si="0"/>
        <v>27</v>
      </c>
      <c r="B48" s="86"/>
      <c r="C48" s="85"/>
      <c r="D48" s="86"/>
      <c r="E48" s="86"/>
      <c r="F48" s="88"/>
      <c r="G48" s="86"/>
      <c r="H48" s="85"/>
      <c r="I48" s="86"/>
      <c r="J48" s="86"/>
      <c r="K48" s="86"/>
      <c r="L48" s="86" t="s">
        <v>350</v>
      </c>
      <c r="M48" s="86"/>
      <c r="N48" s="86"/>
      <c r="O48" s="79"/>
      <c r="P48" s="79"/>
      <c r="Q48" s="76"/>
      <c r="R48" s="77"/>
      <c r="S48" s="76"/>
      <c r="T48" s="77"/>
      <c r="U48" s="76"/>
      <c r="V48" s="77"/>
      <c r="W48" s="76"/>
      <c r="X48" s="77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  <c r="AL48" s="77"/>
      <c r="AM48" s="76"/>
      <c r="AN48" s="76"/>
    </row>
    <row r="49" spans="1:40" ht="15">
      <c r="A49" s="83">
        <f t="shared" si="0"/>
        <v>28</v>
      </c>
      <c r="B49" s="86"/>
      <c r="C49" s="85"/>
      <c r="D49" s="86"/>
      <c r="E49" s="86"/>
      <c r="F49" s="88"/>
      <c r="G49" s="86"/>
      <c r="H49" s="85"/>
      <c r="I49" s="86"/>
      <c r="J49" s="86"/>
      <c r="K49" s="86"/>
      <c r="L49" s="86" t="s">
        <v>350</v>
      </c>
      <c r="M49" s="86"/>
      <c r="N49" s="86"/>
      <c r="O49" s="79"/>
      <c r="P49" s="79"/>
      <c r="Q49" s="76"/>
      <c r="R49" s="77"/>
      <c r="S49" s="76"/>
      <c r="T49" s="77"/>
      <c r="U49" s="76"/>
      <c r="V49" s="77"/>
      <c r="W49" s="76"/>
      <c r="X49" s="77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7"/>
      <c r="AM49" s="76"/>
      <c r="AN49" s="76"/>
    </row>
    <row r="50" spans="1:40" ht="15">
      <c r="A50" s="83">
        <f t="shared" si="0"/>
        <v>29</v>
      </c>
      <c r="B50" s="86"/>
      <c r="C50" s="85"/>
      <c r="D50" s="86"/>
      <c r="E50" s="86"/>
      <c r="F50" s="88"/>
      <c r="G50" s="86"/>
      <c r="H50" s="85"/>
      <c r="I50" s="86"/>
      <c r="J50" s="86"/>
      <c r="K50" s="86"/>
      <c r="L50" s="86" t="s">
        <v>350</v>
      </c>
      <c r="M50" s="86"/>
      <c r="N50" s="86"/>
      <c r="O50" s="79"/>
      <c r="P50" s="79"/>
      <c r="Q50" s="76"/>
      <c r="R50" s="77"/>
      <c r="S50" s="76"/>
      <c r="T50" s="77"/>
      <c r="U50" s="76"/>
      <c r="V50" s="77"/>
      <c r="W50" s="76"/>
      <c r="X50" s="77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7"/>
      <c r="AM50" s="76"/>
      <c r="AN50" s="76"/>
    </row>
    <row r="51" spans="1:40" ht="15">
      <c r="A51" s="83">
        <f t="shared" si="0"/>
        <v>30</v>
      </c>
      <c r="B51" s="86"/>
      <c r="C51" s="85"/>
      <c r="D51" s="86"/>
      <c r="E51" s="86"/>
      <c r="F51" s="88"/>
      <c r="G51" s="86"/>
      <c r="H51" s="85"/>
      <c r="I51" s="86"/>
      <c r="J51" s="86"/>
      <c r="K51" s="86"/>
      <c r="L51" s="86" t="s">
        <v>350</v>
      </c>
      <c r="M51" s="86"/>
      <c r="N51" s="86"/>
      <c r="O51" s="79"/>
      <c r="P51" s="79"/>
      <c r="Q51" s="76"/>
      <c r="R51" s="77"/>
      <c r="S51" s="76"/>
      <c r="T51" s="77"/>
      <c r="U51" s="76"/>
      <c r="V51" s="77"/>
      <c r="W51" s="76"/>
      <c r="X51" s="77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7"/>
      <c r="AM51" s="76"/>
      <c r="AN51" s="76"/>
    </row>
    <row r="52" spans="1:40" ht="15">
      <c r="A52" s="83">
        <f t="shared" si="0"/>
        <v>31</v>
      </c>
      <c r="B52" s="86"/>
      <c r="C52" s="85"/>
      <c r="D52" s="86"/>
      <c r="E52" s="86"/>
      <c r="F52" s="88"/>
      <c r="G52" s="86"/>
      <c r="H52" s="85"/>
      <c r="I52" s="86"/>
      <c r="J52" s="86"/>
      <c r="K52" s="86"/>
      <c r="L52" s="86" t="s">
        <v>350</v>
      </c>
      <c r="M52" s="86"/>
      <c r="N52" s="86"/>
      <c r="O52" s="79"/>
      <c r="P52" s="79"/>
      <c r="Q52" s="76"/>
      <c r="R52" s="77"/>
      <c r="S52" s="76"/>
      <c r="T52" s="77"/>
      <c r="U52" s="76"/>
      <c r="V52" s="77"/>
      <c r="W52" s="76"/>
      <c r="X52" s="77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7"/>
      <c r="AM52" s="76"/>
      <c r="AN52" s="76"/>
    </row>
    <row r="53" spans="1:40" ht="15">
      <c r="A53" s="83">
        <f t="shared" si="0"/>
        <v>32</v>
      </c>
      <c r="B53" s="86"/>
      <c r="C53" s="85"/>
      <c r="D53" s="86"/>
      <c r="E53" s="86"/>
      <c r="F53" s="88"/>
      <c r="G53" s="86"/>
      <c r="H53" s="85"/>
      <c r="I53" s="86"/>
      <c r="J53" s="86"/>
      <c r="K53" s="86"/>
      <c r="L53" s="86" t="s">
        <v>350</v>
      </c>
      <c r="M53" s="86"/>
      <c r="N53" s="86"/>
      <c r="O53" s="79"/>
      <c r="P53" s="79"/>
      <c r="Q53" s="76"/>
      <c r="R53" s="77"/>
      <c r="S53" s="76"/>
      <c r="T53" s="77"/>
      <c r="U53" s="76"/>
      <c r="V53" s="77"/>
      <c r="W53" s="76"/>
      <c r="X53" s="77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7"/>
      <c r="AM53" s="76"/>
      <c r="AN53" s="76"/>
    </row>
    <row r="54" spans="1:40" ht="15">
      <c r="A54" s="83">
        <f t="shared" si="0"/>
        <v>33</v>
      </c>
      <c r="B54" s="86"/>
      <c r="C54" s="85"/>
      <c r="D54" s="86"/>
      <c r="E54" s="86"/>
      <c r="F54" s="88"/>
      <c r="G54" s="86"/>
      <c r="H54" s="85"/>
      <c r="I54" s="86"/>
      <c r="J54" s="86"/>
      <c r="K54" s="86"/>
      <c r="L54" s="86" t="s">
        <v>350</v>
      </c>
      <c r="M54" s="86"/>
      <c r="N54" s="86"/>
      <c r="O54" s="79"/>
      <c r="P54" s="79"/>
      <c r="Q54" s="76"/>
      <c r="R54" s="77"/>
      <c r="S54" s="76"/>
      <c r="T54" s="77"/>
      <c r="U54" s="76"/>
      <c r="V54" s="77"/>
      <c r="W54" s="76"/>
      <c r="X54" s="77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7"/>
      <c r="AM54" s="76"/>
      <c r="AN54" s="76"/>
    </row>
    <row r="55" spans="1:40" ht="15">
      <c r="A55" s="83">
        <f t="shared" si="0"/>
        <v>34</v>
      </c>
      <c r="B55" s="86"/>
      <c r="C55" s="85"/>
      <c r="D55" s="86"/>
      <c r="E55" s="86"/>
      <c r="F55" s="88"/>
      <c r="G55" s="86"/>
      <c r="H55" s="85"/>
      <c r="I55" s="86"/>
      <c r="J55" s="86"/>
      <c r="K55" s="86"/>
      <c r="L55" s="86" t="s">
        <v>350</v>
      </c>
      <c r="M55" s="86"/>
      <c r="N55" s="86"/>
      <c r="O55" s="79"/>
      <c r="P55" s="79"/>
      <c r="Q55" s="76"/>
      <c r="R55" s="77"/>
      <c r="S55" s="76"/>
      <c r="T55" s="77"/>
      <c r="U55" s="76"/>
      <c r="V55" s="77"/>
      <c r="W55" s="76"/>
      <c r="X55" s="77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7"/>
      <c r="AM55" s="76"/>
      <c r="AN55" s="76"/>
    </row>
    <row r="56" spans="1:40" ht="15">
      <c r="A56" s="83">
        <f t="shared" si="0"/>
        <v>35</v>
      </c>
      <c r="B56" s="86"/>
      <c r="C56" s="85"/>
      <c r="D56" s="86"/>
      <c r="E56" s="86"/>
      <c r="F56" s="88"/>
      <c r="G56" s="86"/>
      <c r="H56" s="85"/>
      <c r="I56" s="86"/>
      <c r="J56" s="86"/>
      <c r="K56" s="86"/>
      <c r="L56" s="86" t="s">
        <v>350</v>
      </c>
      <c r="M56" s="86"/>
      <c r="N56" s="86"/>
      <c r="O56" s="79"/>
      <c r="P56" s="79"/>
      <c r="Q56" s="76"/>
      <c r="R56" s="77"/>
      <c r="S56" s="76"/>
      <c r="T56" s="77"/>
      <c r="U56" s="76"/>
      <c r="V56" s="77"/>
      <c r="W56" s="76"/>
      <c r="X56" s="77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7"/>
      <c r="AM56" s="76"/>
      <c r="AN56" s="76"/>
    </row>
    <row r="57" spans="1:40" ht="15">
      <c r="A57" s="83">
        <f t="shared" si="0"/>
        <v>36</v>
      </c>
      <c r="B57" s="86"/>
      <c r="C57" s="85"/>
      <c r="D57" s="86"/>
      <c r="E57" s="86"/>
      <c r="F57" s="88"/>
      <c r="G57" s="86"/>
      <c r="H57" s="85"/>
      <c r="I57" s="86"/>
      <c r="J57" s="86"/>
      <c r="K57" s="86"/>
      <c r="L57" s="86" t="s">
        <v>350</v>
      </c>
      <c r="M57" s="86"/>
      <c r="N57" s="86"/>
      <c r="O57" s="79"/>
      <c r="P57" s="79"/>
      <c r="Q57" s="76"/>
      <c r="R57" s="77"/>
      <c r="S57" s="76"/>
      <c r="T57" s="77"/>
      <c r="U57" s="76"/>
      <c r="V57" s="77"/>
      <c r="W57" s="76"/>
      <c r="X57" s="77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7"/>
      <c r="AM57" s="76"/>
      <c r="AN57" s="76"/>
    </row>
    <row r="58" spans="1:40" ht="15">
      <c r="A58" s="83">
        <f t="shared" si="0"/>
        <v>37</v>
      </c>
      <c r="B58" s="86"/>
      <c r="C58" s="85"/>
      <c r="D58" s="86"/>
      <c r="E58" s="86"/>
      <c r="F58" s="88"/>
      <c r="G58" s="86"/>
      <c r="H58" s="85"/>
      <c r="I58" s="86"/>
      <c r="J58" s="86"/>
      <c r="K58" s="86"/>
      <c r="L58" s="86" t="s">
        <v>350</v>
      </c>
      <c r="M58" s="86"/>
      <c r="N58" s="86"/>
      <c r="O58" s="79"/>
      <c r="P58" s="79"/>
      <c r="Q58" s="76"/>
      <c r="R58" s="77"/>
      <c r="S58" s="76"/>
      <c r="T58" s="77"/>
      <c r="U58" s="76"/>
      <c r="V58" s="77"/>
      <c r="W58" s="76"/>
      <c r="X58" s="77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  <c r="AJ58" s="76"/>
      <c r="AK58" s="76"/>
      <c r="AL58" s="77"/>
      <c r="AM58" s="76"/>
      <c r="AN58" s="76"/>
    </row>
    <row r="59" spans="1:40" ht="15">
      <c r="A59" s="83">
        <f t="shared" si="0"/>
        <v>38</v>
      </c>
      <c r="B59" s="86"/>
      <c r="C59" s="85"/>
      <c r="D59" s="86"/>
      <c r="E59" s="86"/>
      <c r="F59" s="88"/>
      <c r="G59" s="86"/>
      <c r="H59" s="85"/>
      <c r="I59" s="86"/>
      <c r="J59" s="86"/>
      <c r="K59" s="86"/>
      <c r="L59" s="86" t="s">
        <v>350</v>
      </c>
      <c r="M59" s="86"/>
      <c r="N59" s="86"/>
      <c r="O59" s="79"/>
      <c r="P59" s="79"/>
      <c r="Q59" s="76"/>
      <c r="R59" s="77"/>
      <c r="S59" s="76"/>
      <c r="T59" s="77"/>
      <c r="U59" s="76"/>
      <c r="V59" s="77"/>
      <c r="W59" s="76"/>
      <c r="X59" s="77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  <c r="AL59" s="77"/>
      <c r="AM59" s="76"/>
      <c r="AN59" s="76"/>
    </row>
    <row r="60" spans="1:40" ht="15">
      <c r="A60" s="83">
        <f t="shared" si="0"/>
        <v>39</v>
      </c>
      <c r="B60" s="86"/>
      <c r="C60" s="85"/>
      <c r="D60" s="86"/>
      <c r="E60" s="86"/>
      <c r="F60" s="88"/>
      <c r="G60" s="86"/>
      <c r="H60" s="85"/>
      <c r="I60" s="86"/>
      <c r="J60" s="86"/>
      <c r="K60" s="86"/>
      <c r="L60" s="86" t="s">
        <v>350</v>
      </c>
      <c r="M60" s="86"/>
      <c r="N60" s="86"/>
      <c r="O60" s="79"/>
      <c r="P60" s="79"/>
      <c r="Q60" s="76"/>
      <c r="R60" s="77"/>
      <c r="S60" s="76"/>
      <c r="T60" s="77"/>
      <c r="U60" s="76"/>
      <c r="V60" s="77"/>
      <c r="W60" s="76"/>
      <c r="X60" s="77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7"/>
      <c r="AM60" s="76"/>
      <c r="AN60" s="76"/>
    </row>
    <row r="61" spans="1:40" ht="15">
      <c r="A61" s="83">
        <f t="shared" si="0"/>
        <v>40</v>
      </c>
      <c r="B61" s="86"/>
      <c r="C61" s="85"/>
      <c r="D61" s="86"/>
      <c r="E61" s="86"/>
      <c r="F61" s="88"/>
      <c r="G61" s="86"/>
      <c r="H61" s="85"/>
      <c r="I61" s="86"/>
      <c r="J61" s="86"/>
      <c r="K61" s="86"/>
      <c r="L61" s="86" t="s">
        <v>350</v>
      </c>
      <c r="M61" s="86"/>
      <c r="N61" s="86"/>
      <c r="O61" s="79"/>
      <c r="P61" s="79"/>
      <c r="Q61" s="76"/>
      <c r="R61" s="77"/>
      <c r="S61" s="76"/>
      <c r="T61" s="77"/>
      <c r="U61" s="76"/>
      <c r="V61" s="77"/>
      <c r="W61" s="76"/>
      <c r="X61" s="77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  <c r="AL61" s="77"/>
      <c r="AM61" s="76"/>
      <c r="AN61" s="76"/>
    </row>
    <row r="62" spans="1:40" ht="15">
      <c r="A62" s="83">
        <f t="shared" si="0"/>
        <v>41</v>
      </c>
      <c r="B62" s="86"/>
      <c r="C62" s="85"/>
      <c r="D62" s="86"/>
      <c r="E62" s="86"/>
      <c r="F62" s="88"/>
      <c r="G62" s="86"/>
      <c r="H62" s="85"/>
      <c r="I62" s="86"/>
      <c r="J62" s="86"/>
      <c r="K62" s="86"/>
      <c r="L62" s="86" t="s">
        <v>350</v>
      </c>
      <c r="M62" s="86"/>
      <c r="N62" s="86"/>
      <c r="O62" s="79"/>
      <c r="P62" s="79"/>
      <c r="Q62" s="76"/>
      <c r="R62" s="77"/>
      <c r="S62" s="76"/>
      <c r="T62" s="77"/>
      <c r="U62" s="76"/>
      <c r="V62" s="77"/>
      <c r="W62" s="76"/>
      <c r="X62" s="77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7"/>
      <c r="AM62" s="76"/>
      <c r="AN62" s="76"/>
    </row>
    <row r="63" spans="1:40" ht="15">
      <c r="A63" s="83">
        <f t="shared" si="0"/>
        <v>42</v>
      </c>
      <c r="B63" s="86"/>
      <c r="C63" s="85"/>
      <c r="D63" s="86"/>
      <c r="E63" s="86"/>
      <c r="F63" s="88"/>
      <c r="G63" s="86"/>
      <c r="H63" s="85"/>
      <c r="I63" s="86"/>
      <c r="J63" s="86"/>
      <c r="K63" s="86"/>
      <c r="L63" s="86" t="s">
        <v>350</v>
      </c>
      <c r="M63" s="86"/>
      <c r="N63" s="86"/>
      <c r="O63" s="79"/>
      <c r="P63" s="79"/>
      <c r="Q63" s="76"/>
      <c r="R63" s="77"/>
      <c r="S63" s="76"/>
      <c r="T63" s="77"/>
      <c r="U63" s="76"/>
      <c r="V63" s="77"/>
      <c r="W63" s="76"/>
      <c r="X63" s="77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7"/>
      <c r="AM63" s="76"/>
      <c r="AN63" s="76"/>
    </row>
    <row r="64" spans="1:40" ht="15">
      <c r="A64" s="83">
        <f t="shared" si="0"/>
        <v>43</v>
      </c>
      <c r="B64" s="86"/>
      <c r="C64" s="85"/>
      <c r="D64" s="86"/>
      <c r="E64" s="86"/>
      <c r="F64" s="88"/>
      <c r="G64" s="86"/>
      <c r="H64" s="85"/>
      <c r="I64" s="86"/>
      <c r="J64" s="86"/>
      <c r="K64" s="86"/>
      <c r="L64" s="86" t="s">
        <v>350</v>
      </c>
      <c r="M64" s="86"/>
      <c r="N64" s="86"/>
      <c r="O64" s="79"/>
      <c r="P64" s="79"/>
      <c r="Q64" s="76"/>
      <c r="R64" s="77"/>
      <c r="S64" s="76"/>
      <c r="T64" s="77"/>
      <c r="U64" s="76"/>
      <c r="V64" s="77"/>
      <c r="W64" s="76"/>
      <c r="X64" s="77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  <c r="AL64" s="77"/>
      <c r="AM64" s="76"/>
      <c r="AN64" s="76"/>
    </row>
    <row r="65" spans="1:40" ht="15">
      <c r="A65" s="83" t="e">
        <f>IF(#REF!&lt;&gt;B64,1,A64+1)</f>
        <v>#REF!</v>
      </c>
      <c r="B65" s="86"/>
      <c r="C65" s="85"/>
      <c r="D65" s="86"/>
      <c r="E65" s="86"/>
      <c r="F65" s="88"/>
      <c r="G65" s="86"/>
      <c r="H65" s="85"/>
      <c r="I65" s="86"/>
      <c r="J65" s="86"/>
      <c r="K65" s="86"/>
      <c r="L65" s="86" t="s">
        <v>350</v>
      </c>
      <c r="M65" s="86"/>
      <c r="N65" s="86"/>
      <c r="O65" s="79"/>
      <c r="P65" s="79"/>
      <c r="Q65" s="76"/>
      <c r="R65" s="77"/>
      <c r="S65" s="76"/>
      <c r="T65" s="77"/>
      <c r="U65" s="76"/>
      <c r="V65" s="77"/>
      <c r="W65" s="76"/>
      <c r="X65" s="77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6"/>
      <c r="AJ65" s="76"/>
      <c r="AK65" s="76"/>
      <c r="AL65" s="77"/>
      <c r="AM65" s="76"/>
      <c r="AN65" s="76"/>
    </row>
    <row r="66" spans="1:40" ht="15">
      <c r="A66" s="83" t="e">
        <f>IF(#REF!&lt;&gt;#REF!,1,A65+1)</f>
        <v>#REF!</v>
      </c>
      <c r="O66" s="79"/>
      <c r="P66" s="79"/>
      <c r="Q66" s="76"/>
      <c r="R66" s="77"/>
      <c r="S66" s="76"/>
      <c r="T66" s="77"/>
      <c r="U66" s="76"/>
      <c r="V66" s="77"/>
      <c r="W66" s="76"/>
      <c r="X66" s="77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  <c r="AL66" s="77"/>
      <c r="AM66" s="76"/>
      <c r="AN66" s="76"/>
    </row>
    <row r="67" spans="1:40" ht="15">
      <c r="A67" s="83" t="e">
        <f>IF(#REF!&lt;&gt;#REF!,1,A66+1)</f>
        <v>#REF!</v>
      </c>
      <c r="O67" s="79"/>
      <c r="P67" s="79"/>
      <c r="Q67" s="76"/>
      <c r="R67" s="77"/>
      <c r="S67" s="76"/>
      <c r="T67" s="77"/>
      <c r="U67" s="76"/>
      <c r="V67" s="77"/>
      <c r="W67" s="76"/>
      <c r="X67" s="77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  <c r="AL67" s="77"/>
      <c r="AM67" s="76"/>
      <c r="AN67" s="76"/>
    </row>
    <row r="68" spans="1:40" ht="15">
      <c r="A68" s="83" t="e">
        <f>IF(#REF!&lt;&gt;#REF!,1,A67+1)</f>
        <v>#REF!</v>
      </c>
      <c r="O68" s="79"/>
      <c r="P68" s="79"/>
      <c r="Q68" s="76"/>
      <c r="R68" s="77"/>
      <c r="S68" s="76"/>
      <c r="T68" s="77"/>
      <c r="U68" s="76"/>
      <c r="V68" s="77"/>
      <c r="W68" s="76"/>
      <c r="X68" s="77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  <c r="AL68" s="77"/>
      <c r="AM68" s="76"/>
      <c r="AN68" s="76"/>
    </row>
    <row r="69" spans="1:40" ht="15">
      <c r="A69" s="83" t="e">
        <f>IF(#REF!&lt;&gt;#REF!,1,A68+1)</f>
        <v>#REF!</v>
      </c>
      <c r="O69" s="79"/>
      <c r="P69" s="79"/>
      <c r="Q69" s="76"/>
      <c r="R69" s="77"/>
      <c r="S69" s="76"/>
      <c r="T69" s="77"/>
      <c r="U69" s="76"/>
      <c r="V69" s="77"/>
      <c r="W69" s="76"/>
      <c r="X69" s="77"/>
      <c r="Y69" s="76"/>
      <c r="Z69" s="76"/>
      <c r="AA69" s="76"/>
      <c r="AB69" s="76"/>
      <c r="AC69" s="76"/>
      <c r="AD69" s="76"/>
      <c r="AE69" s="76"/>
      <c r="AF69" s="76"/>
      <c r="AG69" s="76"/>
      <c r="AH69" s="76"/>
      <c r="AI69" s="76"/>
      <c r="AJ69" s="76"/>
      <c r="AK69" s="76"/>
      <c r="AL69" s="77"/>
      <c r="AM69" s="76"/>
      <c r="AN69" s="76"/>
    </row>
    <row r="70" spans="1:40" ht="15">
      <c r="A70" s="83" t="e">
        <f>IF(#REF!&lt;&gt;#REF!,1,A69+1)</f>
        <v>#REF!</v>
      </c>
      <c r="O70" s="79"/>
      <c r="P70" s="79"/>
      <c r="Q70" s="76"/>
      <c r="R70" s="77"/>
      <c r="S70" s="76"/>
      <c r="T70" s="77"/>
      <c r="U70" s="76"/>
      <c r="V70" s="77"/>
      <c r="W70" s="76"/>
      <c r="X70" s="77"/>
      <c r="Y70" s="76"/>
      <c r="Z70" s="76"/>
      <c r="AA70" s="76"/>
      <c r="AB70" s="76"/>
      <c r="AC70" s="76"/>
      <c r="AD70" s="76"/>
      <c r="AE70" s="76"/>
      <c r="AF70" s="76"/>
      <c r="AG70" s="76"/>
      <c r="AH70" s="76"/>
      <c r="AI70" s="76"/>
      <c r="AJ70" s="76"/>
      <c r="AK70" s="76"/>
      <c r="AL70" s="77"/>
      <c r="AM70" s="76"/>
      <c r="AN70" s="76"/>
    </row>
    <row r="71" spans="1:40" ht="15">
      <c r="A71" s="83" t="e">
        <f>IF(#REF!&lt;&gt;#REF!,1,A70+1)</f>
        <v>#REF!</v>
      </c>
      <c r="O71" s="79"/>
      <c r="P71" s="79"/>
      <c r="Q71" s="76"/>
      <c r="R71" s="77"/>
      <c r="S71" s="76"/>
      <c r="T71" s="77"/>
      <c r="U71" s="76"/>
      <c r="V71" s="77"/>
      <c r="W71" s="76"/>
      <c r="X71" s="77"/>
      <c r="Y71" s="76"/>
      <c r="Z71" s="76"/>
      <c r="AA71" s="76"/>
      <c r="AB71" s="76"/>
      <c r="AC71" s="76"/>
      <c r="AD71" s="76"/>
      <c r="AE71" s="76"/>
      <c r="AF71" s="76"/>
      <c r="AG71" s="76"/>
      <c r="AH71" s="76"/>
      <c r="AI71" s="76"/>
      <c r="AJ71" s="76"/>
      <c r="AK71" s="76"/>
      <c r="AL71" s="77"/>
      <c r="AM71" s="76"/>
      <c r="AN71" s="76"/>
    </row>
    <row r="72" spans="1:40" ht="15">
      <c r="A72" s="83" t="e">
        <f>IF(#REF!&lt;&gt;#REF!,1,A71+1)</f>
        <v>#REF!</v>
      </c>
      <c r="O72" s="79"/>
      <c r="P72" s="79"/>
      <c r="Q72" s="76"/>
      <c r="R72" s="77"/>
      <c r="S72" s="76"/>
      <c r="T72" s="77"/>
      <c r="U72" s="76"/>
      <c r="V72" s="77"/>
      <c r="W72" s="76"/>
      <c r="X72" s="77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6"/>
      <c r="AJ72" s="76"/>
      <c r="AK72" s="76"/>
      <c r="AL72" s="77"/>
      <c r="AM72" s="76"/>
      <c r="AN72" s="76"/>
    </row>
    <row r="73" spans="1:40" ht="15">
      <c r="A73" s="83" t="e">
        <f>IF(#REF!&lt;&gt;#REF!,1,A72+1)</f>
        <v>#REF!</v>
      </c>
      <c r="O73" s="79"/>
      <c r="P73" s="79"/>
      <c r="Q73" s="76"/>
      <c r="R73" s="77"/>
      <c r="S73" s="76"/>
      <c r="T73" s="77"/>
      <c r="U73" s="76"/>
      <c r="V73" s="77"/>
      <c r="W73" s="76"/>
      <c r="X73" s="77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6"/>
      <c r="AJ73" s="76"/>
      <c r="AK73" s="76"/>
      <c r="AL73" s="77"/>
      <c r="AM73" s="76"/>
      <c r="AN73" s="76"/>
    </row>
    <row r="74" spans="1:40" ht="15">
      <c r="A74" s="83" t="e">
        <f>IF(#REF!&lt;&gt;#REF!,1,A73+1)</f>
        <v>#REF!</v>
      </c>
      <c r="O74" s="79"/>
      <c r="P74" s="79"/>
      <c r="Q74" s="76"/>
      <c r="R74" s="77"/>
      <c r="S74" s="76"/>
      <c r="T74" s="77"/>
      <c r="U74" s="76"/>
      <c r="V74" s="77"/>
      <c r="W74" s="76"/>
      <c r="X74" s="77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  <c r="AL74" s="77"/>
      <c r="AM74" s="76"/>
      <c r="AN74" s="76"/>
    </row>
    <row r="75" spans="1:40" ht="15">
      <c r="A75" s="83" t="e">
        <f>IF(#REF!&lt;&gt;#REF!,1,A74+1)</f>
        <v>#REF!</v>
      </c>
      <c r="O75" s="79"/>
      <c r="P75" s="79"/>
      <c r="Q75" s="76"/>
      <c r="R75" s="77"/>
      <c r="S75" s="76"/>
      <c r="T75" s="77"/>
      <c r="U75" s="76"/>
      <c r="V75" s="77"/>
      <c r="W75" s="76"/>
      <c r="X75" s="77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7"/>
      <c r="AM75" s="76"/>
      <c r="AN75" s="76"/>
    </row>
    <row r="76" spans="1:40" ht="15">
      <c r="A76" s="83" t="e">
        <f>IF(#REF!&lt;&gt;#REF!,1,A75+1)</f>
        <v>#REF!</v>
      </c>
      <c r="O76" s="79"/>
      <c r="P76" s="79"/>
      <c r="Q76" s="76"/>
      <c r="R76" s="77"/>
      <c r="S76" s="76"/>
      <c r="T76" s="77"/>
      <c r="U76" s="76"/>
      <c r="V76" s="77"/>
      <c r="W76" s="76"/>
      <c r="X76" s="77"/>
      <c r="Y76" s="76"/>
      <c r="Z76" s="76"/>
      <c r="AA76" s="76"/>
      <c r="AB76" s="76"/>
      <c r="AC76" s="76"/>
      <c r="AD76" s="76"/>
      <c r="AE76" s="76"/>
      <c r="AF76" s="76"/>
      <c r="AG76" s="76"/>
      <c r="AH76" s="76"/>
      <c r="AI76" s="76"/>
      <c r="AJ76" s="76"/>
      <c r="AK76" s="76"/>
      <c r="AL76" s="77"/>
      <c r="AM76" s="76"/>
      <c r="AN76" s="76"/>
    </row>
    <row r="77" spans="1:40" ht="15">
      <c r="A77" s="83" t="e">
        <f>IF(#REF!&lt;&gt;#REF!,1,A76+1)</f>
        <v>#REF!</v>
      </c>
      <c r="O77" s="79"/>
      <c r="P77" s="79"/>
      <c r="Q77" s="76"/>
      <c r="R77" s="77"/>
      <c r="S77" s="76"/>
      <c r="T77" s="77"/>
      <c r="U77" s="76"/>
      <c r="V77" s="77"/>
      <c r="W77" s="76"/>
      <c r="X77" s="77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7"/>
      <c r="AM77" s="76"/>
      <c r="AN77" s="76"/>
    </row>
    <row r="78" spans="1:40" ht="15">
      <c r="A78" s="83" t="e">
        <f>IF(#REF!&lt;&gt;#REF!,1,A77+1)</f>
        <v>#REF!</v>
      </c>
      <c r="O78" s="79"/>
      <c r="P78" s="79"/>
      <c r="Q78" s="76"/>
      <c r="R78" s="77"/>
      <c r="S78" s="76"/>
      <c r="T78" s="77"/>
      <c r="U78" s="76"/>
      <c r="V78" s="77"/>
      <c r="W78" s="76"/>
      <c r="X78" s="77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  <c r="AL78" s="77"/>
      <c r="AM78" s="76"/>
      <c r="AN78" s="76"/>
    </row>
    <row r="79" spans="1:40" ht="15">
      <c r="A79" s="83" t="e">
        <f>IF(#REF!&lt;&gt;#REF!,1,A78+1)</f>
        <v>#REF!</v>
      </c>
      <c r="O79" s="79"/>
      <c r="P79" s="79"/>
      <c r="Q79" s="76"/>
      <c r="R79" s="77"/>
      <c r="S79" s="76"/>
      <c r="T79" s="77"/>
      <c r="U79" s="76"/>
      <c r="V79" s="77"/>
      <c r="W79" s="76"/>
      <c r="X79" s="77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  <c r="AL79" s="77"/>
      <c r="AM79" s="76"/>
      <c r="AN79" s="76"/>
    </row>
    <row r="80" spans="1:40" ht="15">
      <c r="A80" s="83" t="e">
        <f>IF(#REF!&lt;&gt;#REF!,1,A79+1)</f>
        <v>#REF!</v>
      </c>
      <c r="O80" s="79"/>
      <c r="P80" s="79"/>
      <c r="Q80" s="76"/>
      <c r="R80" s="77"/>
      <c r="S80" s="76"/>
      <c r="T80" s="77"/>
      <c r="U80" s="76"/>
      <c r="V80" s="77"/>
      <c r="W80" s="76"/>
      <c r="X80" s="77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  <c r="AL80" s="77"/>
      <c r="AM80" s="76"/>
      <c r="AN80" s="76"/>
    </row>
    <row r="81" spans="1:40" ht="15">
      <c r="A81" s="83" t="e">
        <f>IF(#REF!&lt;&gt;#REF!,1,A80+1)</f>
        <v>#REF!</v>
      </c>
      <c r="O81" s="79"/>
      <c r="P81" s="79"/>
      <c r="Q81" s="76"/>
      <c r="R81" s="77"/>
      <c r="S81" s="76"/>
      <c r="T81" s="77"/>
      <c r="U81" s="76"/>
      <c r="V81" s="77"/>
      <c r="W81" s="76"/>
      <c r="X81" s="77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  <c r="AL81" s="77"/>
      <c r="AM81" s="76"/>
      <c r="AN81" s="76"/>
    </row>
    <row r="82" spans="1:40" ht="15">
      <c r="A82" s="83" t="e">
        <f>IF(#REF!&lt;&gt;#REF!,1,A81+1)</f>
        <v>#REF!</v>
      </c>
      <c r="O82" s="79"/>
      <c r="P82" s="79"/>
      <c r="Q82" s="76"/>
      <c r="R82" s="77"/>
      <c r="S82" s="76"/>
      <c r="T82" s="77"/>
      <c r="U82" s="76"/>
      <c r="V82" s="77"/>
      <c r="W82" s="76"/>
      <c r="X82" s="77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7"/>
      <c r="AM82" s="76"/>
      <c r="AN82" s="76"/>
    </row>
    <row r="83" spans="1:40" ht="15">
      <c r="A83" s="83" t="e">
        <f>IF(#REF!&lt;&gt;#REF!,1,A82+1)</f>
        <v>#REF!</v>
      </c>
      <c r="O83" s="79"/>
      <c r="P83" s="79"/>
      <c r="Q83" s="76"/>
      <c r="R83" s="77"/>
      <c r="S83" s="76"/>
      <c r="T83" s="77"/>
      <c r="U83" s="76"/>
      <c r="V83" s="77"/>
      <c r="W83" s="76"/>
      <c r="X83" s="77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  <c r="AL83" s="77"/>
      <c r="AM83" s="76"/>
      <c r="AN83" s="76"/>
    </row>
    <row r="84" spans="1:40" ht="15">
      <c r="A84" s="83" t="e">
        <f>IF(#REF!&lt;&gt;#REF!,1,A83+1)</f>
        <v>#REF!</v>
      </c>
      <c r="O84" s="79"/>
      <c r="P84" s="79"/>
      <c r="Q84" s="76"/>
      <c r="R84" s="77"/>
      <c r="S84" s="76"/>
      <c r="T84" s="77"/>
      <c r="U84" s="76"/>
      <c r="V84" s="77"/>
      <c r="W84" s="76"/>
      <c r="X84" s="77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AK84" s="76"/>
      <c r="AL84" s="77"/>
      <c r="AM84" s="76"/>
      <c r="AN84" s="76"/>
    </row>
    <row r="85" spans="1:40" ht="15">
      <c r="A85" s="83" t="e">
        <f>IF(#REF!&lt;&gt;#REF!,1,A84+1)</f>
        <v>#REF!</v>
      </c>
      <c r="O85" s="79"/>
      <c r="P85" s="79"/>
      <c r="Q85" s="76"/>
      <c r="R85" s="77"/>
      <c r="S85" s="76"/>
      <c r="T85" s="77"/>
      <c r="U85" s="76"/>
      <c r="V85" s="77"/>
      <c r="W85" s="76"/>
      <c r="X85" s="77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6"/>
      <c r="AJ85" s="76"/>
      <c r="AK85" s="76"/>
      <c r="AL85" s="77"/>
      <c r="AM85" s="76"/>
      <c r="AN85" s="76"/>
    </row>
    <row r="86" spans="1:40" ht="15">
      <c r="A86" s="83" t="e">
        <f>IF(#REF!&lt;&gt;#REF!,1,A85+1)</f>
        <v>#REF!</v>
      </c>
      <c r="O86" s="79"/>
      <c r="P86" s="79"/>
      <c r="Q86" s="76"/>
      <c r="R86" s="77"/>
      <c r="S86" s="76"/>
      <c r="T86" s="77"/>
      <c r="U86" s="76"/>
      <c r="V86" s="77"/>
      <c r="W86" s="76"/>
      <c r="X86" s="77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6"/>
      <c r="AJ86" s="76"/>
      <c r="AK86" s="76"/>
      <c r="AL86" s="77"/>
      <c r="AM86" s="76"/>
      <c r="AN86" s="76"/>
    </row>
    <row r="87" spans="1:40" ht="15">
      <c r="A87" s="83" t="e">
        <f>IF(#REF!&lt;&gt;#REF!,1,A86+1)</f>
        <v>#REF!</v>
      </c>
      <c r="O87" s="79"/>
      <c r="P87" s="79"/>
      <c r="Q87" s="76"/>
      <c r="R87" s="77"/>
      <c r="S87" s="76"/>
      <c r="T87" s="77"/>
      <c r="U87" s="76"/>
      <c r="V87" s="77"/>
      <c r="W87" s="76"/>
      <c r="X87" s="77"/>
      <c r="Y87" s="76"/>
      <c r="Z87" s="76"/>
      <c r="AA87" s="76"/>
      <c r="AB87" s="76"/>
      <c r="AC87" s="76"/>
      <c r="AD87" s="76"/>
      <c r="AE87" s="76"/>
      <c r="AF87" s="76"/>
      <c r="AG87" s="76"/>
      <c r="AH87" s="76"/>
      <c r="AI87" s="76"/>
      <c r="AJ87" s="76"/>
      <c r="AK87" s="76"/>
      <c r="AL87" s="77"/>
      <c r="AM87" s="76"/>
      <c r="AN87" s="76"/>
    </row>
    <row r="88" spans="1:40" ht="15">
      <c r="A88" s="83" t="e">
        <f>IF(#REF!&lt;&gt;#REF!,1,A87+1)</f>
        <v>#REF!</v>
      </c>
      <c r="O88" s="79"/>
      <c r="P88" s="79"/>
      <c r="Q88" s="76"/>
      <c r="R88" s="77"/>
      <c r="S88" s="76"/>
      <c r="T88" s="77"/>
      <c r="U88" s="76"/>
      <c r="V88" s="77"/>
      <c r="W88" s="76"/>
      <c r="X88" s="77"/>
      <c r="Y88" s="76"/>
      <c r="Z88" s="76"/>
      <c r="AA88" s="76"/>
      <c r="AB88" s="76"/>
      <c r="AC88" s="76"/>
      <c r="AD88" s="76"/>
      <c r="AE88" s="76"/>
      <c r="AF88" s="76"/>
      <c r="AG88" s="76"/>
      <c r="AH88" s="76"/>
      <c r="AI88" s="76"/>
      <c r="AJ88" s="76"/>
      <c r="AK88" s="76"/>
      <c r="AL88" s="77"/>
      <c r="AM88" s="76"/>
      <c r="AN88" s="76"/>
    </row>
    <row r="89" spans="1:40" ht="15">
      <c r="A89" s="83" t="e">
        <f>IF(#REF!&lt;&gt;#REF!,1,A88+1)</f>
        <v>#REF!</v>
      </c>
      <c r="O89" s="79"/>
      <c r="P89" s="79"/>
      <c r="Q89" s="76"/>
      <c r="R89" s="77"/>
      <c r="S89" s="76"/>
      <c r="T89" s="77"/>
      <c r="U89" s="76"/>
      <c r="V89" s="77"/>
      <c r="W89" s="76"/>
      <c r="X89" s="77"/>
      <c r="Y89" s="76"/>
      <c r="Z89" s="76"/>
      <c r="AA89" s="76"/>
      <c r="AB89" s="76"/>
      <c r="AC89" s="76"/>
      <c r="AD89" s="76"/>
      <c r="AE89" s="76"/>
      <c r="AF89" s="76"/>
      <c r="AG89" s="76"/>
      <c r="AH89" s="76"/>
      <c r="AI89" s="76"/>
      <c r="AJ89" s="76"/>
      <c r="AK89" s="76"/>
      <c r="AL89" s="77"/>
      <c r="AM89" s="76"/>
      <c r="AN89" s="76"/>
    </row>
    <row r="90" spans="1:40" ht="15">
      <c r="A90" s="83" t="e">
        <f>IF(#REF!&lt;&gt;#REF!,1,A89+1)</f>
        <v>#REF!</v>
      </c>
      <c r="O90" s="79"/>
      <c r="P90" s="79"/>
      <c r="Q90" s="76"/>
      <c r="R90" s="77"/>
      <c r="S90" s="76"/>
      <c r="T90" s="77"/>
      <c r="U90" s="76"/>
      <c r="V90" s="77"/>
      <c r="W90" s="76"/>
      <c r="X90" s="77"/>
      <c r="Y90" s="76"/>
      <c r="Z90" s="76"/>
      <c r="AA90" s="76"/>
      <c r="AB90" s="76"/>
      <c r="AC90" s="76"/>
      <c r="AD90" s="76"/>
      <c r="AE90" s="76"/>
      <c r="AF90" s="76"/>
      <c r="AG90" s="76"/>
      <c r="AH90" s="76"/>
      <c r="AI90" s="76"/>
      <c r="AJ90" s="76"/>
      <c r="AK90" s="76"/>
      <c r="AL90" s="77"/>
      <c r="AM90" s="76"/>
      <c r="AN90" s="76"/>
    </row>
    <row r="91" spans="1:40" ht="15">
      <c r="A91" s="83" t="e">
        <f>IF(#REF!&lt;&gt;#REF!,1,A90+1)</f>
        <v>#REF!</v>
      </c>
      <c r="O91" s="79"/>
      <c r="P91" s="79"/>
      <c r="Q91" s="76"/>
      <c r="R91" s="77"/>
      <c r="S91" s="76"/>
      <c r="T91" s="77"/>
      <c r="U91" s="76"/>
      <c r="V91" s="77"/>
      <c r="W91" s="76"/>
      <c r="X91" s="77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7"/>
      <c r="AM91" s="76"/>
      <c r="AN91" s="76"/>
    </row>
    <row r="92" spans="1:40" ht="15">
      <c r="A92" s="83" t="e">
        <f>IF(#REF!&lt;&gt;#REF!,1,A91+1)</f>
        <v>#REF!</v>
      </c>
      <c r="O92" s="79"/>
      <c r="P92" s="79"/>
      <c r="Q92" s="76"/>
      <c r="R92" s="77"/>
      <c r="S92" s="76"/>
      <c r="T92" s="77"/>
      <c r="U92" s="76"/>
      <c r="V92" s="77"/>
      <c r="W92" s="76"/>
      <c r="X92" s="77"/>
      <c r="Y92" s="76"/>
      <c r="Z92" s="76"/>
      <c r="AA92" s="76"/>
      <c r="AB92" s="76"/>
      <c r="AC92" s="76"/>
      <c r="AD92" s="76"/>
      <c r="AE92" s="76"/>
      <c r="AF92" s="76"/>
      <c r="AG92" s="76"/>
      <c r="AH92" s="76"/>
      <c r="AI92" s="76"/>
      <c r="AJ92" s="76"/>
      <c r="AK92" s="76"/>
      <c r="AL92" s="77"/>
      <c r="AM92" s="76"/>
      <c r="AN92" s="76"/>
    </row>
    <row r="93" spans="1:40" ht="15">
      <c r="A93" s="83" t="e">
        <f>IF(#REF!&lt;&gt;#REF!,1,A92+1)</f>
        <v>#REF!</v>
      </c>
      <c r="O93" s="79"/>
      <c r="P93" s="79"/>
      <c r="Q93" s="76"/>
      <c r="R93" s="77"/>
      <c r="S93" s="76"/>
      <c r="T93" s="77"/>
      <c r="U93" s="76"/>
      <c r="V93" s="77"/>
      <c r="W93" s="76"/>
      <c r="X93" s="77"/>
      <c r="Y93" s="76"/>
      <c r="Z93" s="76"/>
      <c r="AA93" s="76"/>
      <c r="AB93" s="76"/>
      <c r="AC93" s="76"/>
      <c r="AD93" s="76"/>
      <c r="AE93" s="76"/>
      <c r="AF93" s="76"/>
      <c r="AG93" s="76"/>
      <c r="AH93" s="76"/>
      <c r="AI93" s="76"/>
      <c r="AJ93" s="76"/>
      <c r="AK93" s="76"/>
      <c r="AL93" s="77"/>
      <c r="AM93" s="76"/>
      <c r="AN93" s="76"/>
    </row>
    <row r="94" spans="1:40" ht="15">
      <c r="A94" s="83" t="e">
        <f>IF(#REF!&lt;&gt;#REF!,1,A93+1)</f>
        <v>#REF!</v>
      </c>
      <c r="O94" s="79"/>
      <c r="P94" s="79"/>
      <c r="Q94" s="76"/>
      <c r="R94" s="77"/>
      <c r="S94" s="76"/>
      <c r="T94" s="77"/>
      <c r="U94" s="76"/>
      <c r="V94" s="77"/>
      <c r="W94" s="76"/>
      <c r="X94" s="77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7"/>
      <c r="AM94" s="76"/>
      <c r="AN94" s="76"/>
    </row>
    <row r="95" spans="1:40" ht="15">
      <c r="A95" s="83" t="e">
        <f>IF(#REF!&lt;&gt;#REF!,1,A94+1)</f>
        <v>#REF!</v>
      </c>
      <c r="O95" s="79"/>
      <c r="P95" s="79"/>
      <c r="Q95" s="76"/>
      <c r="R95" s="77"/>
      <c r="S95" s="76"/>
      <c r="T95" s="77"/>
      <c r="U95" s="76"/>
      <c r="V95" s="77"/>
      <c r="W95" s="76"/>
      <c r="X95" s="77"/>
      <c r="Y95" s="76"/>
      <c r="Z95" s="76"/>
      <c r="AA95" s="76"/>
      <c r="AB95" s="76"/>
      <c r="AC95" s="76"/>
      <c r="AD95" s="76"/>
      <c r="AE95" s="76"/>
      <c r="AF95" s="76"/>
      <c r="AG95" s="76"/>
      <c r="AH95" s="76"/>
      <c r="AI95" s="76"/>
      <c r="AJ95" s="76"/>
      <c r="AK95" s="76"/>
      <c r="AL95" s="77"/>
      <c r="AM95" s="76"/>
      <c r="AN95" s="76"/>
    </row>
    <row r="96" spans="1:40" ht="15">
      <c r="A96" s="83" t="e">
        <f>IF(#REF!&lt;&gt;#REF!,1,A95+1)</f>
        <v>#REF!</v>
      </c>
      <c r="O96" s="79"/>
      <c r="P96" s="79"/>
      <c r="Q96" s="76"/>
      <c r="R96" s="77"/>
      <c r="S96" s="76"/>
      <c r="T96" s="77"/>
      <c r="U96" s="76"/>
      <c r="V96" s="77"/>
      <c r="W96" s="76"/>
      <c r="X96" s="77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7"/>
      <c r="AM96" s="76"/>
      <c r="AN96" s="76"/>
    </row>
    <row r="97" spans="1:40" ht="15">
      <c r="A97" s="83" t="e">
        <f>IF(#REF!&lt;&gt;#REF!,1,A96+1)</f>
        <v>#REF!</v>
      </c>
      <c r="O97" s="79"/>
      <c r="P97" s="79"/>
      <c r="Q97" s="76"/>
      <c r="R97" s="77"/>
      <c r="S97" s="76"/>
      <c r="T97" s="77"/>
      <c r="U97" s="76"/>
      <c r="V97" s="77"/>
      <c r="W97" s="76"/>
      <c r="X97" s="77"/>
      <c r="Y97" s="76"/>
      <c r="Z97" s="76"/>
      <c r="AA97" s="76"/>
      <c r="AB97" s="76"/>
      <c r="AC97" s="76"/>
      <c r="AD97" s="76"/>
      <c r="AE97" s="76"/>
      <c r="AF97" s="76"/>
      <c r="AG97" s="76"/>
      <c r="AH97" s="76"/>
      <c r="AI97" s="76"/>
      <c r="AJ97" s="76"/>
      <c r="AK97" s="76"/>
      <c r="AL97" s="77"/>
      <c r="AM97" s="76"/>
      <c r="AN97" s="76"/>
    </row>
    <row r="98" spans="1:40" ht="15">
      <c r="A98" s="83" t="e">
        <f>IF(#REF!&lt;&gt;#REF!,1,A97+1)</f>
        <v>#REF!</v>
      </c>
      <c r="O98" s="79"/>
      <c r="P98" s="79"/>
      <c r="Q98" s="76"/>
      <c r="R98" s="77"/>
      <c r="S98" s="76"/>
      <c r="T98" s="77"/>
      <c r="U98" s="76"/>
      <c r="V98" s="77"/>
      <c r="W98" s="76"/>
      <c r="X98" s="77"/>
      <c r="Y98" s="76"/>
      <c r="Z98" s="76"/>
      <c r="AA98" s="76"/>
      <c r="AB98" s="76"/>
      <c r="AC98" s="76"/>
      <c r="AD98" s="76"/>
      <c r="AE98" s="76"/>
      <c r="AF98" s="76"/>
      <c r="AG98" s="76"/>
      <c r="AH98" s="76"/>
      <c r="AI98" s="76"/>
      <c r="AJ98" s="76"/>
      <c r="AK98" s="76"/>
      <c r="AL98" s="77"/>
      <c r="AM98" s="76"/>
      <c r="AN98" s="76"/>
    </row>
    <row r="99" spans="1:40" ht="15">
      <c r="A99" s="83" t="e">
        <f>IF(#REF!&lt;&gt;#REF!,1,A98+1)</f>
        <v>#REF!</v>
      </c>
      <c r="O99" s="79"/>
      <c r="P99" s="79"/>
      <c r="Q99" s="76"/>
      <c r="R99" s="77"/>
      <c r="S99" s="76"/>
      <c r="T99" s="77"/>
      <c r="U99" s="76"/>
      <c r="V99" s="77"/>
      <c r="W99" s="76"/>
      <c r="X99" s="77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6"/>
      <c r="AL99" s="77"/>
      <c r="AM99" s="76"/>
      <c r="AN99" s="76"/>
    </row>
    <row r="100" spans="1:40" ht="15">
      <c r="A100" s="83" t="e">
        <f>IF(#REF!&lt;&gt;#REF!,1,A99+1)</f>
        <v>#REF!</v>
      </c>
      <c r="O100" s="79"/>
      <c r="P100" s="79"/>
      <c r="Q100" s="76"/>
      <c r="R100" s="77"/>
      <c r="S100" s="76"/>
      <c r="T100" s="77"/>
      <c r="U100" s="76"/>
      <c r="V100" s="77"/>
      <c r="W100" s="76"/>
      <c r="X100" s="77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  <c r="AL100" s="77"/>
      <c r="AM100" s="76"/>
      <c r="AN100" s="76"/>
    </row>
    <row r="101" spans="1:40" ht="15">
      <c r="A101" s="83" t="e">
        <f>IF(#REF!&lt;&gt;#REF!,1,A100+1)</f>
        <v>#REF!</v>
      </c>
      <c r="O101" s="79"/>
      <c r="P101" s="79"/>
      <c r="Q101" s="76"/>
      <c r="R101" s="77"/>
      <c r="S101" s="76"/>
      <c r="T101" s="77"/>
      <c r="U101" s="76"/>
      <c r="V101" s="77"/>
      <c r="W101" s="76"/>
      <c r="X101" s="77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7"/>
      <c r="AM101" s="76"/>
      <c r="AN101" s="76"/>
    </row>
    <row r="102" spans="1:40" ht="15">
      <c r="A102" s="83" t="e">
        <f>IF(#REF!&lt;&gt;#REF!,1,A101+1)</f>
        <v>#REF!</v>
      </c>
      <c r="O102" s="79"/>
      <c r="P102" s="79"/>
      <c r="Q102" s="76"/>
      <c r="R102" s="77"/>
      <c r="S102" s="76"/>
      <c r="T102" s="77"/>
      <c r="U102" s="76"/>
      <c r="V102" s="77"/>
      <c r="W102" s="76"/>
      <c r="X102" s="77"/>
      <c r="Y102" s="76"/>
      <c r="Z102" s="76"/>
      <c r="AA102" s="76"/>
      <c r="AB102" s="76"/>
      <c r="AC102" s="76"/>
      <c r="AD102" s="76"/>
      <c r="AE102" s="76"/>
      <c r="AF102" s="76"/>
      <c r="AG102" s="76"/>
      <c r="AH102" s="76"/>
      <c r="AI102" s="76"/>
      <c r="AJ102" s="76"/>
      <c r="AK102" s="76"/>
      <c r="AL102" s="77"/>
      <c r="AM102" s="76"/>
      <c r="AN102" s="76"/>
    </row>
    <row r="103" spans="1:40" ht="15">
      <c r="A103" s="83" t="e">
        <f>IF(#REF!&lt;&gt;#REF!,1,A102+1)</f>
        <v>#REF!</v>
      </c>
      <c r="O103" s="79"/>
      <c r="P103" s="79"/>
      <c r="Q103" s="76"/>
      <c r="R103" s="77"/>
      <c r="S103" s="76"/>
      <c r="T103" s="77"/>
      <c r="U103" s="76"/>
      <c r="V103" s="77"/>
      <c r="W103" s="76"/>
      <c r="X103" s="77"/>
      <c r="Y103" s="76"/>
      <c r="Z103" s="76"/>
      <c r="AA103" s="76"/>
      <c r="AB103" s="76"/>
      <c r="AC103" s="76"/>
      <c r="AD103" s="76"/>
      <c r="AE103" s="76"/>
      <c r="AF103" s="76"/>
      <c r="AG103" s="76"/>
      <c r="AH103" s="76"/>
      <c r="AI103" s="76"/>
      <c r="AJ103" s="76"/>
      <c r="AK103" s="76"/>
      <c r="AL103" s="77"/>
      <c r="AM103" s="76"/>
      <c r="AN103" s="76"/>
    </row>
    <row r="104" spans="1:40" ht="15">
      <c r="A104" s="83" t="e">
        <f>IF(#REF!&lt;&gt;#REF!,1,A103+1)</f>
        <v>#REF!</v>
      </c>
      <c r="O104" s="79"/>
      <c r="P104" s="79"/>
      <c r="Q104" s="76"/>
      <c r="R104" s="77"/>
      <c r="S104" s="76"/>
      <c r="T104" s="77"/>
      <c r="U104" s="76"/>
      <c r="V104" s="77"/>
      <c r="W104" s="76"/>
      <c r="X104" s="77"/>
      <c r="Y104" s="76"/>
      <c r="Z104" s="76"/>
      <c r="AA104" s="76"/>
      <c r="AB104" s="76"/>
      <c r="AC104" s="76"/>
      <c r="AD104" s="76"/>
      <c r="AE104" s="76"/>
      <c r="AF104" s="76"/>
      <c r="AG104" s="76"/>
      <c r="AH104" s="76"/>
      <c r="AI104" s="76"/>
      <c r="AJ104" s="76"/>
      <c r="AK104" s="76"/>
      <c r="AL104" s="77"/>
      <c r="AM104" s="76"/>
      <c r="AN104" s="76"/>
    </row>
    <row r="105" spans="1:40" ht="15">
      <c r="A105" s="83" t="e">
        <f>IF(#REF!&lt;&gt;#REF!,1,A104+1)</f>
        <v>#REF!</v>
      </c>
      <c r="O105" s="79"/>
      <c r="P105" s="79"/>
      <c r="Q105" s="76"/>
      <c r="R105" s="77"/>
      <c r="S105" s="76"/>
      <c r="T105" s="77"/>
      <c r="U105" s="76"/>
      <c r="V105" s="77"/>
      <c r="W105" s="76"/>
      <c r="X105" s="77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  <c r="AL105" s="77"/>
      <c r="AM105" s="76"/>
      <c r="AN105" s="76"/>
    </row>
    <row r="106" spans="1:40" ht="15">
      <c r="A106" s="83" t="e">
        <f>IF(#REF!&lt;&gt;#REF!,1,A105+1)</f>
        <v>#REF!</v>
      </c>
      <c r="O106" s="79"/>
      <c r="P106" s="79"/>
      <c r="Q106" s="76"/>
      <c r="R106" s="77"/>
      <c r="S106" s="76"/>
      <c r="T106" s="77"/>
      <c r="U106" s="76"/>
      <c r="V106" s="77"/>
      <c r="W106" s="76"/>
      <c r="X106" s="77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  <c r="AL106" s="77"/>
      <c r="AM106" s="76"/>
      <c r="AN106" s="76"/>
    </row>
    <row r="107" spans="1:40" ht="15">
      <c r="A107" s="83" t="e">
        <f>IF(#REF!&lt;&gt;#REF!,1,A106+1)</f>
        <v>#REF!</v>
      </c>
      <c r="O107" s="79"/>
      <c r="P107" s="79"/>
      <c r="Q107" s="76"/>
      <c r="R107" s="77"/>
      <c r="S107" s="76"/>
      <c r="T107" s="77"/>
      <c r="U107" s="76"/>
      <c r="V107" s="77"/>
      <c r="W107" s="76"/>
      <c r="X107" s="77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7"/>
      <c r="AM107" s="76"/>
      <c r="AN107" s="76"/>
    </row>
    <row r="108" spans="1:40" ht="15">
      <c r="A108" s="83" t="e">
        <f>IF(#REF!&lt;&gt;#REF!,1,A107+1)</f>
        <v>#REF!</v>
      </c>
      <c r="O108" s="79"/>
      <c r="P108" s="79"/>
      <c r="Q108" s="76"/>
      <c r="R108" s="77"/>
      <c r="S108" s="76"/>
      <c r="T108" s="77"/>
      <c r="U108" s="76"/>
      <c r="V108" s="77"/>
      <c r="W108" s="76"/>
      <c r="X108" s="77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7"/>
      <c r="AM108" s="76"/>
      <c r="AN108" s="76"/>
    </row>
    <row r="109" spans="1:40" ht="15">
      <c r="A109" s="83" t="e">
        <f>IF(#REF!&lt;&gt;#REF!,1,A108+1)</f>
        <v>#REF!</v>
      </c>
      <c r="O109" s="79"/>
      <c r="P109" s="79"/>
      <c r="Q109" s="76"/>
      <c r="R109" s="77"/>
      <c r="S109" s="76"/>
      <c r="T109" s="77"/>
      <c r="U109" s="76"/>
      <c r="V109" s="77"/>
      <c r="W109" s="76"/>
      <c r="X109" s="77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7"/>
      <c r="AM109" s="76"/>
      <c r="AN109" s="76"/>
    </row>
    <row r="110" spans="1:40" ht="15">
      <c r="A110" s="83" t="e">
        <f>IF(#REF!&lt;&gt;#REF!,1,A109+1)</f>
        <v>#REF!</v>
      </c>
      <c r="O110" s="79"/>
      <c r="P110" s="79"/>
      <c r="Q110" s="76"/>
      <c r="R110" s="77"/>
      <c r="S110" s="76"/>
      <c r="T110" s="77"/>
      <c r="U110" s="76"/>
      <c r="V110" s="77"/>
      <c r="W110" s="76"/>
      <c r="X110" s="77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7"/>
      <c r="AM110" s="76"/>
      <c r="AN110" s="76"/>
    </row>
    <row r="111" spans="1:40" ht="15">
      <c r="A111" s="83" t="e">
        <f>IF(#REF!&lt;&gt;#REF!,1,A110+1)</f>
        <v>#REF!</v>
      </c>
      <c r="O111" s="79"/>
      <c r="P111" s="79"/>
      <c r="Q111" s="76"/>
      <c r="R111" s="77"/>
      <c r="S111" s="76"/>
      <c r="T111" s="77"/>
      <c r="U111" s="76"/>
      <c r="V111" s="77"/>
      <c r="W111" s="76"/>
      <c r="X111" s="77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7"/>
      <c r="AM111" s="76"/>
      <c r="AN111" s="76"/>
    </row>
    <row r="112" spans="1:40" ht="15">
      <c r="A112" s="83" t="e">
        <f>IF(#REF!&lt;&gt;#REF!,1,A111+1)</f>
        <v>#REF!</v>
      </c>
      <c r="O112" s="79"/>
      <c r="P112" s="79"/>
      <c r="Q112" s="76"/>
      <c r="R112" s="77"/>
      <c r="S112" s="76"/>
      <c r="T112" s="77"/>
      <c r="U112" s="76"/>
      <c r="V112" s="77"/>
      <c r="W112" s="76"/>
      <c r="X112" s="77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7"/>
      <c r="AM112" s="76"/>
      <c r="AN112" s="76"/>
    </row>
    <row r="113" spans="1:40" ht="15">
      <c r="A113" s="83" t="e">
        <f>IF(#REF!&lt;&gt;#REF!,1,A112+1)</f>
        <v>#REF!</v>
      </c>
      <c r="O113" s="79"/>
      <c r="P113" s="79"/>
      <c r="Q113" s="76"/>
      <c r="R113" s="77"/>
      <c r="S113" s="76"/>
      <c r="T113" s="77"/>
      <c r="U113" s="76"/>
      <c r="V113" s="77"/>
      <c r="W113" s="76"/>
      <c r="X113" s="77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7"/>
      <c r="AM113" s="76"/>
      <c r="AN113" s="76"/>
    </row>
    <row r="114" spans="1:40" ht="15">
      <c r="A114" s="83" t="e">
        <f>IF(#REF!&lt;&gt;#REF!,1,A113+1)</f>
        <v>#REF!</v>
      </c>
      <c r="O114" s="79"/>
      <c r="P114" s="79"/>
      <c r="Q114" s="76"/>
      <c r="R114" s="77"/>
      <c r="S114" s="76"/>
      <c r="T114" s="77"/>
      <c r="U114" s="76"/>
      <c r="V114" s="77"/>
      <c r="W114" s="76"/>
      <c r="X114" s="77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7"/>
      <c r="AM114" s="76"/>
      <c r="AN114" s="76"/>
    </row>
    <row r="115" spans="1:40" ht="15">
      <c r="A115" s="83" t="e">
        <f>IF(#REF!&lt;&gt;#REF!,1,A114+1)</f>
        <v>#REF!</v>
      </c>
      <c r="O115" s="79"/>
      <c r="P115" s="79"/>
      <c r="Q115" s="76"/>
      <c r="R115" s="77"/>
      <c r="S115" s="76"/>
      <c r="T115" s="77"/>
      <c r="U115" s="76"/>
      <c r="V115" s="77"/>
      <c r="W115" s="76"/>
      <c r="X115" s="77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7"/>
      <c r="AM115" s="76"/>
      <c r="AN115" s="76"/>
    </row>
    <row r="116" spans="1:40" ht="15">
      <c r="A116" s="83" t="e">
        <f>IF(#REF!&lt;&gt;#REF!,1,A115+1)</f>
        <v>#REF!</v>
      </c>
      <c r="O116" s="79"/>
      <c r="P116" s="79"/>
      <c r="Q116" s="76"/>
      <c r="R116" s="77"/>
      <c r="S116" s="76"/>
      <c r="T116" s="77"/>
      <c r="U116" s="76"/>
      <c r="V116" s="77"/>
      <c r="W116" s="76"/>
      <c r="X116" s="77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7"/>
      <c r="AM116" s="76"/>
      <c r="AN116" s="76"/>
    </row>
    <row r="117" spans="1:40" ht="15">
      <c r="A117" s="83" t="e">
        <f>IF(#REF!&lt;&gt;#REF!,1,A116+1)</f>
        <v>#REF!</v>
      </c>
      <c r="O117" s="79"/>
      <c r="P117" s="79"/>
      <c r="Q117" s="76"/>
      <c r="R117" s="77"/>
      <c r="S117" s="76"/>
      <c r="T117" s="77"/>
      <c r="U117" s="76"/>
      <c r="V117" s="77"/>
      <c r="W117" s="76"/>
      <c r="X117" s="77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7"/>
      <c r="AM117" s="76"/>
      <c r="AN117" s="76"/>
    </row>
    <row r="118" spans="1:40" ht="15">
      <c r="A118" s="83" t="e">
        <f>IF(#REF!&lt;&gt;#REF!,1,A117+1)</f>
        <v>#REF!</v>
      </c>
      <c r="O118" s="79"/>
      <c r="P118" s="79"/>
      <c r="Q118" s="76"/>
      <c r="R118" s="77"/>
      <c r="S118" s="76"/>
      <c r="T118" s="77"/>
      <c r="U118" s="76"/>
      <c r="V118" s="77"/>
      <c r="W118" s="76"/>
      <c r="X118" s="77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7"/>
      <c r="AM118" s="76"/>
      <c r="AN118" s="76"/>
    </row>
    <row r="119" spans="1:40" ht="15">
      <c r="A119" s="83" t="e">
        <f>IF(#REF!&lt;&gt;#REF!,1,A118+1)</f>
        <v>#REF!</v>
      </c>
      <c r="O119" s="79"/>
      <c r="P119" s="79"/>
      <c r="Q119" s="76"/>
      <c r="R119" s="77"/>
      <c r="S119" s="76"/>
      <c r="T119" s="77"/>
      <c r="U119" s="76"/>
      <c r="V119" s="77"/>
      <c r="W119" s="76"/>
      <c r="X119" s="77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7"/>
      <c r="AM119" s="76"/>
      <c r="AN119" s="76"/>
    </row>
    <row r="120" spans="1:40" ht="15">
      <c r="A120" s="83" t="e">
        <f>IF(#REF!&lt;&gt;#REF!,1,A119+1)</f>
        <v>#REF!</v>
      </c>
      <c r="O120" s="79"/>
      <c r="P120" s="79"/>
      <c r="Q120" s="76"/>
      <c r="R120" s="77"/>
      <c r="S120" s="76"/>
      <c r="T120" s="77"/>
      <c r="U120" s="76"/>
      <c r="V120" s="77"/>
      <c r="W120" s="76"/>
      <c r="X120" s="77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7"/>
      <c r="AM120" s="76"/>
      <c r="AN120" s="76"/>
    </row>
    <row r="121" spans="1:40" ht="15">
      <c r="A121" s="83" t="e">
        <f>IF(#REF!&lt;&gt;#REF!,1,A120+1)</f>
        <v>#REF!</v>
      </c>
      <c r="O121" s="79"/>
      <c r="P121" s="79"/>
      <c r="Q121" s="76"/>
      <c r="R121" s="77"/>
      <c r="S121" s="76"/>
      <c r="T121" s="77"/>
      <c r="U121" s="76"/>
      <c r="V121" s="77"/>
      <c r="W121" s="76"/>
      <c r="X121" s="77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7"/>
      <c r="AM121" s="76"/>
      <c r="AN121" s="76"/>
    </row>
    <row r="122" spans="1:40" ht="15">
      <c r="A122" s="83" t="e">
        <f>IF(#REF!&lt;&gt;#REF!,1,A121+1)</f>
        <v>#REF!</v>
      </c>
      <c r="O122" s="79"/>
      <c r="P122" s="79"/>
      <c r="Q122" s="76"/>
      <c r="R122" s="77"/>
      <c r="S122" s="76"/>
      <c r="T122" s="77"/>
      <c r="U122" s="76"/>
      <c r="V122" s="77"/>
      <c r="W122" s="76"/>
      <c r="X122" s="77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7"/>
      <c r="AM122" s="76"/>
      <c r="AN122" s="76"/>
    </row>
    <row r="123" spans="1:40" ht="15">
      <c r="A123" s="83" t="e">
        <f>IF(#REF!&lt;&gt;#REF!,1,A122+1)</f>
        <v>#REF!</v>
      </c>
      <c r="O123" s="79"/>
      <c r="P123" s="79"/>
      <c r="Q123" s="76"/>
      <c r="R123" s="77"/>
      <c r="S123" s="76"/>
      <c r="T123" s="77"/>
      <c r="U123" s="76"/>
      <c r="V123" s="77"/>
      <c r="W123" s="76"/>
      <c r="X123" s="77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7"/>
      <c r="AM123" s="76"/>
      <c r="AN123" s="76"/>
    </row>
    <row r="124" spans="1:40" ht="15">
      <c r="A124" s="83" t="e">
        <f>IF(#REF!&lt;&gt;#REF!,1,A123+1)</f>
        <v>#REF!</v>
      </c>
      <c r="O124" s="79"/>
      <c r="P124" s="79"/>
      <c r="Q124" s="76"/>
      <c r="R124" s="77"/>
      <c r="S124" s="76"/>
      <c r="T124" s="77"/>
      <c r="U124" s="76"/>
      <c r="V124" s="77"/>
      <c r="W124" s="76"/>
      <c r="X124" s="77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7"/>
      <c r="AM124" s="76"/>
      <c r="AN124" s="76"/>
    </row>
    <row r="125" spans="1:40" ht="15">
      <c r="A125" s="83" t="e">
        <f>IF(#REF!&lt;&gt;#REF!,1,A124+1)</f>
        <v>#REF!</v>
      </c>
      <c r="O125" s="79"/>
      <c r="P125" s="79"/>
      <c r="Q125" s="76"/>
      <c r="R125" s="77"/>
      <c r="S125" s="76"/>
      <c r="T125" s="77"/>
      <c r="U125" s="76"/>
      <c r="V125" s="77"/>
      <c r="W125" s="76"/>
      <c r="X125" s="77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7"/>
      <c r="AM125" s="76"/>
      <c r="AN125" s="76"/>
    </row>
    <row r="126" spans="1:40" ht="15">
      <c r="A126" s="83" t="e">
        <f>IF(#REF!&lt;&gt;#REF!,1,A125+1)</f>
        <v>#REF!</v>
      </c>
      <c r="O126" s="79"/>
      <c r="P126" s="79"/>
      <c r="Q126" s="76"/>
      <c r="R126" s="77"/>
      <c r="S126" s="76"/>
      <c r="T126" s="77"/>
      <c r="U126" s="76"/>
      <c r="V126" s="77"/>
      <c r="W126" s="76"/>
      <c r="X126" s="77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7"/>
      <c r="AM126" s="76"/>
      <c r="AN126" s="76"/>
    </row>
    <row r="127" spans="1:40" ht="15">
      <c r="A127" s="83" t="e">
        <f>IF(#REF!&lt;&gt;#REF!,1,A126+1)</f>
        <v>#REF!</v>
      </c>
      <c r="O127" s="79"/>
      <c r="P127" s="79"/>
      <c r="Q127" s="76"/>
      <c r="R127" s="77"/>
      <c r="S127" s="76"/>
      <c r="T127" s="77"/>
      <c r="U127" s="76"/>
      <c r="V127" s="77"/>
      <c r="W127" s="76"/>
      <c r="X127" s="77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7"/>
      <c r="AM127" s="76"/>
      <c r="AN127" s="76"/>
    </row>
    <row r="128" spans="1:40" ht="15">
      <c r="A128" s="83" t="e">
        <f>IF(#REF!&lt;&gt;#REF!,1,A127+1)</f>
        <v>#REF!</v>
      </c>
      <c r="O128" s="79"/>
      <c r="P128" s="79"/>
      <c r="Q128" s="76"/>
      <c r="R128" s="77"/>
      <c r="S128" s="76"/>
      <c r="T128" s="77"/>
      <c r="U128" s="76"/>
      <c r="V128" s="77"/>
      <c r="W128" s="76"/>
      <c r="X128" s="77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7"/>
      <c r="AM128" s="76"/>
      <c r="AN128" s="76"/>
    </row>
    <row r="129" spans="1:40" ht="15">
      <c r="A129" s="83" t="e">
        <f>IF(#REF!&lt;&gt;#REF!,1,A128+1)</f>
        <v>#REF!</v>
      </c>
      <c r="O129" s="79"/>
      <c r="P129" s="79"/>
      <c r="Q129" s="76"/>
      <c r="R129" s="77"/>
      <c r="S129" s="76"/>
      <c r="T129" s="77"/>
      <c r="U129" s="76"/>
      <c r="V129" s="77"/>
      <c r="W129" s="76"/>
      <c r="X129" s="77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7"/>
      <c r="AM129" s="76"/>
      <c r="AN129" s="76"/>
    </row>
    <row r="130" spans="1:40" ht="15">
      <c r="A130" s="83" t="e">
        <f>IF(#REF!&lt;&gt;#REF!,1,A129+1)</f>
        <v>#REF!</v>
      </c>
      <c r="O130" s="79"/>
      <c r="P130" s="79"/>
      <c r="Q130" s="76"/>
      <c r="R130" s="77"/>
      <c r="S130" s="76"/>
      <c r="T130" s="77"/>
      <c r="U130" s="76"/>
      <c r="V130" s="77"/>
      <c r="W130" s="76"/>
      <c r="X130" s="77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7"/>
      <c r="AM130" s="76"/>
      <c r="AN130" s="76"/>
    </row>
    <row r="131" spans="1:40" ht="15">
      <c r="A131" s="83" t="e">
        <f>IF(#REF!&lt;&gt;#REF!,1,A130+1)</f>
        <v>#REF!</v>
      </c>
      <c r="O131" s="79"/>
      <c r="P131" s="79"/>
      <c r="Q131" s="76"/>
      <c r="R131" s="77"/>
      <c r="S131" s="76"/>
      <c r="T131" s="77"/>
      <c r="U131" s="76"/>
      <c r="V131" s="77"/>
      <c r="W131" s="76"/>
      <c r="X131" s="77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7"/>
      <c r="AM131" s="76"/>
      <c r="AN131" s="76"/>
    </row>
    <row r="132" spans="1:40" ht="15">
      <c r="A132" s="83" t="e">
        <f>IF(#REF!&lt;&gt;#REF!,1,A131+1)</f>
        <v>#REF!</v>
      </c>
      <c r="O132" s="79"/>
      <c r="P132" s="79"/>
      <c r="Q132" s="76"/>
      <c r="R132" s="77"/>
      <c r="S132" s="76"/>
      <c r="T132" s="77"/>
      <c r="U132" s="76"/>
      <c r="V132" s="77"/>
      <c r="W132" s="76"/>
      <c r="X132" s="77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7"/>
      <c r="AM132" s="76"/>
      <c r="AN132" s="76"/>
    </row>
    <row r="133" spans="1:40" ht="15">
      <c r="A133" s="83" t="e">
        <f>IF(#REF!&lt;&gt;#REF!,1,A132+1)</f>
        <v>#REF!</v>
      </c>
      <c r="O133" s="79"/>
      <c r="P133" s="79"/>
      <c r="Q133" s="76"/>
      <c r="R133" s="77"/>
      <c r="S133" s="76"/>
      <c r="T133" s="77"/>
      <c r="U133" s="76"/>
      <c r="V133" s="77"/>
      <c r="W133" s="76"/>
      <c r="X133" s="77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7"/>
      <c r="AM133" s="76"/>
      <c r="AN133" s="76"/>
    </row>
    <row r="134" spans="1:40" ht="15">
      <c r="A134" s="83" t="e">
        <f>IF(#REF!&lt;&gt;#REF!,1,A133+1)</f>
        <v>#REF!</v>
      </c>
      <c r="O134" s="79"/>
      <c r="P134" s="79"/>
      <c r="Q134" s="76"/>
      <c r="R134" s="77"/>
      <c r="S134" s="76"/>
      <c r="T134" s="77"/>
      <c r="U134" s="76"/>
      <c r="V134" s="77"/>
      <c r="W134" s="76"/>
      <c r="X134" s="77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7"/>
      <c r="AM134" s="76"/>
      <c r="AN134" s="76"/>
    </row>
    <row r="135" spans="1:40" ht="15">
      <c r="A135" s="83" t="e">
        <f>IF(#REF!&lt;&gt;#REF!,1,A134+1)</f>
        <v>#REF!</v>
      </c>
      <c r="O135" s="79"/>
      <c r="P135" s="79"/>
      <c r="Q135" s="76"/>
      <c r="R135" s="77"/>
      <c r="S135" s="76"/>
      <c r="T135" s="77"/>
      <c r="U135" s="76"/>
      <c r="V135" s="77"/>
      <c r="W135" s="76"/>
      <c r="X135" s="77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7"/>
      <c r="AM135" s="76"/>
      <c r="AN135" s="76"/>
    </row>
    <row r="136" spans="1:40" ht="15">
      <c r="A136" s="83" t="e">
        <f>IF(#REF!&lt;&gt;#REF!,1,A135+1)</f>
        <v>#REF!</v>
      </c>
      <c r="O136" s="79"/>
      <c r="P136" s="79"/>
      <c r="Q136" s="76"/>
      <c r="R136" s="77"/>
      <c r="S136" s="76"/>
      <c r="T136" s="77"/>
      <c r="U136" s="76"/>
      <c r="V136" s="77"/>
      <c r="W136" s="76"/>
      <c r="X136" s="77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7"/>
      <c r="AM136" s="76"/>
      <c r="AN136" s="76"/>
    </row>
    <row r="137" spans="1:40" ht="15">
      <c r="A137" s="83" t="e">
        <f>IF(#REF!&lt;&gt;#REF!,1,A136+1)</f>
        <v>#REF!</v>
      </c>
      <c r="O137" s="79"/>
      <c r="P137" s="79"/>
      <c r="Q137" s="76"/>
      <c r="R137" s="77"/>
      <c r="S137" s="76"/>
      <c r="T137" s="77"/>
      <c r="U137" s="76"/>
      <c r="V137" s="77"/>
      <c r="W137" s="76"/>
      <c r="X137" s="77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7"/>
      <c r="AM137" s="76"/>
      <c r="AN137" s="76"/>
    </row>
    <row r="138" spans="1:40" ht="15">
      <c r="A138" s="83" t="e">
        <f>IF(#REF!&lt;&gt;#REF!,1,A137+1)</f>
        <v>#REF!</v>
      </c>
      <c r="O138" s="79"/>
      <c r="P138" s="79"/>
      <c r="Q138" s="76"/>
      <c r="R138" s="77"/>
      <c r="S138" s="76"/>
      <c r="T138" s="77"/>
      <c r="U138" s="76"/>
      <c r="V138" s="77"/>
      <c r="W138" s="76"/>
      <c r="X138" s="77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7"/>
      <c r="AM138" s="76"/>
      <c r="AN138" s="76"/>
    </row>
    <row r="139" spans="1:40" ht="15">
      <c r="A139" s="83" t="e">
        <f>IF(#REF!&lt;&gt;#REF!,1,A138+1)</f>
        <v>#REF!</v>
      </c>
      <c r="O139" s="79"/>
      <c r="P139" s="79"/>
      <c r="Q139" s="76"/>
      <c r="R139" s="77"/>
      <c r="S139" s="76"/>
      <c r="T139" s="77"/>
      <c r="U139" s="76"/>
      <c r="V139" s="77"/>
      <c r="W139" s="76"/>
      <c r="X139" s="77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7"/>
      <c r="AM139" s="76"/>
      <c r="AN139" s="76"/>
    </row>
    <row r="140" spans="1:40" ht="15">
      <c r="A140" s="83" t="e">
        <f>IF(#REF!&lt;&gt;#REF!,1,A139+1)</f>
        <v>#REF!</v>
      </c>
      <c r="O140" s="79"/>
      <c r="P140" s="79"/>
      <c r="Q140" s="76"/>
      <c r="R140" s="77"/>
      <c r="S140" s="76"/>
      <c r="T140" s="77"/>
      <c r="U140" s="76"/>
      <c r="V140" s="77"/>
      <c r="W140" s="76"/>
      <c r="X140" s="77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7"/>
      <c r="AM140" s="76"/>
      <c r="AN140" s="76"/>
    </row>
    <row r="141" spans="1:40" ht="15">
      <c r="A141" s="83" t="e">
        <f>IF(#REF!&lt;&gt;#REF!,1,A140+1)</f>
        <v>#REF!</v>
      </c>
      <c r="O141" s="79"/>
      <c r="P141" s="79"/>
      <c r="Q141" s="76"/>
      <c r="R141" s="77"/>
      <c r="S141" s="76"/>
      <c r="T141" s="77"/>
      <c r="U141" s="76"/>
      <c r="V141" s="77"/>
      <c r="W141" s="76"/>
      <c r="X141" s="77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7"/>
      <c r="AM141" s="76"/>
      <c r="AN141" s="76"/>
    </row>
    <row r="142" spans="1:40" ht="15">
      <c r="A142" s="83" t="e">
        <f>IF(#REF!&lt;&gt;#REF!,1,A141+1)</f>
        <v>#REF!</v>
      </c>
      <c r="O142" s="79"/>
      <c r="P142" s="79"/>
      <c r="Q142" s="76"/>
      <c r="R142" s="77"/>
      <c r="S142" s="76"/>
      <c r="T142" s="77"/>
      <c r="U142" s="76"/>
      <c r="V142" s="77"/>
      <c r="W142" s="76"/>
      <c r="X142" s="77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7"/>
      <c r="AM142" s="76"/>
      <c r="AN142" s="76"/>
    </row>
    <row r="143" spans="1:40" ht="15">
      <c r="A143" s="83" t="e">
        <f>IF(#REF!&lt;&gt;#REF!,1,A142+1)</f>
        <v>#REF!</v>
      </c>
      <c r="O143" s="79"/>
      <c r="P143" s="79"/>
      <c r="Q143" s="76"/>
      <c r="R143" s="77"/>
      <c r="S143" s="76"/>
      <c r="T143" s="77"/>
      <c r="U143" s="76"/>
      <c r="V143" s="77"/>
      <c r="W143" s="76"/>
      <c r="X143" s="77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7"/>
      <c r="AM143" s="76"/>
      <c r="AN143" s="76"/>
    </row>
    <row r="144" spans="1:40" ht="15">
      <c r="A144" s="83" t="e">
        <f>IF(#REF!&lt;&gt;#REF!,1,A143+1)</f>
        <v>#REF!</v>
      </c>
      <c r="O144" s="79"/>
      <c r="P144" s="79"/>
      <c r="Q144" s="76"/>
      <c r="R144" s="77"/>
      <c r="S144" s="76"/>
      <c r="T144" s="77"/>
      <c r="U144" s="76"/>
      <c r="V144" s="77"/>
      <c r="W144" s="76"/>
      <c r="X144" s="77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7"/>
      <c r="AM144" s="76"/>
      <c r="AN144" s="76"/>
    </row>
    <row r="145" spans="1:40" ht="15">
      <c r="A145" s="83" t="e">
        <f>IF(#REF!&lt;&gt;#REF!,1,A144+1)</f>
        <v>#REF!</v>
      </c>
      <c r="O145" s="79"/>
      <c r="P145" s="79"/>
      <c r="Q145" s="76"/>
      <c r="R145" s="77"/>
      <c r="S145" s="76"/>
      <c r="T145" s="77"/>
      <c r="U145" s="76"/>
      <c r="V145" s="77"/>
      <c r="W145" s="76"/>
      <c r="X145" s="77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7"/>
      <c r="AM145" s="76"/>
      <c r="AN145" s="76"/>
    </row>
    <row r="146" spans="1:40" ht="15">
      <c r="A146" s="83" t="e">
        <f>IF(#REF!&lt;&gt;#REF!,1,A145+1)</f>
        <v>#REF!</v>
      </c>
      <c r="O146" s="79"/>
      <c r="P146" s="79"/>
      <c r="Q146" s="76"/>
      <c r="R146" s="77"/>
      <c r="S146" s="76"/>
      <c r="T146" s="77"/>
      <c r="U146" s="76"/>
      <c r="V146" s="77"/>
      <c r="W146" s="76"/>
      <c r="X146" s="77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7"/>
      <c r="AM146" s="76"/>
      <c r="AN146" s="76"/>
    </row>
    <row r="147" spans="1:40" ht="15">
      <c r="A147" s="83" t="e">
        <f>IF(#REF!&lt;&gt;#REF!,1,A146+1)</f>
        <v>#REF!</v>
      </c>
      <c r="O147" s="79"/>
      <c r="P147" s="79"/>
      <c r="Q147" s="76"/>
      <c r="R147" s="77"/>
      <c r="S147" s="76"/>
      <c r="T147" s="77"/>
      <c r="U147" s="76"/>
      <c r="V147" s="77"/>
      <c r="W147" s="76"/>
      <c r="X147" s="77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7"/>
      <c r="AM147" s="76"/>
      <c r="AN147" s="76"/>
    </row>
    <row r="148" spans="1:40" ht="15">
      <c r="A148" s="83" t="e">
        <f>IF(#REF!&lt;&gt;#REF!,1,A147+1)</f>
        <v>#REF!</v>
      </c>
      <c r="O148" s="79"/>
      <c r="P148" s="79"/>
      <c r="Q148" s="76"/>
      <c r="R148" s="77"/>
      <c r="S148" s="76"/>
      <c r="T148" s="77"/>
      <c r="U148" s="76"/>
      <c r="V148" s="77"/>
      <c r="W148" s="76"/>
      <c r="X148" s="77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7"/>
      <c r="AM148" s="76"/>
      <c r="AN148" s="76"/>
    </row>
    <row r="149" spans="1:40" ht="15">
      <c r="A149" s="83" t="e">
        <f>IF(#REF!&lt;&gt;#REF!,1,A148+1)</f>
        <v>#REF!</v>
      </c>
      <c r="O149" s="79"/>
      <c r="P149" s="79"/>
      <c r="Q149" s="76"/>
      <c r="R149" s="77"/>
      <c r="S149" s="76"/>
      <c r="T149" s="77"/>
      <c r="U149" s="76"/>
      <c r="V149" s="77"/>
      <c r="W149" s="76"/>
      <c r="X149" s="77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7"/>
      <c r="AM149" s="76"/>
      <c r="AN149" s="76"/>
    </row>
    <row r="150" spans="1:40" ht="15">
      <c r="A150" s="83" t="e">
        <f>IF(#REF!&lt;&gt;#REF!,1,A149+1)</f>
        <v>#REF!</v>
      </c>
      <c r="O150" s="79"/>
      <c r="P150" s="79"/>
      <c r="Q150" s="76"/>
      <c r="R150" s="77"/>
      <c r="S150" s="76"/>
      <c r="T150" s="77"/>
      <c r="U150" s="76"/>
      <c r="V150" s="77"/>
      <c r="W150" s="76"/>
      <c r="X150" s="77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7"/>
      <c r="AM150" s="76"/>
      <c r="AN150" s="76"/>
    </row>
    <row r="151" spans="1:40" ht="15">
      <c r="A151" s="83" t="e">
        <f>IF(#REF!&lt;&gt;#REF!,1,A150+1)</f>
        <v>#REF!</v>
      </c>
      <c r="O151" s="79"/>
      <c r="P151" s="79"/>
      <c r="Q151" s="76"/>
      <c r="R151" s="77"/>
      <c r="S151" s="76"/>
      <c r="T151" s="77"/>
      <c r="U151" s="76"/>
      <c r="V151" s="77"/>
      <c r="W151" s="76"/>
      <c r="X151" s="77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7"/>
      <c r="AM151" s="76"/>
      <c r="AN151" s="76"/>
    </row>
    <row r="152" spans="1:40" ht="15">
      <c r="A152" s="83" t="e">
        <f>IF(#REF!&lt;&gt;#REF!,1,A151+1)</f>
        <v>#REF!</v>
      </c>
      <c r="O152" s="79"/>
      <c r="P152" s="79"/>
      <c r="Q152" s="76"/>
      <c r="R152" s="77"/>
      <c r="S152" s="76"/>
      <c r="T152" s="77"/>
      <c r="U152" s="76"/>
      <c r="V152" s="77"/>
      <c r="W152" s="76"/>
      <c r="X152" s="77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7"/>
      <c r="AM152" s="76"/>
      <c r="AN152" s="76"/>
    </row>
    <row r="153" spans="1:40" ht="15">
      <c r="A153" s="83" t="e">
        <f>IF(#REF!&lt;&gt;#REF!,1,A152+1)</f>
        <v>#REF!</v>
      </c>
      <c r="O153" s="79"/>
      <c r="P153" s="79"/>
      <c r="Q153" s="76"/>
      <c r="R153" s="77"/>
      <c r="S153" s="76"/>
      <c r="T153" s="77"/>
      <c r="U153" s="76"/>
      <c r="V153" s="77"/>
      <c r="W153" s="76"/>
      <c r="X153" s="77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7"/>
      <c r="AM153" s="76"/>
      <c r="AN153" s="76"/>
    </row>
    <row r="154" spans="1:40" ht="15">
      <c r="A154" s="83" t="e">
        <f>IF(#REF!&lt;&gt;#REF!,1,A153+1)</f>
        <v>#REF!</v>
      </c>
      <c r="O154" s="79"/>
      <c r="P154" s="79"/>
      <c r="Q154" s="76"/>
      <c r="R154" s="77"/>
      <c r="S154" s="76"/>
      <c r="T154" s="77"/>
      <c r="U154" s="76"/>
      <c r="V154" s="77"/>
      <c r="W154" s="76"/>
      <c r="X154" s="77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7"/>
      <c r="AM154" s="76"/>
      <c r="AN154" s="76"/>
    </row>
    <row r="155" spans="1:40" ht="15">
      <c r="A155" s="83" t="e">
        <f>IF(#REF!&lt;&gt;#REF!,1,A154+1)</f>
        <v>#REF!</v>
      </c>
      <c r="O155" s="79"/>
      <c r="P155" s="79"/>
      <c r="Q155" s="76"/>
      <c r="R155" s="77"/>
      <c r="S155" s="76"/>
      <c r="T155" s="77"/>
      <c r="U155" s="76"/>
      <c r="V155" s="77"/>
      <c r="W155" s="76"/>
      <c r="X155" s="77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7"/>
      <c r="AM155" s="76"/>
      <c r="AN155" s="76"/>
    </row>
    <row r="156" spans="1:40" ht="15">
      <c r="A156" s="83" t="e">
        <f>IF(#REF!&lt;&gt;#REF!,1,A155+1)</f>
        <v>#REF!</v>
      </c>
      <c r="O156" s="79"/>
      <c r="P156" s="79"/>
      <c r="Q156" s="76"/>
      <c r="R156" s="77"/>
      <c r="S156" s="76"/>
      <c r="T156" s="77"/>
      <c r="U156" s="76"/>
      <c r="V156" s="77"/>
      <c r="W156" s="76"/>
      <c r="X156" s="77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7"/>
      <c r="AM156" s="76"/>
      <c r="AN156" s="76"/>
    </row>
    <row r="157" spans="1:40" ht="15">
      <c r="A157" s="83" t="e">
        <f>IF(#REF!&lt;&gt;#REF!,1,A156+1)</f>
        <v>#REF!</v>
      </c>
      <c r="O157" s="79"/>
      <c r="P157" s="79"/>
      <c r="Q157" s="76"/>
      <c r="R157" s="77"/>
      <c r="S157" s="76"/>
      <c r="T157" s="77"/>
      <c r="U157" s="76"/>
      <c r="V157" s="77"/>
      <c r="W157" s="76"/>
      <c r="X157" s="77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7"/>
      <c r="AM157" s="76"/>
      <c r="AN157" s="76"/>
    </row>
    <row r="158" spans="1:40" ht="15">
      <c r="A158" s="83" t="e">
        <f>IF(#REF!&lt;&gt;#REF!,1,A157+1)</f>
        <v>#REF!</v>
      </c>
      <c r="O158" s="79"/>
      <c r="P158" s="79"/>
      <c r="Q158" s="76"/>
      <c r="R158" s="77"/>
      <c r="S158" s="76"/>
      <c r="T158" s="77"/>
      <c r="U158" s="76"/>
      <c r="V158" s="77"/>
      <c r="W158" s="76"/>
      <c r="X158" s="77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7"/>
      <c r="AM158" s="76"/>
      <c r="AN158" s="76"/>
    </row>
    <row r="159" spans="1:40" ht="15">
      <c r="A159" s="83" t="e">
        <f>IF(#REF!&lt;&gt;#REF!,1,A158+1)</f>
        <v>#REF!</v>
      </c>
      <c r="O159" s="79"/>
      <c r="P159" s="79"/>
      <c r="Q159" s="76"/>
      <c r="R159" s="77"/>
      <c r="S159" s="76"/>
      <c r="T159" s="77"/>
      <c r="U159" s="76"/>
      <c r="V159" s="77"/>
      <c r="W159" s="76"/>
      <c r="X159" s="77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7"/>
      <c r="AM159" s="76"/>
      <c r="AN159" s="76"/>
    </row>
    <row r="160" spans="1:40" ht="15">
      <c r="A160" s="83" t="e">
        <f>IF(#REF!&lt;&gt;#REF!,1,A159+1)</f>
        <v>#REF!</v>
      </c>
      <c r="O160" s="79"/>
      <c r="P160" s="79"/>
      <c r="Q160" s="76"/>
      <c r="R160" s="77"/>
      <c r="S160" s="76"/>
      <c r="T160" s="77"/>
      <c r="U160" s="76"/>
      <c r="V160" s="77"/>
      <c r="W160" s="76"/>
      <c r="X160" s="77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7"/>
      <c r="AM160" s="76"/>
      <c r="AN160" s="76"/>
    </row>
    <row r="161" spans="1:40" ht="15">
      <c r="A161" s="83" t="e">
        <f>IF(#REF!&lt;&gt;#REF!,1,A160+1)</f>
        <v>#REF!</v>
      </c>
      <c r="O161" s="79"/>
      <c r="P161" s="79"/>
      <c r="Q161" s="76"/>
      <c r="R161" s="77"/>
      <c r="S161" s="76"/>
      <c r="T161" s="77"/>
      <c r="U161" s="76"/>
      <c r="V161" s="77"/>
      <c r="W161" s="76"/>
      <c r="X161" s="77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7"/>
      <c r="AM161" s="76"/>
      <c r="AN161" s="76"/>
    </row>
    <row r="162" spans="1:40" ht="15">
      <c r="A162" s="83" t="e">
        <f>IF(#REF!&lt;&gt;#REF!,1,A161+1)</f>
        <v>#REF!</v>
      </c>
      <c r="O162" s="79"/>
      <c r="P162" s="79"/>
      <c r="Q162" s="76"/>
      <c r="R162" s="77"/>
      <c r="S162" s="76"/>
      <c r="T162" s="77"/>
      <c r="U162" s="76"/>
      <c r="V162" s="77"/>
      <c r="W162" s="76"/>
      <c r="X162" s="77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7"/>
      <c r="AM162" s="76"/>
      <c r="AN162" s="76"/>
    </row>
    <row r="163" spans="1:40" ht="15">
      <c r="A163" s="83" t="e">
        <f>IF(#REF!&lt;&gt;#REF!,1,A162+1)</f>
        <v>#REF!</v>
      </c>
      <c r="O163" s="79"/>
      <c r="P163" s="79"/>
      <c r="Q163" s="76"/>
      <c r="R163" s="77"/>
      <c r="S163" s="76"/>
      <c r="T163" s="77"/>
      <c r="U163" s="76"/>
      <c r="V163" s="77"/>
      <c r="W163" s="76"/>
      <c r="X163" s="77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7"/>
      <c r="AM163" s="76"/>
      <c r="AN163" s="76"/>
    </row>
    <row r="164" spans="1:40" ht="15">
      <c r="A164" s="83" t="e">
        <f>IF(#REF!&lt;&gt;#REF!,1,A163+1)</f>
        <v>#REF!</v>
      </c>
      <c r="O164" s="79"/>
      <c r="P164" s="79"/>
      <c r="Q164" s="76"/>
      <c r="R164" s="77"/>
      <c r="S164" s="76"/>
      <c r="T164" s="77"/>
      <c r="U164" s="76"/>
      <c r="V164" s="77"/>
      <c r="W164" s="76"/>
      <c r="X164" s="77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7"/>
      <c r="AM164" s="76"/>
      <c r="AN164" s="76"/>
    </row>
    <row r="165" spans="1:40" ht="15">
      <c r="A165" s="83" t="e">
        <f>IF(#REF!&lt;&gt;#REF!,1,A164+1)</f>
        <v>#REF!</v>
      </c>
      <c r="O165" s="79"/>
      <c r="P165" s="79"/>
      <c r="Q165" s="76"/>
      <c r="R165" s="77"/>
      <c r="S165" s="76"/>
      <c r="T165" s="77"/>
      <c r="U165" s="76"/>
      <c r="V165" s="77"/>
      <c r="W165" s="76"/>
      <c r="X165" s="77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7"/>
      <c r="AM165" s="76"/>
      <c r="AN165" s="76"/>
    </row>
    <row r="166" spans="1:40" ht="15">
      <c r="A166" s="83" t="e">
        <f>IF(#REF!&lt;&gt;#REF!,1,A165+1)</f>
        <v>#REF!</v>
      </c>
      <c r="O166" s="79"/>
      <c r="P166" s="79"/>
      <c r="Q166" s="76"/>
      <c r="R166" s="77"/>
      <c r="S166" s="76"/>
      <c r="T166" s="77"/>
      <c r="U166" s="76"/>
      <c r="V166" s="77"/>
      <c r="W166" s="76"/>
      <c r="X166" s="77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7"/>
      <c r="AM166" s="76"/>
      <c r="AN166" s="76"/>
    </row>
    <row r="167" spans="1:40" ht="15">
      <c r="A167" s="83" t="e">
        <f>IF(#REF!&lt;&gt;#REF!,1,A166+1)</f>
        <v>#REF!</v>
      </c>
      <c r="O167" s="79"/>
      <c r="P167" s="79"/>
      <c r="Q167" s="76"/>
      <c r="R167" s="77"/>
      <c r="S167" s="76"/>
      <c r="T167" s="77"/>
      <c r="U167" s="76"/>
      <c r="V167" s="77"/>
      <c r="W167" s="76"/>
      <c r="X167" s="77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7"/>
      <c r="AM167" s="76"/>
      <c r="AN167" s="76"/>
    </row>
    <row r="168" spans="1:40" ht="15">
      <c r="A168" s="83" t="e">
        <f>IF(#REF!&lt;&gt;#REF!,1,A167+1)</f>
        <v>#REF!</v>
      </c>
      <c r="O168" s="79"/>
      <c r="P168" s="79"/>
      <c r="Q168" s="76"/>
      <c r="R168" s="77"/>
      <c r="S168" s="76"/>
      <c r="T168" s="77"/>
      <c r="U168" s="76"/>
      <c r="V168" s="77"/>
      <c r="W168" s="76"/>
      <c r="X168" s="77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7"/>
      <c r="AM168" s="76"/>
      <c r="AN168" s="76"/>
    </row>
    <row r="169" spans="1:40" ht="15">
      <c r="A169" s="83" t="e">
        <f>IF(#REF!&lt;&gt;#REF!,1,A168+1)</f>
        <v>#REF!</v>
      </c>
      <c r="O169" s="79"/>
      <c r="P169" s="79"/>
      <c r="Q169" s="76"/>
      <c r="R169" s="77"/>
      <c r="S169" s="76"/>
      <c r="T169" s="77"/>
      <c r="U169" s="76"/>
      <c r="V169" s="77"/>
      <c r="W169" s="76"/>
      <c r="X169" s="77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7"/>
      <c r="AM169" s="76"/>
      <c r="AN169" s="76"/>
    </row>
    <row r="170" spans="1:40" ht="15">
      <c r="A170" s="83" t="e">
        <f>IF(#REF!&lt;&gt;#REF!,1,A169+1)</f>
        <v>#REF!</v>
      </c>
      <c r="O170" s="79"/>
      <c r="P170" s="79"/>
      <c r="Q170" s="76"/>
      <c r="R170" s="77"/>
      <c r="S170" s="76"/>
      <c r="T170" s="77"/>
      <c r="U170" s="76"/>
      <c r="V170" s="77"/>
      <c r="W170" s="76"/>
      <c r="X170" s="77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7"/>
      <c r="AM170" s="76"/>
      <c r="AN170" s="76"/>
    </row>
    <row r="171" spans="1:40" ht="15">
      <c r="A171" s="83" t="e">
        <f>IF(#REF!&lt;&gt;#REF!,1,A170+1)</f>
        <v>#REF!</v>
      </c>
      <c r="O171" s="79"/>
      <c r="P171" s="79"/>
      <c r="Q171" s="76"/>
      <c r="R171" s="77"/>
      <c r="S171" s="76"/>
      <c r="T171" s="77"/>
      <c r="U171" s="76"/>
      <c r="V171" s="77"/>
      <c r="W171" s="76"/>
      <c r="X171" s="77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7"/>
      <c r="AM171" s="76"/>
      <c r="AN171" s="76"/>
    </row>
    <row r="172" spans="1:40" ht="15">
      <c r="A172" s="83" t="e">
        <f>IF(#REF!&lt;&gt;#REF!,1,A171+1)</f>
        <v>#REF!</v>
      </c>
      <c r="O172" s="79"/>
      <c r="P172" s="79"/>
      <c r="Q172" s="76"/>
      <c r="R172" s="77"/>
      <c r="S172" s="76"/>
      <c r="T172" s="77"/>
      <c r="U172" s="76"/>
      <c r="V172" s="77"/>
      <c r="W172" s="76"/>
      <c r="X172" s="77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7"/>
      <c r="AM172" s="76"/>
      <c r="AN172" s="76"/>
    </row>
    <row r="173" spans="1:40" ht="15">
      <c r="A173" s="83" t="e">
        <f>IF(#REF!&lt;&gt;#REF!,1,A172+1)</f>
        <v>#REF!</v>
      </c>
      <c r="O173" s="79"/>
      <c r="P173" s="79"/>
      <c r="Q173" s="76"/>
      <c r="R173" s="77"/>
      <c r="S173" s="76"/>
      <c r="T173" s="77"/>
      <c r="U173" s="76"/>
      <c r="V173" s="77"/>
      <c r="W173" s="76"/>
      <c r="X173" s="77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7"/>
      <c r="AM173" s="76"/>
      <c r="AN173" s="76"/>
    </row>
    <row r="174" spans="1:40" ht="15">
      <c r="A174" s="83" t="e">
        <f>IF(#REF!&lt;&gt;#REF!,1,A173+1)</f>
        <v>#REF!</v>
      </c>
      <c r="O174" s="79"/>
      <c r="P174" s="79"/>
      <c r="Q174" s="76"/>
      <c r="R174" s="77"/>
      <c r="S174" s="76"/>
      <c r="T174" s="77"/>
      <c r="U174" s="76"/>
      <c r="V174" s="77"/>
      <c r="W174" s="76"/>
      <c r="X174" s="77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7"/>
      <c r="AM174" s="76"/>
      <c r="AN174" s="76"/>
    </row>
    <row r="175" spans="1:40" ht="15">
      <c r="A175" s="83" t="e">
        <f>IF(#REF!&lt;&gt;#REF!,1,A174+1)</f>
        <v>#REF!</v>
      </c>
      <c r="O175" s="79"/>
      <c r="P175" s="79"/>
      <c r="Q175" s="76"/>
      <c r="R175" s="77"/>
      <c r="S175" s="76"/>
      <c r="T175" s="77"/>
      <c r="U175" s="76"/>
      <c r="V175" s="77"/>
      <c r="W175" s="76"/>
      <c r="X175" s="77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7"/>
      <c r="AM175" s="76"/>
      <c r="AN175" s="76"/>
    </row>
    <row r="176" spans="1:40" ht="15">
      <c r="A176" s="83" t="e">
        <f>IF(#REF!&lt;&gt;#REF!,1,A175+1)</f>
        <v>#REF!</v>
      </c>
      <c r="O176" s="79"/>
      <c r="P176" s="79"/>
      <c r="Q176" s="76"/>
      <c r="R176" s="77"/>
      <c r="S176" s="76"/>
      <c r="T176" s="77"/>
      <c r="U176" s="76"/>
      <c r="V176" s="77"/>
      <c r="W176" s="76"/>
      <c r="X176" s="77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7"/>
      <c r="AM176" s="76"/>
      <c r="AN176" s="76"/>
    </row>
    <row r="177" spans="1:40" ht="15">
      <c r="A177" s="83" t="e">
        <f>IF(#REF!&lt;&gt;#REF!,1,A176+1)</f>
        <v>#REF!</v>
      </c>
      <c r="O177" s="79"/>
      <c r="P177" s="79"/>
      <c r="Q177" s="76"/>
      <c r="R177" s="77"/>
      <c r="S177" s="76"/>
      <c r="T177" s="77"/>
      <c r="U177" s="76"/>
      <c r="V177" s="77"/>
      <c r="W177" s="76"/>
      <c r="X177" s="77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7"/>
      <c r="AM177" s="76"/>
      <c r="AN177" s="76"/>
    </row>
    <row r="178" spans="1:40" ht="15">
      <c r="A178" s="83" t="e">
        <f>IF(#REF!&lt;&gt;#REF!,1,A177+1)</f>
        <v>#REF!</v>
      </c>
      <c r="O178" s="79"/>
      <c r="P178" s="79"/>
      <c r="Q178" s="76"/>
      <c r="R178" s="77"/>
      <c r="S178" s="76"/>
      <c r="T178" s="77"/>
      <c r="U178" s="76"/>
      <c r="V178" s="77"/>
      <c r="W178" s="76"/>
      <c r="X178" s="77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7"/>
      <c r="AM178" s="76"/>
      <c r="AN178" s="76"/>
    </row>
    <row r="179" spans="1:40" ht="15">
      <c r="A179" s="83" t="e">
        <f>IF(#REF!&lt;&gt;#REF!,1,A178+1)</f>
        <v>#REF!</v>
      </c>
      <c r="O179" s="79"/>
      <c r="P179" s="79"/>
      <c r="Q179" s="76"/>
      <c r="R179" s="77"/>
      <c r="S179" s="76"/>
      <c r="T179" s="77"/>
      <c r="U179" s="76"/>
      <c r="V179" s="77"/>
      <c r="W179" s="76"/>
      <c r="X179" s="77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7"/>
      <c r="AM179" s="76"/>
      <c r="AN179" s="76"/>
    </row>
    <row r="180" spans="1:40" ht="15">
      <c r="A180" s="83" t="e">
        <f>IF(#REF!&lt;&gt;#REF!,1,A179+1)</f>
        <v>#REF!</v>
      </c>
      <c r="O180" s="79"/>
      <c r="P180" s="79"/>
      <c r="Q180" s="76"/>
      <c r="R180" s="77"/>
      <c r="S180" s="76"/>
      <c r="T180" s="77"/>
      <c r="U180" s="76"/>
      <c r="V180" s="77"/>
      <c r="W180" s="76"/>
      <c r="X180" s="77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7"/>
      <c r="AM180" s="76"/>
      <c r="AN180" s="76"/>
    </row>
    <row r="181" spans="1:40" ht="15">
      <c r="A181" s="83" t="e">
        <f>IF(#REF!&lt;&gt;#REF!,1,A180+1)</f>
        <v>#REF!</v>
      </c>
      <c r="O181" s="79"/>
      <c r="P181" s="79"/>
      <c r="Q181" s="76"/>
      <c r="R181" s="77"/>
      <c r="S181" s="76"/>
      <c r="T181" s="77"/>
      <c r="U181" s="76"/>
      <c r="V181" s="77"/>
      <c r="W181" s="76"/>
      <c r="X181" s="77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7"/>
      <c r="AM181" s="76"/>
      <c r="AN181" s="76"/>
    </row>
    <row r="182" spans="1:40" ht="15">
      <c r="A182" s="83" t="e">
        <f>IF(#REF!&lt;&gt;#REF!,1,A181+1)</f>
        <v>#REF!</v>
      </c>
      <c r="O182" s="79"/>
      <c r="P182" s="79"/>
      <c r="Q182" s="76"/>
      <c r="R182" s="77"/>
      <c r="S182" s="76"/>
      <c r="T182" s="77"/>
      <c r="U182" s="76"/>
      <c r="V182" s="77"/>
      <c r="W182" s="76"/>
      <c r="X182" s="77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7"/>
      <c r="AM182" s="76"/>
      <c r="AN182" s="76"/>
    </row>
    <row r="183" spans="1:40" ht="15">
      <c r="A183" s="83" t="e">
        <f>IF(#REF!&lt;&gt;#REF!,1,A182+1)</f>
        <v>#REF!</v>
      </c>
      <c r="O183" s="79"/>
      <c r="P183" s="79"/>
      <c r="Q183" s="76"/>
      <c r="R183" s="77"/>
      <c r="S183" s="76"/>
      <c r="T183" s="77"/>
      <c r="U183" s="76"/>
      <c r="V183" s="77"/>
      <c r="W183" s="76"/>
      <c r="X183" s="77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7"/>
      <c r="AM183" s="76"/>
      <c r="AN183" s="76"/>
    </row>
    <row r="184" spans="1:40" ht="15">
      <c r="A184" s="83" t="e">
        <f>IF(#REF!&lt;&gt;#REF!,1,A183+1)</f>
        <v>#REF!</v>
      </c>
      <c r="O184" s="79"/>
      <c r="P184" s="79"/>
      <c r="Q184" s="76"/>
      <c r="R184" s="77"/>
      <c r="S184" s="76"/>
      <c r="T184" s="77"/>
      <c r="U184" s="76"/>
      <c r="V184" s="77"/>
      <c r="W184" s="76"/>
      <c r="X184" s="77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7"/>
      <c r="AM184" s="76"/>
      <c r="AN184" s="76"/>
    </row>
    <row r="185" spans="1:40" ht="15">
      <c r="A185" s="83" t="e">
        <f>IF(#REF!&lt;&gt;#REF!,1,A184+1)</f>
        <v>#REF!</v>
      </c>
      <c r="O185" s="79"/>
      <c r="P185" s="79"/>
      <c r="Q185" s="76"/>
      <c r="R185" s="77"/>
      <c r="S185" s="76"/>
      <c r="T185" s="77"/>
      <c r="U185" s="76"/>
      <c r="V185" s="77"/>
      <c r="W185" s="76"/>
      <c r="X185" s="77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7"/>
      <c r="AM185" s="76"/>
      <c r="AN185" s="76"/>
    </row>
    <row r="186" spans="1:40" ht="15">
      <c r="A186" s="83" t="e">
        <f>IF(#REF!&lt;&gt;#REF!,1,A185+1)</f>
        <v>#REF!</v>
      </c>
      <c r="O186" s="79"/>
      <c r="P186" s="79"/>
      <c r="Q186" s="76"/>
      <c r="R186" s="77"/>
      <c r="S186" s="76"/>
      <c r="T186" s="77"/>
      <c r="U186" s="76"/>
      <c r="V186" s="77"/>
      <c r="W186" s="76"/>
      <c r="X186" s="77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7"/>
      <c r="AM186" s="76"/>
      <c r="AN186" s="76"/>
    </row>
    <row r="187" spans="1:40" ht="15">
      <c r="A187" s="83" t="e">
        <f>IF(#REF!&lt;&gt;#REF!,1,A186+1)</f>
        <v>#REF!</v>
      </c>
      <c r="O187" s="79"/>
      <c r="P187" s="79"/>
      <c r="Q187" s="76"/>
      <c r="R187" s="77"/>
      <c r="S187" s="76"/>
      <c r="T187" s="77"/>
      <c r="U187" s="76"/>
      <c r="V187" s="77"/>
      <c r="W187" s="76"/>
      <c r="X187" s="77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7"/>
      <c r="AM187" s="76"/>
      <c r="AN187" s="76"/>
    </row>
    <row r="188" spans="1:40" ht="15">
      <c r="A188" s="83" t="e">
        <f>IF(#REF!&lt;&gt;#REF!,1,A187+1)</f>
        <v>#REF!</v>
      </c>
      <c r="O188" s="79"/>
      <c r="P188" s="79"/>
      <c r="Q188" s="76"/>
      <c r="R188" s="77"/>
      <c r="S188" s="76"/>
      <c r="T188" s="77"/>
      <c r="U188" s="76"/>
      <c r="V188" s="77"/>
      <c r="W188" s="76"/>
      <c r="X188" s="77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7"/>
      <c r="AM188" s="76"/>
      <c r="AN188" s="76"/>
    </row>
    <row r="189" spans="1:40" ht="15">
      <c r="A189" s="83" t="e">
        <f>IF(#REF!&lt;&gt;#REF!,1,A188+1)</f>
        <v>#REF!</v>
      </c>
      <c r="O189" s="79"/>
      <c r="P189" s="79"/>
      <c r="Q189" s="76"/>
      <c r="R189" s="77"/>
      <c r="S189" s="76"/>
      <c r="T189" s="77"/>
      <c r="U189" s="76"/>
      <c r="V189" s="77"/>
      <c r="W189" s="76"/>
      <c r="X189" s="77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7"/>
      <c r="AM189" s="76"/>
      <c r="AN189" s="76"/>
    </row>
    <row r="190" spans="1:40" ht="15">
      <c r="A190" s="83" t="e">
        <f>IF(#REF!&lt;&gt;#REF!,1,A189+1)</f>
        <v>#REF!</v>
      </c>
      <c r="O190" s="79"/>
      <c r="P190" s="79"/>
      <c r="Q190" s="76"/>
      <c r="R190" s="77"/>
      <c r="S190" s="76"/>
      <c r="T190" s="77"/>
      <c r="U190" s="76"/>
      <c r="V190" s="77"/>
      <c r="W190" s="76"/>
      <c r="X190" s="77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7"/>
      <c r="AM190" s="76"/>
      <c r="AN190" s="76"/>
    </row>
    <row r="191" spans="1:40" ht="15">
      <c r="A191" s="83" t="e">
        <f>IF(#REF!&lt;&gt;#REF!,1,A190+1)</f>
        <v>#REF!</v>
      </c>
      <c r="O191" s="79"/>
      <c r="P191" s="79"/>
      <c r="Q191" s="76"/>
      <c r="R191" s="77"/>
      <c r="S191" s="76"/>
      <c r="T191" s="77"/>
      <c r="U191" s="76"/>
      <c r="V191" s="77"/>
      <c r="W191" s="76"/>
      <c r="X191" s="77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7"/>
      <c r="AM191" s="76"/>
      <c r="AN191" s="76"/>
    </row>
    <row r="192" spans="1:40" ht="15">
      <c r="A192" s="83" t="e">
        <f>IF(#REF!&lt;&gt;#REF!,1,A191+1)</f>
        <v>#REF!</v>
      </c>
      <c r="O192" s="79"/>
      <c r="P192" s="79"/>
      <c r="Q192" s="76"/>
      <c r="R192" s="77"/>
      <c r="S192" s="76"/>
      <c r="T192" s="77"/>
      <c r="U192" s="76"/>
      <c r="V192" s="77"/>
      <c r="W192" s="76"/>
      <c r="X192" s="77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7"/>
      <c r="AM192" s="76"/>
      <c r="AN192" s="76"/>
    </row>
    <row r="193" spans="1:40" ht="15">
      <c r="A193" s="83" t="e">
        <f>IF(#REF!&lt;&gt;#REF!,1,A192+1)</f>
        <v>#REF!</v>
      </c>
      <c r="O193" s="79"/>
      <c r="P193" s="79"/>
      <c r="Q193" s="76"/>
      <c r="R193" s="77"/>
      <c r="S193" s="76"/>
      <c r="T193" s="77"/>
      <c r="U193" s="76"/>
      <c r="V193" s="77"/>
      <c r="W193" s="76"/>
      <c r="X193" s="77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7"/>
      <c r="AM193" s="76"/>
      <c r="AN193" s="76"/>
    </row>
    <row r="194" spans="1:40" ht="15">
      <c r="A194" s="83" t="e">
        <f>IF(#REF!&lt;&gt;#REF!,1,A193+1)</f>
        <v>#REF!</v>
      </c>
      <c r="O194" s="79"/>
      <c r="P194" s="79"/>
      <c r="Q194" s="76"/>
      <c r="R194" s="77"/>
      <c r="S194" s="76"/>
      <c r="T194" s="77"/>
      <c r="U194" s="76"/>
      <c r="V194" s="77"/>
      <c r="W194" s="76"/>
      <c r="X194" s="77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7"/>
      <c r="AM194" s="76"/>
      <c r="AN194" s="76"/>
    </row>
    <row r="195" spans="1:40" ht="15">
      <c r="A195" s="83" t="e">
        <f>IF(#REF!&lt;&gt;#REF!,1,A194+1)</f>
        <v>#REF!</v>
      </c>
      <c r="O195" s="79"/>
      <c r="P195" s="79"/>
      <c r="Q195" s="76"/>
      <c r="R195" s="77"/>
      <c r="S195" s="76"/>
      <c r="T195" s="77"/>
      <c r="U195" s="76"/>
      <c r="V195" s="77"/>
      <c r="W195" s="76"/>
      <c r="X195" s="77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7"/>
      <c r="AM195" s="76"/>
      <c r="AN195" s="76"/>
    </row>
    <row r="196" spans="1:40" ht="15">
      <c r="A196" s="83" t="e">
        <f>IF(#REF!&lt;&gt;#REF!,1,A195+1)</f>
        <v>#REF!</v>
      </c>
      <c r="O196" s="79"/>
      <c r="P196" s="79"/>
      <c r="Q196" s="76"/>
      <c r="R196" s="77"/>
      <c r="S196" s="76"/>
      <c r="T196" s="77"/>
      <c r="U196" s="76"/>
      <c r="V196" s="77"/>
      <c r="W196" s="76"/>
      <c r="X196" s="77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7"/>
      <c r="AM196" s="76"/>
      <c r="AN196" s="76"/>
    </row>
    <row r="197" spans="1:40" ht="15">
      <c r="A197" s="83" t="e">
        <f>IF(#REF!&lt;&gt;#REF!,1,A196+1)</f>
        <v>#REF!</v>
      </c>
      <c r="O197" s="79"/>
      <c r="P197" s="79"/>
      <c r="Q197" s="76"/>
      <c r="R197" s="77"/>
      <c r="S197" s="76"/>
      <c r="T197" s="77"/>
      <c r="U197" s="76"/>
      <c r="V197" s="77"/>
      <c r="W197" s="76"/>
      <c r="X197" s="77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7"/>
      <c r="AM197" s="76"/>
      <c r="AN197" s="76"/>
    </row>
    <row r="198" spans="1:40" ht="15">
      <c r="A198" s="83" t="e">
        <f>IF(#REF!&lt;&gt;#REF!,1,A197+1)</f>
        <v>#REF!</v>
      </c>
      <c r="O198" s="79"/>
      <c r="P198" s="79"/>
      <c r="Q198" s="76"/>
      <c r="R198" s="77"/>
      <c r="S198" s="76"/>
      <c r="T198" s="77"/>
      <c r="U198" s="76"/>
      <c r="V198" s="77"/>
      <c r="W198" s="76"/>
      <c r="X198" s="77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7"/>
      <c r="AM198" s="76"/>
      <c r="AN198" s="76"/>
    </row>
    <row r="199" spans="1:40" ht="15">
      <c r="A199" s="83" t="e">
        <f>IF(#REF!&lt;&gt;#REF!,1,A198+1)</f>
        <v>#REF!</v>
      </c>
      <c r="O199" s="79"/>
      <c r="P199" s="79"/>
      <c r="Q199" s="76"/>
      <c r="R199" s="77"/>
      <c r="S199" s="76"/>
      <c r="T199" s="77"/>
      <c r="U199" s="76"/>
      <c r="V199" s="77"/>
      <c r="W199" s="76"/>
      <c r="X199" s="77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7"/>
      <c r="AM199" s="76"/>
      <c r="AN199" s="76"/>
    </row>
    <row r="200" spans="1:40" ht="15">
      <c r="A200" s="83" t="e">
        <f>IF(#REF!&lt;&gt;#REF!,1,A199+1)</f>
        <v>#REF!</v>
      </c>
      <c r="O200" s="79"/>
      <c r="P200" s="79"/>
      <c r="Q200" s="76"/>
      <c r="R200" s="77"/>
      <c r="S200" s="76"/>
      <c r="T200" s="77"/>
      <c r="U200" s="76"/>
      <c r="V200" s="77"/>
      <c r="W200" s="76"/>
      <c r="X200" s="77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7"/>
      <c r="AM200" s="76"/>
      <c r="AN200" s="76"/>
    </row>
    <row r="201" spans="1:40" ht="15">
      <c r="A201" s="83" t="e">
        <f>IF(#REF!&lt;&gt;#REF!,1,A200+1)</f>
        <v>#REF!</v>
      </c>
      <c r="O201" s="79"/>
      <c r="P201" s="79"/>
      <c r="Q201" s="76"/>
      <c r="R201" s="77"/>
      <c r="S201" s="76"/>
      <c r="T201" s="77"/>
      <c r="U201" s="76"/>
      <c r="V201" s="77"/>
      <c r="W201" s="76"/>
      <c r="X201" s="77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7"/>
      <c r="AM201" s="76"/>
      <c r="AN201" s="76"/>
    </row>
    <row r="202" spans="1:40" ht="15">
      <c r="A202" s="83" t="e">
        <f>IF(#REF!&lt;&gt;#REF!,1,A201+1)</f>
        <v>#REF!</v>
      </c>
      <c r="O202" s="79"/>
      <c r="P202" s="79"/>
      <c r="Q202" s="76"/>
      <c r="R202" s="77"/>
      <c r="S202" s="76"/>
      <c r="T202" s="77"/>
      <c r="U202" s="76"/>
      <c r="V202" s="77"/>
      <c r="W202" s="76"/>
      <c r="X202" s="77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7"/>
      <c r="AM202" s="76"/>
      <c r="AN202" s="76"/>
    </row>
    <row r="203" spans="1:40" ht="15">
      <c r="A203" s="83" t="e">
        <f>IF(#REF!&lt;&gt;#REF!,1,A202+1)</f>
        <v>#REF!</v>
      </c>
      <c r="O203" s="79"/>
      <c r="P203" s="79"/>
      <c r="Q203" s="76"/>
      <c r="R203" s="77"/>
      <c r="S203" s="76"/>
      <c r="T203" s="77"/>
      <c r="U203" s="76"/>
      <c r="V203" s="77"/>
      <c r="W203" s="76"/>
      <c r="X203" s="77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7"/>
      <c r="AM203" s="76"/>
      <c r="AN203" s="76"/>
    </row>
    <row r="204" spans="1:40" ht="15">
      <c r="A204" s="83" t="e">
        <f>IF(#REF!&lt;&gt;#REF!,1,A203+1)</f>
        <v>#REF!</v>
      </c>
      <c r="O204" s="79"/>
      <c r="P204" s="79"/>
      <c r="Q204" s="76"/>
      <c r="R204" s="77"/>
      <c r="S204" s="76"/>
      <c r="T204" s="77"/>
      <c r="U204" s="76"/>
      <c r="V204" s="77"/>
      <c r="W204" s="76"/>
      <c r="X204" s="77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7"/>
      <c r="AM204" s="76"/>
      <c r="AN204" s="76"/>
    </row>
    <row r="205" spans="1:40" ht="15">
      <c r="A205" s="83" t="e">
        <f>IF(#REF!&lt;&gt;#REF!,1,A204+1)</f>
        <v>#REF!</v>
      </c>
      <c r="O205" s="79"/>
      <c r="P205" s="79"/>
      <c r="Q205" s="76"/>
      <c r="R205" s="77"/>
      <c r="S205" s="76"/>
      <c r="T205" s="77"/>
      <c r="U205" s="76"/>
      <c r="V205" s="77"/>
      <c r="W205" s="76"/>
      <c r="X205" s="77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7"/>
      <c r="AM205" s="76"/>
      <c r="AN205" s="76"/>
    </row>
    <row r="206" spans="1:40" ht="15">
      <c r="A206" s="83" t="e">
        <f>IF(#REF!&lt;&gt;#REF!,1,A205+1)</f>
        <v>#REF!</v>
      </c>
      <c r="O206" s="79"/>
      <c r="P206" s="79"/>
      <c r="Q206" s="76"/>
      <c r="R206" s="77"/>
      <c r="S206" s="76"/>
      <c r="T206" s="77"/>
      <c r="U206" s="76"/>
      <c r="V206" s="77"/>
      <c r="W206" s="76"/>
      <c r="X206" s="77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7"/>
      <c r="AM206" s="76"/>
      <c r="AN206" s="76"/>
    </row>
    <row r="207" spans="1:40" ht="15">
      <c r="A207" s="83" t="e">
        <f>IF(#REF!&lt;&gt;#REF!,1,A206+1)</f>
        <v>#REF!</v>
      </c>
      <c r="O207" s="79"/>
      <c r="P207" s="79"/>
      <c r="Q207" s="76"/>
      <c r="R207" s="77"/>
      <c r="S207" s="76"/>
      <c r="T207" s="77"/>
      <c r="U207" s="76"/>
      <c r="V207" s="77"/>
      <c r="W207" s="76"/>
      <c r="X207" s="77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7"/>
      <c r="AM207" s="76"/>
      <c r="AN207" s="76"/>
    </row>
    <row r="208" spans="1:40" ht="15">
      <c r="A208" s="83" t="e">
        <f>IF(#REF!&lt;&gt;#REF!,1,A207+1)</f>
        <v>#REF!</v>
      </c>
      <c r="O208" s="79"/>
      <c r="P208" s="79"/>
      <c r="Q208" s="76"/>
      <c r="R208" s="77"/>
      <c r="S208" s="76"/>
      <c r="T208" s="77"/>
      <c r="U208" s="76"/>
      <c r="V208" s="77"/>
      <c r="W208" s="76"/>
      <c r="X208" s="77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7"/>
      <c r="AM208" s="76"/>
      <c r="AN208" s="76"/>
    </row>
    <row r="209" spans="1:40" ht="15">
      <c r="A209" s="83" t="e">
        <f>IF(#REF!&lt;&gt;#REF!,1,A208+1)</f>
        <v>#REF!</v>
      </c>
      <c r="O209" s="79"/>
      <c r="P209" s="79"/>
      <c r="Q209" s="76"/>
      <c r="R209" s="77"/>
      <c r="S209" s="76"/>
      <c r="T209" s="77"/>
      <c r="U209" s="76"/>
      <c r="V209" s="77"/>
      <c r="W209" s="76"/>
      <c r="X209" s="77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7"/>
      <c r="AM209" s="76"/>
      <c r="AN209" s="76"/>
    </row>
    <row r="210" spans="1:40" ht="15">
      <c r="A210" s="83" t="e">
        <f>IF(#REF!&lt;&gt;#REF!,1,A209+1)</f>
        <v>#REF!</v>
      </c>
      <c r="O210" s="79"/>
      <c r="P210" s="79"/>
      <c r="Q210" s="76"/>
      <c r="R210" s="77"/>
      <c r="S210" s="76"/>
      <c r="T210" s="77"/>
      <c r="U210" s="76"/>
      <c r="V210" s="77"/>
      <c r="W210" s="76"/>
      <c r="X210" s="77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7"/>
      <c r="AM210" s="76"/>
      <c r="AN210" s="76"/>
    </row>
    <row r="211" spans="1:40" ht="15">
      <c r="A211" s="83" t="e">
        <f>IF(#REF!&lt;&gt;#REF!,1,A210+1)</f>
        <v>#REF!</v>
      </c>
      <c r="O211" s="79"/>
      <c r="P211" s="79"/>
      <c r="Q211" s="76"/>
      <c r="R211" s="77"/>
      <c r="S211" s="76"/>
      <c r="T211" s="77"/>
      <c r="U211" s="76"/>
      <c r="V211" s="77"/>
      <c r="W211" s="76"/>
      <c r="X211" s="77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7"/>
      <c r="AM211" s="76"/>
      <c r="AN211" s="76"/>
    </row>
    <row r="212" spans="1:40" ht="15">
      <c r="A212" s="83" t="e">
        <f>IF(#REF!&lt;&gt;#REF!,1,A211+1)</f>
        <v>#REF!</v>
      </c>
      <c r="O212" s="79"/>
      <c r="P212" s="79"/>
      <c r="Q212" s="76"/>
      <c r="R212" s="77"/>
      <c r="S212" s="76"/>
      <c r="T212" s="77"/>
      <c r="U212" s="76"/>
      <c r="V212" s="77"/>
      <c r="W212" s="76"/>
      <c r="X212" s="77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7"/>
      <c r="AM212" s="76"/>
      <c r="AN212" s="76"/>
    </row>
    <row r="213" spans="1:40" ht="15">
      <c r="A213" s="83" t="e">
        <f>IF(#REF!&lt;&gt;#REF!,1,A212+1)</f>
        <v>#REF!</v>
      </c>
      <c r="O213" s="79"/>
      <c r="P213" s="79"/>
      <c r="Q213" s="76"/>
      <c r="R213" s="77"/>
      <c r="S213" s="76"/>
      <c r="T213" s="77"/>
      <c r="U213" s="76"/>
      <c r="V213" s="77"/>
      <c r="W213" s="76"/>
      <c r="X213" s="77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7"/>
      <c r="AM213" s="76"/>
      <c r="AN213" s="76"/>
    </row>
    <row r="214" spans="1:40" ht="15">
      <c r="A214" s="83" t="e">
        <f>IF(#REF!&lt;&gt;#REF!,1,A213+1)</f>
        <v>#REF!</v>
      </c>
      <c r="O214" s="79"/>
      <c r="P214" s="79"/>
      <c r="Q214" s="76"/>
      <c r="R214" s="77"/>
      <c r="S214" s="76"/>
      <c r="T214" s="77"/>
      <c r="U214" s="76"/>
      <c r="V214" s="77"/>
      <c r="W214" s="76"/>
      <c r="X214" s="77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7"/>
      <c r="AM214" s="76"/>
      <c r="AN214" s="76"/>
    </row>
    <row r="215" spans="1:40" ht="15">
      <c r="A215" s="83" t="e">
        <f>IF(#REF!&lt;&gt;#REF!,1,A214+1)</f>
        <v>#REF!</v>
      </c>
      <c r="O215" s="79"/>
      <c r="P215" s="79"/>
      <c r="Q215" s="76"/>
      <c r="R215" s="77"/>
      <c r="S215" s="76"/>
      <c r="T215" s="77"/>
      <c r="U215" s="76"/>
      <c r="V215" s="77"/>
      <c r="W215" s="76"/>
      <c r="X215" s="77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7"/>
      <c r="AM215" s="76"/>
      <c r="AN215" s="76"/>
    </row>
    <row r="216" spans="1:40" ht="15">
      <c r="A216" s="83" t="e">
        <f>IF(#REF!&lt;&gt;#REF!,1,A215+1)</f>
        <v>#REF!</v>
      </c>
      <c r="O216" s="79"/>
      <c r="P216" s="79"/>
      <c r="Q216" s="76"/>
      <c r="R216" s="77"/>
      <c r="S216" s="76"/>
      <c r="T216" s="77"/>
      <c r="U216" s="76"/>
      <c r="V216" s="77"/>
      <c r="W216" s="76"/>
      <c r="X216" s="77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7"/>
      <c r="AM216" s="76"/>
      <c r="AN216" s="76"/>
    </row>
    <row r="217" spans="1:40" ht="15">
      <c r="A217" s="83" t="e">
        <f>IF(#REF!&lt;&gt;#REF!,1,A216+1)</f>
        <v>#REF!</v>
      </c>
      <c r="O217" s="79"/>
      <c r="P217" s="79"/>
      <c r="Q217" s="76"/>
      <c r="R217" s="77"/>
      <c r="S217" s="76"/>
      <c r="T217" s="77"/>
      <c r="U217" s="76"/>
      <c r="V217" s="77"/>
      <c r="W217" s="76"/>
      <c r="X217" s="77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7"/>
      <c r="AM217" s="76"/>
      <c r="AN217" s="76"/>
    </row>
    <row r="218" spans="1:40" ht="15">
      <c r="A218" s="83" t="e">
        <f>IF(#REF!&lt;&gt;#REF!,1,A217+1)</f>
        <v>#REF!</v>
      </c>
      <c r="O218" s="79"/>
      <c r="P218" s="79"/>
      <c r="Q218" s="76"/>
      <c r="R218" s="77"/>
      <c r="S218" s="76"/>
      <c r="T218" s="77"/>
      <c r="U218" s="76"/>
      <c r="V218" s="77"/>
      <c r="W218" s="76"/>
      <c r="X218" s="77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7"/>
      <c r="AM218" s="76"/>
      <c r="AN218" s="76"/>
    </row>
    <row r="219" spans="1:40" ht="15">
      <c r="A219" s="83" t="e">
        <f>IF(#REF!&lt;&gt;#REF!,1,A218+1)</f>
        <v>#REF!</v>
      </c>
      <c r="O219" s="79"/>
      <c r="P219" s="79"/>
      <c r="Q219" s="76"/>
      <c r="R219" s="77"/>
      <c r="S219" s="76"/>
      <c r="T219" s="77"/>
      <c r="U219" s="76"/>
      <c r="V219" s="77"/>
      <c r="W219" s="76"/>
      <c r="X219" s="77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7"/>
      <c r="AM219" s="76"/>
      <c r="AN219" s="76"/>
    </row>
    <row r="220" spans="1:40" ht="15">
      <c r="A220" s="83" t="e">
        <f>IF(#REF!&lt;&gt;#REF!,1,A219+1)</f>
        <v>#REF!</v>
      </c>
      <c r="O220" s="79"/>
      <c r="P220" s="79"/>
      <c r="Q220" s="76"/>
      <c r="R220" s="77"/>
      <c r="S220" s="76"/>
      <c r="T220" s="77"/>
      <c r="U220" s="76"/>
      <c r="V220" s="77"/>
      <c r="W220" s="76"/>
      <c r="X220" s="77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7"/>
      <c r="AM220" s="76"/>
      <c r="AN220" s="76"/>
    </row>
    <row r="221" spans="1:40" ht="15">
      <c r="A221" s="83" t="e">
        <f>IF(#REF!&lt;&gt;#REF!,1,A220+1)</f>
        <v>#REF!</v>
      </c>
      <c r="O221" s="79"/>
      <c r="P221" s="79"/>
      <c r="Q221" s="76"/>
      <c r="R221" s="77"/>
      <c r="S221" s="76"/>
      <c r="T221" s="77"/>
      <c r="U221" s="76"/>
      <c r="V221" s="77"/>
      <c r="W221" s="76"/>
      <c r="X221" s="77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7"/>
      <c r="AM221" s="76"/>
      <c r="AN221" s="76"/>
    </row>
    <row r="222" spans="1:40" ht="15">
      <c r="A222" s="83" t="e">
        <f>IF(#REF!&lt;&gt;#REF!,1,A221+1)</f>
        <v>#REF!</v>
      </c>
      <c r="O222" s="79"/>
      <c r="P222" s="79"/>
      <c r="Q222" s="76"/>
      <c r="R222" s="77"/>
      <c r="S222" s="76"/>
      <c r="T222" s="77"/>
      <c r="U222" s="76"/>
      <c r="V222" s="77"/>
      <c r="W222" s="76"/>
      <c r="X222" s="77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7"/>
      <c r="AM222" s="76"/>
      <c r="AN222" s="76"/>
    </row>
    <row r="223" spans="1:40" ht="15">
      <c r="A223" s="83" t="e">
        <f>IF(#REF!&lt;&gt;#REF!,1,A222+1)</f>
        <v>#REF!</v>
      </c>
      <c r="O223" s="79"/>
      <c r="P223" s="79"/>
      <c r="Q223" s="76"/>
      <c r="R223" s="77"/>
      <c r="S223" s="76"/>
      <c r="T223" s="77"/>
      <c r="U223" s="76"/>
      <c r="V223" s="77"/>
      <c r="W223" s="76"/>
      <c r="X223" s="77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7"/>
      <c r="AM223" s="76"/>
      <c r="AN223" s="76"/>
    </row>
    <row r="224" spans="1:40" ht="15">
      <c r="A224" s="83" t="e">
        <f>IF(#REF!&lt;&gt;#REF!,1,A223+1)</f>
        <v>#REF!</v>
      </c>
      <c r="O224" s="79"/>
      <c r="P224" s="79"/>
      <c r="Q224" s="76"/>
      <c r="R224" s="77"/>
      <c r="S224" s="76"/>
      <c r="T224" s="77"/>
      <c r="U224" s="76"/>
      <c r="V224" s="77"/>
      <c r="W224" s="76"/>
      <c r="X224" s="77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7"/>
      <c r="AM224" s="76"/>
      <c r="AN224" s="76"/>
    </row>
    <row r="225" spans="1:40" ht="15">
      <c r="A225" s="83" t="e">
        <f>IF(#REF!&lt;&gt;#REF!,1,A224+1)</f>
        <v>#REF!</v>
      </c>
      <c r="O225" s="79"/>
      <c r="P225" s="79"/>
      <c r="Q225" s="76"/>
      <c r="R225" s="77"/>
      <c r="S225" s="76"/>
      <c r="T225" s="77"/>
      <c r="U225" s="76"/>
      <c r="V225" s="77"/>
      <c r="W225" s="76"/>
      <c r="X225" s="77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7"/>
      <c r="AM225" s="76"/>
      <c r="AN225" s="76"/>
    </row>
    <row r="226" spans="1:40" ht="15">
      <c r="A226" s="83" t="e">
        <f>IF(#REF!&lt;&gt;#REF!,1,A225+1)</f>
        <v>#REF!</v>
      </c>
      <c r="O226" s="79"/>
      <c r="P226" s="79"/>
      <c r="Q226" s="76"/>
      <c r="R226" s="77"/>
      <c r="S226" s="76"/>
      <c r="T226" s="77"/>
      <c r="U226" s="76"/>
      <c r="V226" s="77"/>
      <c r="W226" s="76"/>
      <c r="X226" s="77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7"/>
      <c r="AM226" s="76"/>
      <c r="AN226" s="76"/>
    </row>
    <row r="227" spans="1:40" ht="15">
      <c r="A227" s="83" t="e">
        <f>IF(#REF!&lt;&gt;#REF!,1,A226+1)</f>
        <v>#REF!</v>
      </c>
      <c r="O227" s="79"/>
      <c r="P227" s="79"/>
      <c r="Q227" s="76"/>
      <c r="R227" s="77"/>
      <c r="S227" s="76"/>
      <c r="T227" s="77"/>
      <c r="U227" s="76"/>
      <c r="V227" s="77"/>
      <c r="W227" s="76"/>
      <c r="X227" s="77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7"/>
      <c r="AM227" s="76"/>
      <c r="AN227" s="76"/>
    </row>
    <row r="228" spans="1:40" ht="15">
      <c r="A228" s="83" t="e">
        <f>IF(#REF!&lt;&gt;#REF!,1,A227+1)</f>
        <v>#REF!</v>
      </c>
      <c r="O228" s="79"/>
      <c r="P228" s="79"/>
      <c r="Q228" s="76"/>
      <c r="R228" s="77"/>
      <c r="S228" s="76"/>
      <c r="T228" s="77"/>
      <c r="U228" s="76"/>
      <c r="V228" s="77"/>
      <c r="W228" s="76"/>
      <c r="X228" s="77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7"/>
      <c r="AM228" s="76"/>
      <c r="AN228" s="76"/>
    </row>
    <row r="229" spans="1:40" ht="15">
      <c r="A229" s="83" t="e">
        <f>IF(#REF!&lt;&gt;#REF!,1,A228+1)</f>
        <v>#REF!</v>
      </c>
      <c r="O229" s="79"/>
      <c r="P229" s="79"/>
      <c r="Q229" s="76"/>
      <c r="R229" s="77"/>
      <c r="S229" s="76"/>
      <c r="T229" s="77"/>
      <c r="U229" s="76"/>
      <c r="V229" s="77"/>
      <c r="W229" s="76"/>
      <c r="X229" s="77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7"/>
      <c r="AM229" s="76"/>
      <c r="AN229" s="76"/>
    </row>
    <row r="230" spans="1:40" ht="15">
      <c r="A230" s="83" t="e">
        <f>IF(#REF!&lt;&gt;#REF!,1,A229+1)</f>
        <v>#REF!</v>
      </c>
      <c r="O230" s="79"/>
      <c r="P230" s="79"/>
      <c r="Q230" s="76"/>
      <c r="R230" s="77"/>
      <c r="S230" s="76"/>
      <c r="T230" s="77"/>
      <c r="U230" s="76"/>
      <c r="V230" s="77"/>
      <c r="W230" s="76"/>
      <c r="X230" s="77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7"/>
      <c r="AM230" s="76"/>
      <c r="AN230" s="76"/>
    </row>
    <row r="231" spans="1:40" ht="15">
      <c r="A231" s="83" t="e">
        <f>IF(#REF!&lt;&gt;#REF!,1,A230+1)</f>
        <v>#REF!</v>
      </c>
      <c r="O231" s="79"/>
      <c r="P231" s="79"/>
      <c r="Q231" s="76"/>
      <c r="R231" s="77"/>
      <c r="S231" s="76"/>
      <c r="T231" s="77"/>
      <c r="U231" s="76"/>
      <c r="V231" s="77"/>
      <c r="W231" s="76"/>
      <c r="X231" s="77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7"/>
      <c r="AM231" s="76"/>
      <c r="AN231" s="76"/>
    </row>
    <row r="232" spans="1:40" ht="15">
      <c r="A232" s="83" t="e">
        <f>IF(#REF!&lt;&gt;#REF!,1,A231+1)</f>
        <v>#REF!</v>
      </c>
      <c r="O232" s="79"/>
      <c r="P232" s="79"/>
      <c r="Q232" s="76"/>
      <c r="R232" s="77"/>
      <c r="S232" s="76"/>
      <c r="T232" s="77"/>
      <c r="U232" s="76"/>
      <c r="V232" s="77"/>
      <c r="W232" s="76"/>
      <c r="X232" s="77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7"/>
      <c r="AM232" s="76"/>
      <c r="AN232" s="76"/>
    </row>
    <row r="233" spans="1:40" ht="15">
      <c r="A233" s="83" t="e">
        <f>IF(#REF!&lt;&gt;#REF!,1,A232+1)</f>
        <v>#REF!</v>
      </c>
      <c r="O233" s="79"/>
      <c r="P233" s="79"/>
      <c r="Q233" s="76"/>
      <c r="R233" s="77"/>
      <c r="S233" s="76"/>
      <c r="T233" s="77"/>
      <c r="U233" s="76"/>
      <c r="V233" s="77"/>
      <c r="W233" s="76"/>
      <c r="X233" s="77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7"/>
      <c r="AM233" s="76"/>
      <c r="AN233" s="76"/>
    </row>
    <row r="234" spans="1:40" ht="15">
      <c r="A234" s="83" t="e">
        <f>IF(#REF!&lt;&gt;#REF!,1,A233+1)</f>
        <v>#REF!</v>
      </c>
      <c r="O234" s="79"/>
      <c r="P234" s="79"/>
      <c r="Q234" s="76"/>
      <c r="R234" s="77"/>
      <c r="S234" s="76"/>
      <c r="T234" s="77"/>
      <c r="U234" s="76"/>
      <c r="V234" s="77"/>
      <c r="W234" s="76"/>
      <c r="X234" s="77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7"/>
      <c r="AM234" s="76"/>
      <c r="AN234" s="76"/>
    </row>
    <row r="235" spans="1:40" ht="15">
      <c r="A235" s="83" t="e">
        <f>IF(#REF!&lt;&gt;#REF!,1,A234+1)</f>
        <v>#REF!</v>
      </c>
      <c r="O235" s="79"/>
      <c r="P235" s="79"/>
      <c r="Q235" s="76"/>
      <c r="R235" s="77"/>
      <c r="S235" s="76"/>
      <c r="T235" s="77"/>
      <c r="U235" s="76"/>
      <c r="V235" s="77"/>
      <c r="W235" s="76"/>
      <c r="X235" s="77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7"/>
      <c r="AM235" s="76"/>
      <c r="AN235" s="76"/>
    </row>
    <row r="236" spans="1:40" ht="15">
      <c r="A236" s="83" t="e">
        <f>IF(#REF!&lt;&gt;#REF!,1,A235+1)</f>
        <v>#REF!</v>
      </c>
      <c r="O236" s="79"/>
      <c r="P236" s="79"/>
      <c r="Q236" s="76"/>
      <c r="R236" s="77"/>
      <c r="S236" s="76"/>
      <c r="T236" s="77"/>
      <c r="U236" s="76"/>
      <c r="V236" s="77"/>
      <c r="W236" s="76"/>
      <c r="X236" s="77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7"/>
      <c r="AM236" s="76"/>
      <c r="AN236" s="76"/>
    </row>
    <row r="237" spans="1:40" ht="15">
      <c r="A237" s="83" t="e">
        <f>IF(#REF!&lt;&gt;#REF!,1,A236+1)</f>
        <v>#REF!</v>
      </c>
      <c r="O237" s="79"/>
      <c r="P237" s="79"/>
      <c r="Q237" s="76"/>
      <c r="R237" s="77"/>
      <c r="S237" s="76"/>
      <c r="T237" s="77"/>
      <c r="U237" s="76"/>
      <c r="V237" s="77"/>
      <c r="W237" s="76"/>
      <c r="X237" s="77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7"/>
      <c r="AM237" s="76"/>
      <c r="AN237" s="76"/>
    </row>
    <row r="238" spans="1:40" ht="15">
      <c r="A238" s="83" t="e">
        <f>IF(#REF!&lt;&gt;#REF!,1,A237+1)</f>
        <v>#REF!</v>
      </c>
      <c r="O238" s="79"/>
      <c r="P238" s="79"/>
      <c r="Q238" s="76"/>
      <c r="R238" s="77"/>
      <c r="S238" s="76"/>
      <c r="T238" s="77"/>
      <c r="U238" s="76"/>
      <c r="V238" s="77"/>
      <c r="W238" s="76"/>
      <c r="X238" s="77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7"/>
      <c r="AM238" s="76"/>
      <c r="AN238" s="76"/>
    </row>
    <row r="239" spans="1:40" ht="15">
      <c r="A239" s="83" t="e">
        <f>IF(#REF!&lt;&gt;#REF!,1,A238+1)</f>
        <v>#REF!</v>
      </c>
      <c r="O239" s="79"/>
      <c r="P239" s="79"/>
      <c r="Q239" s="76"/>
      <c r="R239" s="77"/>
      <c r="S239" s="76"/>
      <c r="T239" s="77"/>
      <c r="U239" s="76"/>
      <c r="V239" s="77"/>
      <c r="W239" s="76"/>
      <c r="X239" s="77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7"/>
      <c r="AM239" s="76"/>
      <c r="AN239" s="76"/>
    </row>
    <row r="240" spans="1:40" ht="15">
      <c r="A240" s="83" t="e">
        <f>IF(#REF!&lt;&gt;#REF!,1,A239+1)</f>
        <v>#REF!</v>
      </c>
      <c r="O240" s="79"/>
      <c r="P240" s="79"/>
      <c r="Q240" s="76"/>
      <c r="R240" s="77"/>
      <c r="S240" s="76"/>
      <c r="T240" s="77"/>
      <c r="U240" s="76"/>
      <c r="V240" s="77"/>
      <c r="W240" s="76"/>
      <c r="X240" s="77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7"/>
      <c r="AM240" s="76"/>
      <c r="AN240" s="76"/>
    </row>
    <row r="241" spans="1:40" ht="15">
      <c r="A241" s="83" t="e">
        <f>IF(#REF!&lt;&gt;#REF!,1,A240+1)</f>
        <v>#REF!</v>
      </c>
      <c r="O241" s="79"/>
      <c r="P241" s="79"/>
      <c r="Q241" s="76"/>
      <c r="R241" s="77"/>
      <c r="S241" s="76"/>
      <c r="T241" s="77"/>
      <c r="U241" s="76"/>
      <c r="V241" s="77"/>
      <c r="W241" s="76"/>
      <c r="X241" s="77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7"/>
      <c r="AM241" s="76"/>
      <c r="AN241" s="76"/>
    </row>
    <row r="242" spans="1:40" ht="15">
      <c r="A242" s="83" t="e">
        <f>IF(#REF!&lt;&gt;#REF!,1,A241+1)</f>
        <v>#REF!</v>
      </c>
      <c r="O242" s="79"/>
      <c r="P242" s="79"/>
      <c r="Q242" s="76"/>
      <c r="R242" s="77"/>
      <c r="S242" s="76"/>
      <c r="T242" s="77"/>
      <c r="U242" s="76"/>
      <c r="V242" s="77"/>
      <c r="W242" s="76"/>
      <c r="X242" s="77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7"/>
      <c r="AM242" s="76"/>
      <c r="AN242" s="76"/>
    </row>
    <row r="243" spans="1:40" ht="15">
      <c r="A243" s="83" t="e">
        <f>IF(#REF!&lt;&gt;#REF!,1,A242+1)</f>
        <v>#REF!</v>
      </c>
      <c r="O243" s="79"/>
      <c r="P243" s="79"/>
      <c r="Q243" s="76"/>
      <c r="R243" s="77"/>
      <c r="S243" s="76"/>
      <c r="T243" s="77"/>
      <c r="U243" s="76"/>
      <c r="V243" s="77"/>
      <c r="W243" s="76"/>
      <c r="X243" s="77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7"/>
      <c r="AM243" s="76"/>
      <c r="AN243" s="76"/>
    </row>
    <row r="244" spans="1:40" ht="15">
      <c r="A244" s="83" t="e">
        <f>IF(#REF!&lt;&gt;#REF!,1,A243+1)</f>
        <v>#REF!</v>
      </c>
      <c r="O244" s="79"/>
      <c r="P244" s="79"/>
      <c r="Q244" s="76"/>
      <c r="R244" s="77"/>
      <c r="S244" s="76"/>
      <c r="T244" s="77"/>
      <c r="U244" s="76"/>
      <c r="V244" s="77"/>
      <c r="W244" s="76"/>
      <c r="X244" s="77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7"/>
      <c r="AM244" s="76"/>
      <c r="AN244" s="76"/>
    </row>
    <row r="245" spans="1:40" ht="15">
      <c r="A245" s="83" t="e">
        <f>IF(#REF!&lt;&gt;#REF!,1,A244+1)</f>
        <v>#REF!</v>
      </c>
      <c r="O245" s="79"/>
      <c r="P245" s="79"/>
      <c r="Q245" s="76"/>
      <c r="R245" s="77"/>
      <c r="S245" s="76"/>
      <c r="T245" s="77"/>
      <c r="U245" s="76"/>
      <c r="V245" s="77"/>
      <c r="W245" s="76"/>
      <c r="X245" s="77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7"/>
      <c r="AM245" s="76"/>
      <c r="AN245" s="76"/>
    </row>
    <row r="246" spans="1:40" ht="15">
      <c r="A246" s="83" t="e">
        <f>IF(#REF!&lt;&gt;#REF!,1,A245+1)</f>
        <v>#REF!</v>
      </c>
      <c r="O246" s="79"/>
      <c r="P246" s="79"/>
      <c r="Q246" s="76"/>
      <c r="R246" s="77"/>
      <c r="S246" s="76"/>
      <c r="T246" s="77"/>
      <c r="U246" s="76"/>
      <c r="V246" s="77"/>
      <c r="W246" s="76"/>
      <c r="X246" s="77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7"/>
      <c r="AM246" s="76"/>
      <c r="AN246" s="76"/>
    </row>
    <row r="247" spans="1:40" ht="15">
      <c r="A247" s="83" t="e">
        <f>IF(#REF!&lt;&gt;#REF!,1,A246+1)</f>
        <v>#REF!</v>
      </c>
      <c r="O247" s="79"/>
      <c r="P247" s="79"/>
      <c r="Q247" s="76"/>
      <c r="R247" s="77"/>
      <c r="S247" s="76"/>
      <c r="T247" s="77"/>
      <c r="U247" s="76"/>
      <c r="V247" s="77"/>
      <c r="W247" s="76"/>
      <c r="X247" s="77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7"/>
      <c r="AM247" s="76"/>
      <c r="AN247" s="76"/>
    </row>
    <row r="248" spans="1:40" ht="15">
      <c r="A248" s="83" t="e">
        <f>IF(#REF!&lt;&gt;#REF!,1,A247+1)</f>
        <v>#REF!</v>
      </c>
      <c r="O248" s="79"/>
      <c r="P248" s="79"/>
      <c r="Q248" s="76"/>
      <c r="R248" s="77"/>
      <c r="S248" s="76"/>
      <c r="T248" s="77"/>
      <c r="U248" s="76"/>
      <c r="V248" s="77"/>
      <c r="W248" s="76"/>
      <c r="X248" s="77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7"/>
      <c r="AM248" s="76"/>
      <c r="AN248" s="76"/>
    </row>
    <row r="249" spans="1:40" ht="15">
      <c r="A249" s="83" t="e">
        <f>IF(#REF!&lt;&gt;#REF!,1,A248+1)</f>
        <v>#REF!</v>
      </c>
      <c r="O249" s="79"/>
      <c r="P249" s="79"/>
      <c r="Q249" s="76"/>
      <c r="R249" s="77"/>
      <c r="S249" s="76"/>
      <c r="T249" s="77"/>
      <c r="U249" s="76"/>
      <c r="V249" s="77"/>
      <c r="W249" s="76"/>
      <c r="X249" s="77"/>
      <c r="Y249" s="76"/>
      <c r="Z249" s="76"/>
      <c r="AA249" s="76"/>
      <c r="AB249" s="76"/>
      <c r="AC249" s="76"/>
      <c r="AD249" s="76"/>
      <c r="AE249" s="76"/>
      <c r="AF249" s="76"/>
      <c r="AG249" s="76"/>
      <c r="AH249" s="76"/>
      <c r="AI249" s="76"/>
      <c r="AJ249" s="76"/>
      <c r="AK249" s="76"/>
      <c r="AL249" s="77"/>
      <c r="AM249" s="76"/>
      <c r="AN249" s="76"/>
    </row>
    <row r="250" spans="1:40" ht="15">
      <c r="A250" s="83" t="e">
        <f>IF(#REF!&lt;&gt;#REF!,1,A249+1)</f>
        <v>#REF!</v>
      </c>
      <c r="O250" s="79"/>
      <c r="P250" s="79"/>
      <c r="Q250" s="76"/>
      <c r="R250" s="77"/>
      <c r="S250" s="76"/>
      <c r="T250" s="77"/>
      <c r="U250" s="76"/>
      <c r="V250" s="77"/>
      <c r="W250" s="76"/>
      <c r="X250" s="77"/>
      <c r="Y250" s="76"/>
      <c r="Z250" s="76"/>
      <c r="AA250" s="76"/>
      <c r="AB250" s="76"/>
      <c r="AC250" s="76"/>
      <c r="AD250" s="76"/>
      <c r="AE250" s="76"/>
      <c r="AF250" s="76"/>
      <c r="AG250" s="76"/>
      <c r="AH250" s="76"/>
      <c r="AI250" s="76"/>
      <c r="AJ250" s="76"/>
      <c r="AK250" s="76"/>
      <c r="AL250" s="77"/>
      <c r="AM250" s="76"/>
      <c r="AN250" s="76"/>
    </row>
    <row r="251" spans="1:40" ht="15">
      <c r="A251" s="83" t="e">
        <f>IF(#REF!&lt;&gt;#REF!,1,A250+1)</f>
        <v>#REF!</v>
      </c>
      <c r="O251" s="79"/>
      <c r="P251" s="79"/>
      <c r="Q251" s="76"/>
      <c r="R251" s="77"/>
      <c r="S251" s="76"/>
      <c r="T251" s="77"/>
      <c r="U251" s="76"/>
      <c r="V251" s="77"/>
      <c r="W251" s="76"/>
      <c r="X251" s="77"/>
      <c r="Y251" s="76"/>
      <c r="Z251" s="76"/>
      <c r="AA251" s="76"/>
      <c r="AB251" s="76"/>
      <c r="AC251" s="76"/>
      <c r="AD251" s="76"/>
      <c r="AE251" s="76"/>
      <c r="AF251" s="76"/>
      <c r="AG251" s="76"/>
      <c r="AH251" s="76"/>
      <c r="AI251" s="76"/>
      <c r="AJ251" s="76"/>
      <c r="AK251" s="76"/>
      <c r="AL251" s="77"/>
      <c r="AM251" s="76"/>
      <c r="AN251" s="76"/>
    </row>
    <row r="252" spans="1:40" ht="15">
      <c r="A252" s="83" t="e">
        <f>IF(#REF!&lt;&gt;#REF!,1,A251+1)</f>
        <v>#REF!</v>
      </c>
      <c r="O252" s="79"/>
      <c r="P252" s="79"/>
      <c r="Q252" s="76"/>
      <c r="R252" s="77"/>
      <c r="S252" s="76"/>
      <c r="T252" s="77"/>
      <c r="U252" s="76"/>
      <c r="V252" s="77"/>
      <c r="W252" s="76"/>
      <c r="X252" s="77"/>
      <c r="Y252" s="76"/>
      <c r="Z252" s="76"/>
      <c r="AA252" s="76"/>
      <c r="AB252" s="76"/>
      <c r="AC252" s="76"/>
      <c r="AD252" s="76"/>
      <c r="AE252" s="76"/>
      <c r="AF252" s="76"/>
      <c r="AG252" s="76"/>
      <c r="AH252" s="76"/>
      <c r="AI252" s="76"/>
      <c r="AJ252" s="76"/>
      <c r="AK252" s="76"/>
      <c r="AL252" s="77"/>
      <c r="AM252" s="76"/>
      <c r="AN252" s="76"/>
    </row>
    <row r="253" spans="1:40" ht="15">
      <c r="A253" s="83" t="e">
        <f>IF(#REF!&lt;&gt;#REF!,1,A252+1)</f>
        <v>#REF!</v>
      </c>
      <c r="O253" s="79"/>
      <c r="P253" s="79"/>
      <c r="Q253" s="76"/>
      <c r="R253" s="77"/>
      <c r="S253" s="76"/>
      <c r="T253" s="77"/>
      <c r="U253" s="76"/>
      <c r="V253" s="77"/>
      <c r="W253" s="76"/>
      <c r="X253" s="77"/>
      <c r="Y253" s="76"/>
      <c r="Z253" s="76"/>
      <c r="AA253" s="76"/>
      <c r="AB253" s="76"/>
      <c r="AC253" s="76"/>
      <c r="AD253" s="76"/>
      <c r="AE253" s="76"/>
      <c r="AF253" s="76"/>
      <c r="AG253" s="76"/>
      <c r="AH253" s="76"/>
      <c r="AI253" s="76"/>
      <c r="AJ253" s="76"/>
      <c r="AK253" s="76"/>
      <c r="AL253" s="77"/>
      <c r="AM253" s="76"/>
      <c r="AN253" s="76"/>
    </row>
    <row r="254" spans="1:40" ht="15">
      <c r="A254" s="83" t="e">
        <f>IF(#REF!&lt;&gt;#REF!,1,A253+1)</f>
        <v>#REF!</v>
      </c>
      <c r="O254" s="79"/>
      <c r="P254" s="79"/>
      <c r="Q254" s="76"/>
      <c r="R254" s="77"/>
      <c r="S254" s="76"/>
      <c r="T254" s="77"/>
      <c r="U254" s="76"/>
      <c r="V254" s="77"/>
      <c r="W254" s="76"/>
      <c r="X254" s="77"/>
      <c r="Y254" s="76"/>
      <c r="Z254" s="76"/>
      <c r="AA254" s="76"/>
      <c r="AB254" s="76"/>
      <c r="AC254" s="76"/>
      <c r="AD254" s="76"/>
      <c r="AE254" s="76"/>
      <c r="AF254" s="76"/>
      <c r="AG254" s="76"/>
      <c r="AH254" s="76"/>
      <c r="AI254" s="76"/>
      <c r="AJ254" s="76"/>
      <c r="AK254" s="76"/>
      <c r="AL254" s="77"/>
      <c r="AM254" s="76"/>
      <c r="AN254" s="76"/>
    </row>
    <row r="255" spans="1:40" ht="15">
      <c r="A255" s="83" t="e">
        <f>IF(#REF!&lt;&gt;#REF!,1,A254+1)</f>
        <v>#REF!</v>
      </c>
      <c r="O255" s="79"/>
      <c r="P255" s="79"/>
      <c r="Q255" s="76"/>
      <c r="R255" s="77"/>
      <c r="S255" s="76"/>
      <c r="T255" s="77"/>
      <c r="U255" s="76"/>
      <c r="V255" s="77"/>
      <c r="W255" s="76"/>
      <c r="X255" s="77"/>
      <c r="Y255" s="76"/>
      <c r="Z255" s="76"/>
      <c r="AA255" s="76"/>
      <c r="AB255" s="76"/>
      <c r="AC255" s="76"/>
      <c r="AD255" s="76"/>
      <c r="AE255" s="76"/>
      <c r="AF255" s="76"/>
      <c r="AG255" s="76"/>
      <c r="AH255" s="76"/>
      <c r="AI255" s="76"/>
      <c r="AJ255" s="76"/>
      <c r="AK255" s="76"/>
      <c r="AL255" s="77"/>
      <c r="AM255" s="76"/>
      <c r="AN255" s="76"/>
    </row>
    <row r="256" spans="1:40" ht="15">
      <c r="A256" s="83" t="e">
        <f>IF(#REF!&lt;&gt;#REF!,1,A255+1)</f>
        <v>#REF!</v>
      </c>
      <c r="O256" s="79"/>
      <c r="P256" s="79"/>
      <c r="Q256" s="76"/>
      <c r="R256" s="77"/>
      <c r="S256" s="76"/>
      <c r="T256" s="77"/>
      <c r="U256" s="76"/>
      <c r="V256" s="77"/>
      <c r="W256" s="76"/>
      <c r="X256" s="77"/>
      <c r="Y256" s="76"/>
      <c r="Z256" s="76"/>
      <c r="AA256" s="76"/>
      <c r="AB256" s="76"/>
      <c r="AC256" s="76"/>
      <c r="AD256" s="76"/>
      <c r="AE256" s="76"/>
      <c r="AF256" s="76"/>
      <c r="AG256" s="76"/>
      <c r="AH256" s="76"/>
      <c r="AI256" s="76"/>
      <c r="AJ256" s="76"/>
      <c r="AK256" s="76"/>
      <c r="AL256" s="77"/>
      <c r="AM256" s="76"/>
      <c r="AN256" s="76"/>
    </row>
    <row r="257" spans="1:40" ht="15">
      <c r="A257" s="83" t="e">
        <f>IF(#REF!&lt;&gt;#REF!,1,A256+1)</f>
        <v>#REF!</v>
      </c>
      <c r="O257" s="79"/>
      <c r="P257" s="79"/>
      <c r="Q257" s="76"/>
      <c r="R257" s="77"/>
      <c r="S257" s="76"/>
      <c r="T257" s="77"/>
      <c r="U257" s="76"/>
      <c r="V257" s="77"/>
      <c r="W257" s="76"/>
      <c r="X257" s="77"/>
      <c r="Y257" s="76"/>
      <c r="Z257" s="76"/>
      <c r="AA257" s="76"/>
      <c r="AB257" s="76"/>
      <c r="AC257" s="76"/>
      <c r="AD257" s="76"/>
      <c r="AE257" s="76"/>
      <c r="AF257" s="76"/>
      <c r="AG257" s="76"/>
      <c r="AH257" s="76"/>
      <c r="AI257" s="76"/>
      <c r="AJ257" s="76"/>
      <c r="AK257" s="76"/>
      <c r="AL257" s="77"/>
      <c r="AM257" s="76"/>
      <c r="AN257" s="76"/>
    </row>
    <row r="258" spans="1:40" ht="15">
      <c r="A258" s="83" t="e">
        <f>IF(#REF!&lt;&gt;#REF!,1,A257+1)</f>
        <v>#REF!</v>
      </c>
      <c r="O258" s="79"/>
      <c r="P258" s="79"/>
      <c r="Q258" s="76"/>
      <c r="R258" s="77"/>
      <c r="S258" s="76"/>
      <c r="T258" s="77"/>
      <c r="U258" s="76"/>
      <c r="V258" s="77"/>
      <c r="W258" s="76"/>
      <c r="X258" s="77"/>
      <c r="Y258" s="76"/>
      <c r="Z258" s="76"/>
      <c r="AA258" s="76"/>
      <c r="AB258" s="76"/>
      <c r="AC258" s="76"/>
      <c r="AD258" s="76"/>
      <c r="AE258" s="76"/>
      <c r="AF258" s="76"/>
      <c r="AG258" s="76"/>
      <c r="AH258" s="76"/>
      <c r="AI258" s="76"/>
      <c r="AJ258" s="76"/>
      <c r="AK258" s="76"/>
      <c r="AL258" s="77"/>
      <c r="AM258" s="76"/>
      <c r="AN258" s="76"/>
    </row>
    <row r="259" spans="1:40" ht="15">
      <c r="A259" s="83" t="e">
        <f>IF(#REF!&lt;&gt;#REF!,1,A258+1)</f>
        <v>#REF!</v>
      </c>
      <c r="O259" s="79"/>
      <c r="P259" s="79"/>
      <c r="Q259" s="76"/>
      <c r="R259" s="77"/>
      <c r="S259" s="76"/>
      <c r="T259" s="77"/>
      <c r="U259" s="76"/>
      <c r="V259" s="77"/>
      <c r="W259" s="76"/>
      <c r="X259" s="77"/>
      <c r="Y259" s="76"/>
      <c r="Z259" s="76"/>
      <c r="AA259" s="76"/>
      <c r="AB259" s="76"/>
      <c r="AC259" s="76"/>
      <c r="AD259" s="76"/>
      <c r="AE259" s="76"/>
      <c r="AF259" s="76"/>
      <c r="AG259" s="76"/>
      <c r="AH259" s="76"/>
      <c r="AI259" s="76"/>
      <c r="AJ259" s="76"/>
      <c r="AK259" s="76"/>
      <c r="AL259" s="77"/>
      <c r="AM259" s="76"/>
      <c r="AN259" s="76"/>
    </row>
    <row r="260" spans="1:40" ht="15">
      <c r="A260" s="83" t="e">
        <f>IF(#REF!&lt;&gt;#REF!,1,A259+1)</f>
        <v>#REF!</v>
      </c>
      <c r="O260" s="79"/>
      <c r="P260" s="79"/>
      <c r="Q260" s="76"/>
      <c r="R260" s="77"/>
      <c r="S260" s="76"/>
      <c r="T260" s="77"/>
      <c r="U260" s="76"/>
      <c r="V260" s="77"/>
      <c r="W260" s="76"/>
      <c r="X260" s="77"/>
      <c r="Y260" s="76"/>
      <c r="Z260" s="76"/>
      <c r="AA260" s="76"/>
      <c r="AB260" s="76"/>
      <c r="AC260" s="76"/>
      <c r="AD260" s="76"/>
      <c r="AE260" s="76"/>
      <c r="AF260" s="76"/>
      <c r="AG260" s="76"/>
      <c r="AH260" s="76"/>
      <c r="AI260" s="76"/>
      <c r="AJ260" s="76"/>
      <c r="AK260" s="76"/>
      <c r="AL260" s="77"/>
      <c r="AM260" s="76"/>
      <c r="AN260" s="76"/>
    </row>
    <row r="261" spans="1:40" ht="15">
      <c r="A261" s="83" t="e">
        <f>IF(#REF!&lt;&gt;#REF!,1,A260+1)</f>
        <v>#REF!</v>
      </c>
      <c r="O261" s="79"/>
      <c r="P261" s="79"/>
      <c r="Q261" s="76"/>
      <c r="R261" s="77"/>
      <c r="S261" s="76"/>
      <c r="T261" s="77"/>
      <c r="U261" s="76"/>
      <c r="V261" s="77"/>
      <c r="W261" s="76"/>
      <c r="X261" s="77"/>
      <c r="Y261" s="76"/>
      <c r="Z261" s="76"/>
      <c r="AA261" s="76"/>
      <c r="AB261" s="76"/>
      <c r="AC261" s="76"/>
      <c r="AD261" s="76"/>
      <c r="AE261" s="76"/>
      <c r="AF261" s="76"/>
      <c r="AG261" s="76"/>
      <c r="AH261" s="76"/>
      <c r="AI261" s="76"/>
      <c r="AJ261" s="76"/>
      <c r="AK261" s="76"/>
      <c r="AL261" s="77"/>
      <c r="AM261" s="76"/>
      <c r="AN261" s="76"/>
    </row>
    <row r="262" spans="1:40" ht="15">
      <c r="A262" s="83" t="e">
        <f>IF(#REF!&lt;&gt;#REF!,1,A261+1)</f>
        <v>#REF!</v>
      </c>
      <c r="O262" s="79"/>
      <c r="P262" s="79"/>
      <c r="Q262" s="76"/>
      <c r="R262" s="77"/>
      <c r="S262" s="76"/>
      <c r="T262" s="77"/>
      <c r="U262" s="76"/>
      <c r="V262" s="77"/>
      <c r="W262" s="76"/>
      <c r="X262" s="77"/>
      <c r="Y262" s="76"/>
      <c r="Z262" s="76"/>
      <c r="AA262" s="76"/>
      <c r="AB262" s="76"/>
      <c r="AC262" s="76"/>
      <c r="AD262" s="76"/>
      <c r="AE262" s="76"/>
      <c r="AF262" s="76"/>
      <c r="AG262" s="76"/>
      <c r="AH262" s="76"/>
      <c r="AI262" s="76"/>
      <c r="AJ262" s="76"/>
      <c r="AK262" s="76"/>
      <c r="AL262" s="77"/>
      <c r="AM262" s="76"/>
      <c r="AN262" s="76"/>
    </row>
    <row r="263" spans="1:40" ht="15">
      <c r="A263" s="83" t="e">
        <f>IF(#REF!&lt;&gt;#REF!,1,A262+1)</f>
        <v>#REF!</v>
      </c>
      <c r="O263" s="79"/>
      <c r="P263" s="79"/>
      <c r="Q263" s="76"/>
      <c r="R263" s="77"/>
      <c r="S263" s="76"/>
      <c r="T263" s="77"/>
      <c r="U263" s="76"/>
      <c r="V263" s="77"/>
      <c r="W263" s="76"/>
      <c r="X263" s="77"/>
      <c r="Y263" s="76"/>
      <c r="Z263" s="76"/>
      <c r="AA263" s="76"/>
      <c r="AB263" s="76"/>
      <c r="AC263" s="76"/>
      <c r="AD263" s="76"/>
      <c r="AE263" s="76"/>
      <c r="AF263" s="76"/>
      <c r="AG263" s="76"/>
      <c r="AH263" s="76"/>
      <c r="AI263" s="76"/>
      <c r="AJ263" s="76"/>
      <c r="AK263" s="76"/>
      <c r="AL263" s="77"/>
      <c r="AM263" s="76"/>
      <c r="AN263" s="76"/>
    </row>
    <row r="264" spans="1:40" ht="15">
      <c r="A264" s="83" t="e">
        <f>IF(#REF!&lt;&gt;#REF!,1,A263+1)</f>
        <v>#REF!</v>
      </c>
      <c r="O264" s="79"/>
      <c r="P264" s="79"/>
      <c r="Q264" s="76"/>
      <c r="R264" s="77"/>
      <c r="S264" s="76"/>
      <c r="T264" s="77"/>
      <c r="U264" s="76"/>
      <c r="V264" s="77"/>
      <c r="W264" s="76"/>
      <c r="X264" s="77"/>
      <c r="Y264" s="76"/>
      <c r="Z264" s="76"/>
      <c r="AA264" s="76"/>
      <c r="AB264" s="76"/>
      <c r="AC264" s="76"/>
      <c r="AD264" s="76"/>
      <c r="AE264" s="76"/>
      <c r="AF264" s="76"/>
      <c r="AG264" s="76"/>
      <c r="AH264" s="76"/>
      <c r="AI264" s="76"/>
      <c r="AJ264" s="76"/>
      <c r="AK264" s="76"/>
      <c r="AL264" s="77"/>
      <c r="AM264" s="76"/>
      <c r="AN264" s="76"/>
    </row>
    <row r="265" spans="1:40" ht="15">
      <c r="A265" s="83" t="e">
        <f>IF(#REF!&lt;&gt;#REF!,1,A264+1)</f>
        <v>#REF!</v>
      </c>
      <c r="O265" s="79"/>
      <c r="P265" s="79"/>
      <c r="Q265" s="76"/>
      <c r="R265" s="77"/>
      <c r="S265" s="76"/>
      <c r="T265" s="77"/>
      <c r="U265" s="76"/>
      <c r="V265" s="77"/>
      <c r="W265" s="76"/>
      <c r="X265" s="77"/>
      <c r="Y265" s="76"/>
      <c r="Z265" s="76"/>
      <c r="AA265" s="76"/>
      <c r="AB265" s="76"/>
      <c r="AC265" s="76"/>
      <c r="AD265" s="76"/>
      <c r="AE265" s="76"/>
      <c r="AF265" s="76"/>
      <c r="AG265" s="76"/>
      <c r="AH265" s="76"/>
      <c r="AI265" s="76"/>
      <c r="AJ265" s="76"/>
      <c r="AK265" s="76"/>
      <c r="AL265" s="77"/>
      <c r="AM265" s="76"/>
      <c r="AN265" s="76"/>
    </row>
    <row r="266" spans="1:40" ht="15">
      <c r="A266" s="83" t="e">
        <f>IF(#REF!&lt;&gt;#REF!,1,A265+1)</f>
        <v>#REF!</v>
      </c>
      <c r="O266" s="79"/>
      <c r="P266" s="79"/>
      <c r="Q266" s="76"/>
      <c r="R266" s="77"/>
      <c r="S266" s="76"/>
      <c r="T266" s="77"/>
      <c r="U266" s="76"/>
      <c r="V266" s="77"/>
      <c r="W266" s="76"/>
      <c r="X266" s="77"/>
      <c r="Y266" s="76"/>
      <c r="Z266" s="76"/>
      <c r="AA266" s="76"/>
      <c r="AB266" s="76"/>
      <c r="AC266" s="76"/>
      <c r="AD266" s="76"/>
      <c r="AE266" s="76"/>
      <c r="AF266" s="76"/>
      <c r="AG266" s="76"/>
      <c r="AH266" s="76"/>
      <c r="AI266" s="76"/>
      <c r="AJ266" s="76"/>
      <c r="AK266" s="76"/>
      <c r="AL266" s="77"/>
      <c r="AM266" s="76"/>
      <c r="AN266" s="76"/>
    </row>
    <row r="267" spans="1:40" ht="15">
      <c r="A267" s="83" t="e">
        <f>IF(#REF!&lt;&gt;#REF!,1,A266+1)</f>
        <v>#REF!</v>
      </c>
      <c r="O267" s="79"/>
      <c r="P267" s="79"/>
      <c r="Q267" s="76"/>
      <c r="R267" s="77"/>
      <c r="S267" s="76"/>
      <c r="T267" s="77"/>
      <c r="U267" s="76"/>
      <c r="V267" s="77"/>
      <c r="W267" s="76"/>
      <c r="X267" s="77"/>
      <c r="Y267" s="76"/>
      <c r="Z267" s="76"/>
      <c r="AA267" s="76"/>
      <c r="AB267" s="76"/>
      <c r="AC267" s="76"/>
      <c r="AD267" s="76"/>
      <c r="AE267" s="76"/>
      <c r="AF267" s="76"/>
      <c r="AG267" s="76"/>
      <c r="AH267" s="76"/>
      <c r="AI267" s="76"/>
      <c r="AJ267" s="76"/>
      <c r="AK267" s="76"/>
      <c r="AL267" s="77"/>
      <c r="AM267" s="76"/>
      <c r="AN267" s="76"/>
    </row>
    <row r="268" spans="1:40" ht="15">
      <c r="A268" s="83" t="e">
        <f>IF(#REF!&lt;&gt;#REF!,1,A267+1)</f>
        <v>#REF!</v>
      </c>
      <c r="O268" s="79"/>
      <c r="P268" s="79"/>
      <c r="Q268" s="76"/>
      <c r="R268" s="77"/>
      <c r="S268" s="76"/>
      <c r="T268" s="77"/>
      <c r="U268" s="76"/>
      <c r="V268" s="77"/>
      <c r="W268" s="76"/>
      <c r="X268" s="77"/>
      <c r="Y268" s="76"/>
      <c r="Z268" s="76"/>
      <c r="AA268" s="76"/>
      <c r="AB268" s="76"/>
      <c r="AC268" s="76"/>
      <c r="AD268" s="76"/>
      <c r="AE268" s="76"/>
      <c r="AF268" s="76"/>
      <c r="AG268" s="76"/>
      <c r="AH268" s="76"/>
      <c r="AI268" s="76"/>
      <c r="AJ268" s="76"/>
      <c r="AK268" s="76"/>
      <c r="AL268" s="77"/>
      <c r="AM268" s="76"/>
      <c r="AN268" s="76"/>
    </row>
    <row r="269" spans="1:40" ht="15">
      <c r="A269" s="83" t="e">
        <f>IF(#REF!&lt;&gt;#REF!,1,A268+1)</f>
        <v>#REF!</v>
      </c>
      <c r="O269" s="79"/>
      <c r="P269" s="79"/>
      <c r="Q269" s="76"/>
      <c r="R269" s="77"/>
      <c r="S269" s="76"/>
      <c r="T269" s="77"/>
      <c r="U269" s="76"/>
      <c r="V269" s="77"/>
      <c r="W269" s="76"/>
      <c r="X269" s="77"/>
      <c r="Y269" s="76"/>
      <c r="Z269" s="76"/>
      <c r="AA269" s="76"/>
      <c r="AB269" s="76"/>
      <c r="AC269" s="76"/>
      <c r="AD269" s="76"/>
      <c r="AE269" s="76"/>
      <c r="AF269" s="76"/>
      <c r="AG269" s="76"/>
      <c r="AH269" s="76"/>
      <c r="AI269" s="76"/>
      <c r="AJ269" s="76"/>
      <c r="AK269" s="76"/>
      <c r="AL269" s="77"/>
      <c r="AM269" s="76"/>
      <c r="AN269" s="76"/>
    </row>
    <row r="270" spans="1:40" ht="15">
      <c r="A270" s="83" t="e">
        <f>IF(#REF!&lt;&gt;#REF!,1,A269+1)</f>
        <v>#REF!</v>
      </c>
      <c r="O270" s="79"/>
      <c r="P270" s="79"/>
      <c r="Q270" s="76"/>
      <c r="R270" s="77"/>
      <c r="S270" s="76"/>
      <c r="T270" s="77"/>
      <c r="U270" s="76"/>
      <c r="V270" s="77"/>
      <c r="W270" s="76"/>
      <c r="X270" s="77"/>
      <c r="Y270" s="76"/>
      <c r="Z270" s="76"/>
      <c r="AA270" s="76"/>
      <c r="AB270" s="76"/>
      <c r="AC270" s="76"/>
      <c r="AD270" s="76"/>
      <c r="AE270" s="76"/>
      <c r="AF270" s="76"/>
      <c r="AG270" s="76"/>
      <c r="AH270" s="76"/>
      <c r="AI270" s="76"/>
      <c r="AJ270" s="76"/>
      <c r="AK270" s="76"/>
      <c r="AL270" s="77"/>
      <c r="AM270" s="76"/>
      <c r="AN270" s="76"/>
    </row>
    <row r="271" spans="1:40" ht="15">
      <c r="A271" s="83" t="e">
        <f>IF(#REF!&lt;&gt;#REF!,1,A270+1)</f>
        <v>#REF!</v>
      </c>
      <c r="O271" s="79"/>
      <c r="P271" s="79"/>
      <c r="Q271" s="76"/>
      <c r="R271" s="77"/>
      <c r="S271" s="76"/>
      <c r="T271" s="77"/>
      <c r="U271" s="76"/>
      <c r="V271" s="77"/>
      <c r="W271" s="76"/>
      <c r="X271" s="77"/>
      <c r="Y271" s="76"/>
      <c r="Z271" s="76"/>
      <c r="AA271" s="76"/>
      <c r="AB271" s="76"/>
      <c r="AC271" s="76"/>
      <c r="AD271" s="76"/>
      <c r="AE271" s="76"/>
      <c r="AF271" s="76"/>
      <c r="AG271" s="76"/>
      <c r="AH271" s="76"/>
      <c r="AI271" s="76"/>
      <c r="AJ271" s="76"/>
      <c r="AK271" s="76"/>
      <c r="AL271" s="77"/>
      <c r="AM271" s="76"/>
      <c r="AN271" s="76"/>
    </row>
    <row r="272" spans="1:40" ht="15">
      <c r="A272" s="83" t="e">
        <f>IF(#REF!&lt;&gt;#REF!,1,A271+1)</f>
        <v>#REF!</v>
      </c>
      <c r="O272" s="79"/>
      <c r="P272" s="79"/>
      <c r="Q272" s="76"/>
      <c r="R272" s="77"/>
      <c r="S272" s="76"/>
      <c r="T272" s="77"/>
      <c r="U272" s="76"/>
      <c r="V272" s="77"/>
      <c r="W272" s="76"/>
      <c r="X272" s="77"/>
      <c r="Y272" s="76"/>
      <c r="Z272" s="76"/>
      <c r="AA272" s="76"/>
      <c r="AB272" s="76"/>
      <c r="AC272" s="76"/>
      <c r="AD272" s="76"/>
      <c r="AE272" s="76"/>
      <c r="AF272" s="76"/>
      <c r="AG272" s="76"/>
      <c r="AH272" s="76"/>
      <c r="AI272" s="76"/>
      <c r="AJ272" s="76"/>
      <c r="AK272" s="76"/>
      <c r="AL272" s="77"/>
      <c r="AM272" s="76"/>
      <c r="AN272" s="76"/>
    </row>
    <row r="273" spans="1:40" ht="15">
      <c r="A273" s="83" t="e">
        <f>IF(#REF!&lt;&gt;#REF!,1,A272+1)</f>
        <v>#REF!</v>
      </c>
      <c r="O273" s="79"/>
      <c r="P273" s="79"/>
      <c r="Q273" s="76"/>
      <c r="R273" s="77"/>
      <c r="S273" s="76"/>
      <c r="T273" s="77"/>
      <c r="U273" s="76"/>
      <c r="V273" s="77"/>
      <c r="W273" s="76"/>
      <c r="X273" s="77"/>
      <c r="Y273" s="76"/>
      <c r="Z273" s="76"/>
      <c r="AA273" s="76"/>
      <c r="AB273" s="76"/>
      <c r="AC273" s="76"/>
      <c r="AD273" s="76"/>
      <c r="AE273" s="76"/>
      <c r="AF273" s="76"/>
      <c r="AG273" s="76"/>
      <c r="AH273" s="76"/>
      <c r="AI273" s="76"/>
      <c r="AJ273" s="76"/>
      <c r="AK273" s="76"/>
      <c r="AL273" s="77"/>
      <c r="AM273" s="76"/>
      <c r="AN273" s="76"/>
    </row>
    <row r="274" spans="1:40" ht="15">
      <c r="A274" s="83" t="e">
        <f>IF(#REF!&lt;&gt;#REF!,1,A273+1)</f>
        <v>#REF!</v>
      </c>
      <c r="O274" s="79"/>
      <c r="P274" s="79"/>
      <c r="Q274" s="76"/>
      <c r="R274" s="77"/>
      <c r="S274" s="76"/>
      <c r="T274" s="77"/>
      <c r="U274" s="76"/>
      <c r="V274" s="77"/>
      <c r="W274" s="76"/>
      <c r="X274" s="77"/>
      <c r="Y274" s="76"/>
      <c r="Z274" s="76"/>
      <c r="AA274" s="76"/>
      <c r="AB274" s="76"/>
      <c r="AC274" s="76"/>
      <c r="AD274" s="76"/>
      <c r="AE274" s="76"/>
      <c r="AF274" s="76"/>
      <c r="AG274" s="76"/>
      <c r="AH274" s="76"/>
      <c r="AI274" s="76"/>
      <c r="AJ274" s="76"/>
      <c r="AK274" s="76"/>
      <c r="AL274" s="77"/>
      <c r="AM274" s="76"/>
      <c r="AN274" s="76"/>
    </row>
    <row r="275" spans="1:40" ht="15">
      <c r="A275" s="83" t="e">
        <f>IF(#REF!&lt;&gt;#REF!,1,A274+1)</f>
        <v>#REF!</v>
      </c>
      <c r="O275" s="79"/>
      <c r="P275" s="79"/>
      <c r="Q275" s="76"/>
      <c r="R275" s="77"/>
      <c r="S275" s="76"/>
      <c r="T275" s="77"/>
      <c r="U275" s="76"/>
      <c r="V275" s="77"/>
      <c r="W275" s="76"/>
      <c r="X275" s="77"/>
      <c r="Y275" s="76"/>
      <c r="Z275" s="76"/>
      <c r="AA275" s="76"/>
      <c r="AB275" s="76"/>
      <c r="AC275" s="76"/>
      <c r="AD275" s="76"/>
      <c r="AE275" s="76"/>
      <c r="AF275" s="76"/>
      <c r="AG275" s="76"/>
      <c r="AH275" s="76"/>
      <c r="AI275" s="76"/>
      <c r="AJ275" s="76"/>
      <c r="AK275" s="76"/>
      <c r="AL275" s="77"/>
      <c r="AM275" s="76"/>
      <c r="AN275" s="76"/>
    </row>
    <row r="276" spans="1:40" ht="15">
      <c r="A276" s="83" t="e">
        <f>IF(#REF!&lt;&gt;#REF!,1,A275+1)</f>
        <v>#REF!</v>
      </c>
      <c r="O276" s="79"/>
      <c r="P276" s="79"/>
      <c r="Q276" s="76"/>
      <c r="R276" s="77"/>
      <c r="S276" s="76"/>
      <c r="T276" s="77"/>
      <c r="U276" s="76"/>
      <c r="V276" s="77"/>
      <c r="W276" s="76"/>
      <c r="X276" s="77"/>
      <c r="Y276" s="76"/>
      <c r="Z276" s="76"/>
      <c r="AA276" s="76"/>
      <c r="AB276" s="76"/>
      <c r="AC276" s="76"/>
      <c r="AD276" s="76"/>
      <c r="AE276" s="76"/>
      <c r="AF276" s="76"/>
      <c r="AG276" s="76"/>
      <c r="AH276" s="76"/>
      <c r="AI276" s="76"/>
      <c r="AJ276" s="76"/>
      <c r="AK276" s="76"/>
      <c r="AL276" s="77"/>
      <c r="AM276" s="76"/>
      <c r="AN276" s="76"/>
    </row>
    <row r="277" spans="1:40" ht="15">
      <c r="A277" s="83" t="e">
        <f>IF(#REF!&lt;&gt;#REF!,1,A276+1)</f>
        <v>#REF!</v>
      </c>
      <c r="O277" s="79"/>
      <c r="P277" s="79"/>
      <c r="Q277" s="76"/>
      <c r="R277" s="77"/>
      <c r="S277" s="76"/>
      <c r="T277" s="77"/>
      <c r="U277" s="76"/>
      <c r="V277" s="77"/>
      <c r="W277" s="76"/>
      <c r="X277" s="77"/>
      <c r="Y277" s="76"/>
      <c r="Z277" s="76"/>
      <c r="AA277" s="76"/>
      <c r="AB277" s="76"/>
      <c r="AC277" s="76"/>
      <c r="AD277" s="76"/>
      <c r="AE277" s="76"/>
      <c r="AF277" s="76"/>
      <c r="AG277" s="76"/>
      <c r="AH277" s="76"/>
      <c r="AI277" s="76"/>
      <c r="AJ277" s="76"/>
      <c r="AK277" s="76"/>
      <c r="AL277" s="77"/>
      <c r="AM277" s="76"/>
      <c r="AN277" s="76"/>
    </row>
    <row r="278" spans="1:40" ht="15">
      <c r="A278" s="83" t="e">
        <f>IF(#REF!&lt;&gt;#REF!,1,A277+1)</f>
        <v>#REF!</v>
      </c>
      <c r="O278" s="79"/>
      <c r="P278" s="79"/>
      <c r="Q278" s="76"/>
      <c r="R278" s="77"/>
      <c r="S278" s="76"/>
      <c r="T278" s="77"/>
      <c r="U278" s="76"/>
      <c r="V278" s="77"/>
      <c r="W278" s="76"/>
      <c r="X278" s="77"/>
      <c r="Y278" s="76"/>
      <c r="Z278" s="76"/>
      <c r="AA278" s="76"/>
      <c r="AB278" s="76"/>
      <c r="AC278" s="76"/>
      <c r="AD278" s="76"/>
      <c r="AE278" s="76"/>
      <c r="AF278" s="76"/>
      <c r="AG278" s="76"/>
      <c r="AH278" s="76"/>
      <c r="AI278" s="76"/>
      <c r="AJ278" s="76"/>
      <c r="AK278" s="76"/>
      <c r="AL278" s="77"/>
      <c r="AM278" s="76"/>
      <c r="AN278" s="76"/>
    </row>
    <row r="279" spans="1:40" ht="15">
      <c r="A279" s="83" t="e">
        <f>IF(#REF!&lt;&gt;#REF!,1,A278+1)</f>
        <v>#REF!</v>
      </c>
      <c r="O279" s="79"/>
      <c r="P279" s="79"/>
      <c r="Q279" s="76"/>
      <c r="R279" s="77"/>
      <c r="S279" s="76"/>
      <c r="T279" s="77"/>
      <c r="U279" s="76"/>
      <c r="V279" s="77"/>
      <c r="W279" s="76"/>
      <c r="X279" s="77"/>
      <c r="Y279" s="76"/>
      <c r="Z279" s="76"/>
      <c r="AA279" s="76"/>
      <c r="AB279" s="76"/>
      <c r="AC279" s="76"/>
      <c r="AD279" s="76"/>
      <c r="AE279" s="76"/>
      <c r="AF279" s="76"/>
      <c r="AG279" s="76"/>
      <c r="AH279" s="76"/>
      <c r="AI279" s="76"/>
      <c r="AJ279" s="76"/>
      <c r="AK279" s="76"/>
      <c r="AL279" s="77"/>
      <c r="AM279" s="76"/>
      <c r="AN279" s="76"/>
    </row>
    <row r="280" spans="1:40" ht="15">
      <c r="A280" s="83" t="e">
        <f>IF(#REF!&lt;&gt;#REF!,1,A279+1)</f>
        <v>#REF!</v>
      </c>
      <c r="O280" s="79"/>
      <c r="P280" s="79"/>
      <c r="Q280" s="76"/>
      <c r="R280" s="77"/>
      <c r="S280" s="76"/>
      <c r="T280" s="77"/>
      <c r="U280" s="76"/>
      <c r="V280" s="77"/>
      <c r="W280" s="76"/>
      <c r="X280" s="77"/>
      <c r="Y280" s="76"/>
      <c r="Z280" s="76"/>
      <c r="AA280" s="76"/>
      <c r="AB280" s="76"/>
      <c r="AC280" s="76"/>
      <c r="AD280" s="76"/>
      <c r="AE280" s="76"/>
      <c r="AF280" s="76"/>
      <c r="AG280" s="76"/>
      <c r="AH280" s="76"/>
      <c r="AI280" s="76"/>
      <c r="AJ280" s="76"/>
      <c r="AK280" s="76"/>
      <c r="AL280" s="77"/>
      <c r="AM280" s="76"/>
      <c r="AN280" s="76"/>
    </row>
    <row r="281" spans="1:40" ht="15">
      <c r="A281" s="83" t="e">
        <f>IF(#REF!&lt;&gt;#REF!,1,A280+1)</f>
        <v>#REF!</v>
      </c>
      <c r="O281" s="79"/>
      <c r="P281" s="79"/>
      <c r="Q281" s="76"/>
      <c r="R281" s="77"/>
      <c r="S281" s="76"/>
      <c r="T281" s="77"/>
      <c r="U281" s="76"/>
      <c r="V281" s="77"/>
      <c r="W281" s="76"/>
      <c r="X281" s="77"/>
      <c r="Y281" s="76"/>
      <c r="Z281" s="76"/>
      <c r="AA281" s="76"/>
      <c r="AB281" s="76"/>
      <c r="AC281" s="76"/>
      <c r="AD281" s="76"/>
      <c r="AE281" s="76"/>
      <c r="AF281" s="76"/>
      <c r="AG281" s="76"/>
      <c r="AH281" s="76"/>
      <c r="AI281" s="76"/>
      <c r="AJ281" s="76"/>
      <c r="AK281" s="76"/>
      <c r="AL281" s="77"/>
      <c r="AM281" s="76"/>
      <c r="AN281" s="76"/>
    </row>
    <row r="282" spans="1:40" ht="15">
      <c r="A282" s="83" t="e">
        <f>IF(#REF!&lt;&gt;#REF!,1,A281+1)</f>
        <v>#REF!</v>
      </c>
      <c r="O282" s="79"/>
      <c r="P282" s="79"/>
      <c r="Q282" s="76"/>
      <c r="R282" s="77"/>
      <c r="S282" s="76"/>
      <c r="T282" s="77"/>
      <c r="U282" s="76"/>
      <c r="V282" s="77"/>
      <c r="W282" s="76"/>
      <c r="X282" s="77"/>
      <c r="Y282" s="76"/>
      <c r="Z282" s="76"/>
      <c r="AA282" s="76"/>
      <c r="AB282" s="76"/>
      <c r="AC282" s="76"/>
      <c r="AD282" s="76"/>
      <c r="AE282" s="76"/>
      <c r="AF282" s="76"/>
      <c r="AG282" s="76"/>
      <c r="AH282" s="76"/>
      <c r="AI282" s="76"/>
      <c r="AJ282" s="76"/>
      <c r="AK282" s="76"/>
      <c r="AL282" s="77"/>
      <c r="AM282" s="76"/>
      <c r="AN282" s="76"/>
    </row>
    <row r="283" spans="1:40" ht="15">
      <c r="A283" s="83" t="e">
        <f>IF(#REF!&lt;&gt;#REF!,1,A282+1)</f>
        <v>#REF!</v>
      </c>
      <c r="O283" s="79"/>
      <c r="P283" s="79"/>
      <c r="Q283" s="76"/>
      <c r="R283" s="77"/>
      <c r="S283" s="76"/>
      <c r="T283" s="77"/>
      <c r="U283" s="76"/>
      <c r="V283" s="77"/>
      <c r="W283" s="76"/>
      <c r="X283" s="77"/>
      <c r="Y283" s="76"/>
      <c r="Z283" s="76"/>
      <c r="AA283" s="76"/>
      <c r="AB283" s="76"/>
      <c r="AC283" s="76"/>
      <c r="AD283" s="76"/>
      <c r="AE283" s="76"/>
      <c r="AF283" s="76"/>
      <c r="AG283" s="76"/>
      <c r="AH283" s="76"/>
      <c r="AI283" s="76"/>
      <c r="AJ283" s="76"/>
      <c r="AK283" s="76"/>
      <c r="AL283" s="77"/>
      <c r="AM283" s="76"/>
      <c r="AN283" s="76"/>
    </row>
    <row r="284" spans="1:40" ht="15">
      <c r="A284" s="83" t="e">
        <f>IF(#REF!&lt;&gt;#REF!,1,A283+1)</f>
        <v>#REF!</v>
      </c>
      <c r="O284" s="79"/>
      <c r="P284" s="79"/>
      <c r="Q284" s="76"/>
      <c r="R284" s="77"/>
      <c r="S284" s="76"/>
      <c r="T284" s="77"/>
      <c r="U284" s="76"/>
      <c r="V284" s="77"/>
      <c r="W284" s="76"/>
      <c r="X284" s="77"/>
      <c r="Y284" s="76"/>
      <c r="Z284" s="76"/>
      <c r="AA284" s="76"/>
      <c r="AB284" s="76"/>
      <c r="AC284" s="76"/>
      <c r="AD284" s="76"/>
      <c r="AE284" s="76"/>
      <c r="AF284" s="76"/>
      <c r="AG284" s="76"/>
      <c r="AH284" s="76"/>
      <c r="AI284" s="76"/>
      <c r="AJ284" s="76"/>
      <c r="AK284" s="76"/>
      <c r="AL284" s="77"/>
      <c r="AM284" s="76"/>
      <c r="AN284" s="76"/>
    </row>
    <row r="285" spans="1:40" ht="15">
      <c r="A285" s="83" t="e">
        <f>IF(#REF!&lt;&gt;#REF!,1,A284+1)</f>
        <v>#REF!</v>
      </c>
      <c r="O285" s="79"/>
      <c r="P285" s="79"/>
      <c r="Q285" s="76"/>
      <c r="R285" s="77"/>
      <c r="S285" s="76"/>
      <c r="T285" s="77"/>
      <c r="U285" s="76"/>
      <c r="V285" s="77"/>
      <c r="W285" s="76"/>
      <c r="X285" s="77"/>
      <c r="Y285" s="76"/>
      <c r="Z285" s="76"/>
      <c r="AA285" s="76"/>
      <c r="AB285" s="76"/>
      <c r="AC285" s="76"/>
      <c r="AD285" s="76"/>
      <c r="AE285" s="76"/>
      <c r="AF285" s="76"/>
      <c r="AG285" s="76"/>
      <c r="AH285" s="76"/>
      <c r="AI285" s="76"/>
      <c r="AJ285" s="76"/>
      <c r="AK285" s="76"/>
      <c r="AL285" s="77"/>
      <c r="AM285" s="76"/>
      <c r="AN285" s="76"/>
    </row>
    <row r="286" spans="1:40" ht="15">
      <c r="A286" s="83" t="e">
        <f>IF(#REF!&lt;&gt;#REF!,1,A285+1)</f>
        <v>#REF!</v>
      </c>
      <c r="O286" s="79"/>
      <c r="P286" s="79"/>
      <c r="Q286" s="76"/>
      <c r="R286" s="77"/>
      <c r="S286" s="76"/>
      <c r="T286" s="77"/>
      <c r="U286" s="76"/>
      <c r="V286" s="77"/>
      <c r="W286" s="76"/>
      <c r="X286" s="77"/>
      <c r="Y286" s="76"/>
      <c r="Z286" s="76"/>
      <c r="AA286" s="76"/>
      <c r="AB286" s="76"/>
      <c r="AC286" s="76"/>
      <c r="AD286" s="76"/>
      <c r="AE286" s="76"/>
      <c r="AF286" s="76"/>
      <c r="AG286" s="76"/>
      <c r="AH286" s="76"/>
      <c r="AI286" s="76"/>
      <c r="AJ286" s="76"/>
      <c r="AK286" s="76"/>
      <c r="AL286" s="77"/>
      <c r="AM286" s="76"/>
      <c r="AN286" s="76"/>
    </row>
    <row r="287" spans="1:40" ht="15">
      <c r="A287" s="83" t="e">
        <f>IF(#REF!&lt;&gt;#REF!,1,A286+1)</f>
        <v>#REF!</v>
      </c>
      <c r="O287" s="79"/>
      <c r="P287" s="79"/>
      <c r="Q287" s="76"/>
      <c r="R287" s="77"/>
      <c r="S287" s="76"/>
      <c r="T287" s="77"/>
      <c r="U287" s="76"/>
      <c r="V287" s="77"/>
      <c r="W287" s="76"/>
      <c r="X287" s="77"/>
      <c r="Y287" s="76"/>
      <c r="Z287" s="76"/>
      <c r="AA287" s="76"/>
      <c r="AB287" s="76"/>
      <c r="AC287" s="76"/>
      <c r="AD287" s="76"/>
      <c r="AE287" s="76"/>
      <c r="AF287" s="76"/>
      <c r="AG287" s="76"/>
      <c r="AH287" s="76"/>
      <c r="AI287" s="76"/>
      <c r="AJ287" s="76"/>
      <c r="AK287" s="76"/>
      <c r="AL287" s="77"/>
      <c r="AM287" s="76"/>
      <c r="AN287" s="76"/>
    </row>
    <row r="288" spans="1:40" ht="15">
      <c r="A288" s="83" t="e">
        <f>IF(#REF!&lt;&gt;#REF!,1,A287+1)</f>
        <v>#REF!</v>
      </c>
      <c r="O288" s="79"/>
      <c r="P288" s="79"/>
      <c r="Q288" s="76"/>
      <c r="R288" s="77"/>
      <c r="S288" s="76"/>
      <c r="T288" s="77"/>
      <c r="U288" s="76"/>
      <c r="V288" s="77"/>
      <c r="W288" s="76"/>
      <c r="X288" s="77"/>
      <c r="Y288" s="76"/>
      <c r="Z288" s="76"/>
      <c r="AA288" s="76"/>
      <c r="AB288" s="76"/>
      <c r="AC288" s="76"/>
      <c r="AD288" s="76"/>
      <c r="AE288" s="76"/>
      <c r="AF288" s="76"/>
      <c r="AG288" s="76"/>
      <c r="AH288" s="76"/>
      <c r="AI288" s="76"/>
      <c r="AJ288" s="76"/>
      <c r="AK288" s="76"/>
      <c r="AL288" s="77"/>
      <c r="AM288" s="76"/>
      <c r="AN288" s="76"/>
    </row>
    <row r="289" spans="1:40" ht="15">
      <c r="A289" s="83" t="e">
        <f>IF(#REF!&lt;&gt;#REF!,1,A288+1)</f>
        <v>#REF!</v>
      </c>
      <c r="O289" s="79"/>
      <c r="P289" s="79"/>
      <c r="Q289" s="76"/>
      <c r="R289" s="77"/>
      <c r="S289" s="76"/>
      <c r="T289" s="77"/>
      <c r="U289" s="76"/>
      <c r="V289" s="77"/>
      <c r="W289" s="76"/>
      <c r="X289" s="77"/>
      <c r="Y289" s="76"/>
      <c r="Z289" s="76"/>
      <c r="AA289" s="76"/>
      <c r="AB289" s="76"/>
      <c r="AC289" s="76"/>
      <c r="AD289" s="76"/>
      <c r="AE289" s="76"/>
      <c r="AF289" s="76"/>
      <c r="AG289" s="76"/>
      <c r="AH289" s="76"/>
      <c r="AI289" s="76"/>
      <c r="AJ289" s="76"/>
      <c r="AK289" s="76"/>
      <c r="AL289" s="77"/>
      <c r="AM289" s="76"/>
      <c r="AN289" s="76"/>
    </row>
    <row r="290" spans="1:40" ht="15">
      <c r="A290" s="83" t="e">
        <f>IF(#REF!&lt;&gt;#REF!,1,A289+1)</f>
        <v>#REF!</v>
      </c>
      <c r="O290" s="79"/>
      <c r="P290" s="79"/>
      <c r="Q290" s="76"/>
      <c r="R290" s="77"/>
      <c r="S290" s="76"/>
      <c r="T290" s="77"/>
      <c r="U290" s="76"/>
      <c r="V290" s="77"/>
      <c r="W290" s="76"/>
      <c r="X290" s="77"/>
      <c r="Y290" s="76"/>
      <c r="Z290" s="76"/>
      <c r="AA290" s="76"/>
      <c r="AB290" s="76"/>
      <c r="AC290" s="76"/>
      <c r="AD290" s="76"/>
      <c r="AE290" s="76"/>
      <c r="AF290" s="76"/>
      <c r="AG290" s="76"/>
      <c r="AH290" s="76"/>
      <c r="AI290" s="76"/>
      <c r="AJ290" s="76"/>
      <c r="AK290" s="76"/>
      <c r="AL290" s="77"/>
      <c r="AM290" s="76"/>
      <c r="AN290" s="76"/>
    </row>
    <row r="291" spans="1:40" ht="15">
      <c r="A291" s="83" t="e">
        <f>IF(#REF!&lt;&gt;#REF!,1,A290+1)</f>
        <v>#REF!</v>
      </c>
      <c r="O291" s="79"/>
      <c r="P291" s="79"/>
      <c r="Q291" s="76"/>
      <c r="R291" s="77"/>
      <c r="S291" s="76"/>
      <c r="T291" s="77"/>
      <c r="U291" s="76"/>
      <c r="V291" s="77"/>
      <c r="W291" s="76"/>
      <c r="X291" s="77"/>
      <c r="Y291" s="76"/>
      <c r="Z291" s="76"/>
      <c r="AA291" s="76"/>
      <c r="AB291" s="76"/>
      <c r="AC291" s="76"/>
      <c r="AD291" s="76"/>
      <c r="AE291" s="76"/>
      <c r="AF291" s="76"/>
      <c r="AG291" s="76"/>
      <c r="AH291" s="76"/>
      <c r="AI291" s="76"/>
      <c r="AJ291" s="76"/>
      <c r="AK291" s="76"/>
      <c r="AL291" s="77"/>
      <c r="AM291" s="76"/>
      <c r="AN291" s="76"/>
    </row>
    <row r="292" spans="1:40" ht="15">
      <c r="A292" s="83" t="e">
        <f>IF(#REF!&lt;&gt;#REF!,1,A291+1)</f>
        <v>#REF!</v>
      </c>
      <c r="O292" s="79"/>
      <c r="P292" s="79"/>
      <c r="Q292" s="76"/>
      <c r="R292" s="77"/>
      <c r="S292" s="76"/>
      <c r="T292" s="77"/>
      <c r="U292" s="76"/>
      <c r="V292" s="77"/>
      <c r="W292" s="76"/>
      <c r="X292" s="77"/>
      <c r="Y292" s="76"/>
      <c r="Z292" s="76"/>
      <c r="AA292" s="76"/>
      <c r="AB292" s="76"/>
      <c r="AC292" s="76"/>
      <c r="AD292" s="76"/>
      <c r="AE292" s="76"/>
      <c r="AF292" s="76"/>
      <c r="AG292" s="76"/>
      <c r="AH292" s="76"/>
      <c r="AI292" s="76"/>
      <c r="AJ292" s="76"/>
      <c r="AK292" s="76"/>
      <c r="AL292" s="77"/>
      <c r="AM292" s="76"/>
      <c r="AN292" s="76"/>
    </row>
    <row r="293" spans="1:40" ht="15">
      <c r="A293" s="83" t="e">
        <f>IF(#REF!&lt;&gt;#REF!,1,A292+1)</f>
        <v>#REF!</v>
      </c>
      <c r="O293" s="79"/>
      <c r="P293" s="79"/>
      <c r="Q293" s="76"/>
      <c r="R293" s="77"/>
      <c r="S293" s="76"/>
      <c r="T293" s="77"/>
      <c r="U293" s="76"/>
      <c r="V293" s="77"/>
      <c r="W293" s="76"/>
      <c r="X293" s="77"/>
      <c r="Y293" s="76"/>
      <c r="Z293" s="76"/>
      <c r="AA293" s="76"/>
      <c r="AB293" s="76"/>
      <c r="AC293" s="76"/>
      <c r="AD293" s="76"/>
      <c r="AE293" s="76"/>
      <c r="AF293" s="76"/>
      <c r="AG293" s="76"/>
      <c r="AH293" s="76"/>
      <c r="AI293" s="76"/>
      <c r="AJ293" s="76"/>
      <c r="AK293" s="76"/>
      <c r="AL293" s="77"/>
      <c r="AM293" s="76"/>
      <c r="AN293" s="76"/>
    </row>
    <row r="294" spans="1:40" ht="15">
      <c r="A294" s="83" t="e">
        <f>IF(#REF!&lt;&gt;#REF!,1,A293+1)</f>
        <v>#REF!</v>
      </c>
      <c r="O294" s="79"/>
      <c r="P294" s="79"/>
      <c r="Q294" s="76"/>
      <c r="R294" s="77"/>
      <c r="S294" s="76"/>
      <c r="T294" s="77"/>
      <c r="U294" s="76"/>
      <c r="V294" s="77"/>
      <c r="W294" s="76"/>
      <c r="X294" s="77"/>
      <c r="Y294" s="76"/>
      <c r="Z294" s="76"/>
      <c r="AA294" s="76"/>
      <c r="AB294" s="76"/>
      <c r="AC294" s="76"/>
      <c r="AD294" s="76"/>
      <c r="AE294" s="76"/>
      <c r="AF294" s="76"/>
      <c r="AG294" s="76"/>
      <c r="AH294" s="76"/>
      <c r="AI294" s="76"/>
      <c r="AJ294" s="76"/>
      <c r="AK294" s="76"/>
      <c r="AL294" s="77"/>
      <c r="AM294" s="76"/>
      <c r="AN294" s="76"/>
    </row>
    <row r="295" spans="1:40" ht="15">
      <c r="A295" s="83" t="e">
        <f>IF(#REF!&lt;&gt;#REF!,1,A294+1)</f>
        <v>#REF!</v>
      </c>
      <c r="O295" s="79"/>
      <c r="P295" s="79"/>
      <c r="Q295" s="76"/>
      <c r="R295" s="77"/>
      <c r="S295" s="76"/>
      <c r="T295" s="77"/>
      <c r="U295" s="76"/>
      <c r="V295" s="77"/>
      <c r="W295" s="76"/>
      <c r="X295" s="77"/>
      <c r="Y295" s="76"/>
      <c r="Z295" s="76"/>
      <c r="AA295" s="76"/>
      <c r="AB295" s="76"/>
      <c r="AC295" s="76"/>
      <c r="AD295" s="76"/>
      <c r="AE295" s="76"/>
      <c r="AF295" s="76"/>
      <c r="AG295" s="76"/>
      <c r="AH295" s="76"/>
      <c r="AI295" s="76"/>
      <c r="AJ295" s="76"/>
      <c r="AK295" s="76"/>
      <c r="AL295" s="77"/>
      <c r="AM295" s="76"/>
      <c r="AN295" s="76"/>
    </row>
    <row r="296" spans="1:40" ht="15">
      <c r="A296" s="83" t="e">
        <f>IF(#REF!&lt;&gt;#REF!,1,A295+1)</f>
        <v>#REF!</v>
      </c>
      <c r="O296" s="79"/>
      <c r="P296" s="79"/>
      <c r="Q296" s="76"/>
      <c r="R296" s="77"/>
      <c r="S296" s="76"/>
      <c r="T296" s="77"/>
      <c r="U296" s="76"/>
      <c r="V296" s="77"/>
      <c r="W296" s="76"/>
      <c r="X296" s="77"/>
      <c r="Y296" s="76"/>
      <c r="Z296" s="76"/>
      <c r="AA296" s="76"/>
      <c r="AB296" s="76"/>
      <c r="AC296" s="76"/>
      <c r="AD296" s="76"/>
      <c r="AE296" s="76"/>
      <c r="AF296" s="76"/>
      <c r="AG296" s="76"/>
      <c r="AH296" s="76"/>
      <c r="AI296" s="76"/>
      <c r="AJ296" s="76"/>
      <c r="AK296" s="76"/>
      <c r="AL296" s="77"/>
      <c r="AM296" s="76"/>
      <c r="AN296" s="76"/>
    </row>
    <row r="297" spans="1:40" ht="15">
      <c r="A297" s="83" t="e">
        <f>IF(#REF!&lt;&gt;#REF!,1,A296+1)</f>
        <v>#REF!</v>
      </c>
      <c r="O297" s="79"/>
      <c r="P297" s="79"/>
      <c r="Q297" s="76"/>
      <c r="R297" s="77"/>
      <c r="S297" s="76"/>
      <c r="T297" s="77"/>
      <c r="U297" s="76"/>
      <c r="V297" s="77"/>
      <c r="W297" s="76"/>
      <c r="X297" s="77"/>
      <c r="Y297" s="76"/>
      <c r="Z297" s="76"/>
      <c r="AA297" s="76"/>
      <c r="AB297" s="76"/>
      <c r="AC297" s="76"/>
      <c r="AD297" s="76"/>
      <c r="AE297" s="76"/>
      <c r="AF297" s="76"/>
      <c r="AG297" s="76"/>
      <c r="AH297" s="76"/>
      <c r="AI297" s="76"/>
      <c r="AJ297" s="76"/>
      <c r="AK297" s="76"/>
      <c r="AL297" s="77"/>
      <c r="AM297" s="76"/>
      <c r="AN297" s="76"/>
    </row>
    <row r="298" spans="1:40" ht="15">
      <c r="A298" s="83" t="e">
        <f>IF(#REF!&lt;&gt;#REF!,1,A297+1)</f>
        <v>#REF!</v>
      </c>
      <c r="O298" s="79"/>
      <c r="P298" s="79"/>
      <c r="Q298" s="76"/>
      <c r="R298" s="77"/>
      <c r="S298" s="76"/>
      <c r="T298" s="77"/>
      <c r="U298" s="76"/>
      <c r="V298" s="77"/>
      <c r="W298" s="76"/>
      <c r="X298" s="77"/>
      <c r="Y298" s="76"/>
      <c r="Z298" s="76"/>
      <c r="AA298" s="76"/>
      <c r="AB298" s="76"/>
      <c r="AC298" s="76"/>
      <c r="AD298" s="76"/>
      <c r="AE298" s="76"/>
      <c r="AF298" s="76"/>
      <c r="AG298" s="76"/>
      <c r="AH298" s="76"/>
      <c r="AI298" s="76"/>
      <c r="AJ298" s="76"/>
      <c r="AK298" s="76"/>
      <c r="AL298" s="77"/>
      <c r="AM298" s="76"/>
      <c r="AN298" s="76"/>
    </row>
    <row r="299" spans="1:40" ht="15">
      <c r="A299" s="83" t="e">
        <f>IF(#REF!&lt;&gt;#REF!,1,A298+1)</f>
        <v>#REF!</v>
      </c>
      <c r="O299" s="79"/>
      <c r="P299" s="79"/>
      <c r="Q299" s="76"/>
      <c r="R299" s="77"/>
      <c r="S299" s="76"/>
      <c r="T299" s="77"/>
      <c r="U299" s="76"/>
      <c r="V299" s="77"/>
      <c r="W299" s="76"/>
      <c r="X299" s="77"/>
      <c r="Y299" s="76"/>
      <c r="Z299" s="76"/>
      <c r="AA299" s="76"/>
      <c r="AB299" s="76"/>
      <c r="AC299" s="76"/>
      <c r="AD299" s="76"/>
      <c r="AE299" s="76"/>
      <c r="AF299" s="76"/>
      <c r="AG299" s="76"/>
      <c r="AH299" s="76"/>
      <c r="AI299" s="76"/>
      <c r="AJ299" s="76"/>
      <c r="AK299" s="76"/>
      <c r="AL299" s="77"/>
      <c r="AM299" s="76"/>
      <c r="AN299" s="76"/>
    </row>
    <row r="300" spans="1:40" ht="15">
      <c r="A300" s="83" t="e">
        <f>IF(#REF!&lt;&gt;#REF!,1,A299+1)</f>
        <v>#REF!</v>
      </c>
      <c r="O300" s="79"/>
      <c r="P300" s="79"/>
      <c r="Q300" s="76"/>
      <c r="R300" s="77"/>
      <c r="S300" s="76"/>
      <c r="T300" s="77"/>
      <c r="U300" s="76"/>
      <c r="V300" s="77"/>
      <c r="W300" s="76"/>
      <c r="X300" s="77"/>
      <c r="Y300" s="76"/>
      <c r="Z300" s="76"/>
      <c r="AA300" s="76"/>
      <c r="AB300" s="76"/>
      <c r="AC300" s="76"/>
      <c r="AD300" s="76"/>
      <c r="AE300" s="76"/>
      <c r="AF300" s="76"/>
      <c r="AG300" s="76"/>
      <c r="AH300" s="76"/>
      <c r="AI300" s="76"/>
      <c r="AJ300" s="76"/>
      <c r="AK300" s="76"/>
      <c r="AL300" s="77"/>
      <c r="AM300" s="76"/>
      <c r="AN300" s="76"/>
    </row>
    <row r="301" spans="1:40" ht="15">
      <c r="A301" s="83" t="e">
        <f>IF(#REF!&lt;&gt;#REF!,1,A300+1)</f>
        <v>#REF!</v>
      </c>
      <c r="O301" s="79"/>
      <c r="P301" s="79"/>
      <c r="Q301" s="76"/>
      <c r="R301" s="77"/>
      <c r="S301" s="76"/>
      <c r="T301" s="77"/>
      <c r="U301" s="76"/>
      <c r="V301" s="77"/>
      <c r="W301" s="76"/>
      <c r="X301" s="77"/>
      <c r="Y301" s="76"/>
      <c r="Z301" s="76"/>
      <c r="AA301" s="76"/>
      <c r="AB301" s="76"/>
      <c r="AC301" s="76"/>
      <c r="AD301" s="76"/>
      <c r="AE301" s="76"/>
      <c r="AF301" s="76"/>
      <c r="AG301" s="76"/>
      <c r="AH301" s="76"/>
      <c r="AI301" s="76"/>
      <c r="AJ301" s="76"/>
      <c r="AK301" s="76"/>
      <c r="AL301" s="77"/>
      <c r="AM301" s="76"/>
      <c r="AN301" s="76"/>
    </row>
    <row r="302" spans="1:40" ht="15">
      <c r="A302" s="83" t="e">
        <f>IF(#REF!&lt;&gt;#REF!,1,A301+1)</f>
        <v>#REF!</v>
      </c>
      <c r="O302" s="79"/>
      <c r="P302" s="79"/>
      <c r="Q302" s="76"/>
      <c r="R302" s="77"/>
      <c r="S302" s="76"/>
      <c r="T302" s="77"/>
      <c r="U302" s="76"/>
      <c r="V302" s="77"/>
      <c r="W302" s="76"/>
      <c r="X302" s="77"/>
      <c r="Y302" s="76"/>
      <c r="Z302" s="76"/>
      <c r="AA302" s="76"/>
      <c r="AB302" s="76"/>
      <c r="AC302" s="76"/>
      <c r="AD302" s="76"/>
      <c r="AE302" s="76"/>
      <c r="AF302" s="76"/>
      <c r="AG302" s="76"/>
      <c r="AH302" s="76"/>
      <c r="AI302" s="76"/>
      <c r="AJ302" s="76"/>
      <c r="AK302" s="76"/>
      <c r="AL302" s="77"/>
      <c r="AM302" s="76"/>
      <c r="AN302" s="76"/>
    </row>
    <row r="303" spans="1:40" ht="15">
      <c r="A303" s="83" t="e">
        <f>IF(#REF!&lt;&gt;#REF!,1,A302+1)</f>
        <v>#REF!</v>
      </c>
      <c r="O303" s="79"/>
      <c r="P303" s="79"/>
      <c r="Q303" s="76"/>
      <c r="R303" s="77"/>
      <c r="S303" s="76"/>
      <c r="T303" s="77"/>
      <c r="U303" s="76"/>
      <c r="V303" s="77"/>
      <c r="W303" s="76"/>
      <c r="X303" s="77"/>
      <c r="Y303" s="76"/>
      <c r="Z303" s="76"/>
      <c r="AA303" s="76"/>
      <c r="AB303" s="76"/>
      <c r="AC303" s="76"/>
      <c r="AD303" s="76"/>
      <c r="AE303" s="76"/>
      <c r="AF303" s="76"/>
      <c r="AG303" s="76"/>
      <c r="AH303" s="76"/>
      <c r="AI303" s="76"/>
      <c r="AJ303" s="76"/>
      <c r="AK303" s="76"/>
      <c r="AL303" s="77"/>
      <c r="AM303" s="76"/>
      <c r="AN303" s="76"/>
    </row>
    <row r="304" spans="1:40" ht="15">
      <c r="A304" s="83" t="e">
        <f>IF(#REF!&lt;&gt;#REF!,1,A303+1)</f>
        <v>#REF!</v>
      </c>
      <c r="O304" s="79"/>
      <c r="P304" s="79"/>
      <c r="Q304" s="76"/>
      <c r="R304" s="77"/>
      <c r="S304" s="76"/>
      <c r="T304" s="77"/>
      <c r="U304" s="76"/>
      <c r="V304" s="77"/>
      <c r="W304" s="76"/>
      <c r="X304" s="77"/>
      <c r="Y304" s="76"/>
      <c r="Z304" s="76"/>
      <c r="AA304" s="76"/>
      <c r="AB304" s="76"/>
      <c r="AC304" s="76"/>
      <c r="AD304" s="76"/>
      <c r="AE304" s="76"/>
      <c r="AF304" s="76"/>
      <c r="AG304" s="76"/>
      <c r="AH304" s="76"/>
      <c r="AI304" s="76"/>
      <c r="AJ304" s="76"/>
      <c r="AK304" s="76"/>
      <c r="AL304" s="77"/>
      <c r="AM304" s="76"/>
      <c r="AN304" s="76"/>
    </row>
    <row r="305" spans="1:40" ht="15">
      <c r="A305" s="83" t="e">
        <f>IF(#REF!&lt;&gt;#REF!,1,A304+1)</f>
        <v>#REF!</v>
      </c>
      <c r="O305" s="79"/>
      <c r="P305" s="79"/>
      <c r="Q305" s="76"/>
      <c r="R305" s="77"/>
      <c r="S305" s="76"/>
      <c r="T305" s="77"/>
      <c r="U305" s="76"/>
      <c r="V305" s="77"/>
      <c r="W305" s="76"/>
      <c r="X305" s="77"/>
      <c r="Y305" s="76"/>
      <c r="Z305" s="76"/>
      <c r="AA305" s="76"/>
      <c r="AB305" s="76"/>
      <c r="AC305" s="76"/>
      <c r="AD305" s="76"/>
      <c r="AE305" s="76"/>
      <c r="AF305" s="76"/>
      <c r="AG305" s="76"/>
      <c r="AH305" s="76"/>
      <c r="AI305" s="76"/>
      <c r="AJ305" s="76"/>
      <c r="AK305" s="76"/>
      <c r="AL305" s="77"/>
      <c r="AM305" s="76"/>
      <c r="AN305" s="76"/>
    </row>
    <row r="306" spans="1:40" ht="15">
      <c r="A306" s="83" t="e">
        <f>IF(#REF!&lt;&gt;#REF!,1,A305+1)</f>
        <v>#REF!</v>
      </c>
      <c r="O306" s="79"/>
      <c r="P306" s="79"/>
      <c r="Q306" s="76"/>
      <c r="R306" s="77"/>
      <c r="S306" s="76"/>
      <c r="T306" s="77"/>
      <c r="U306" s="76"/>
      <c r="V306" s="77"/>
      <c r="W306" s="76"/>
      <c r="X306" s="77"/>
      <c r="Y306" s="76"/>
      <c r="Z306" s="76"/>
      <c r="AA306" s="76"/>
      <c r="AB306" s="76"/>
      <c r="AC306" s="76"/>
      <c r="AD306" s="76"/>
      <c r="AE306" s="76"/>
      <c r="AF306" s="76"/>
      <c r="AG306" s="76"/>
      <c r="AH306" s="76"/>
      <c r="AI306" s="76"/>
      <c r="AJ306" s="76"/>
      <c r="AK306" s="76"/>
      <c r="AL306" s="77"/>
      <c r="AM306" s="76"/>
      <c r="AN306" s="76"/>
    </row>
    <row r="307" spans="1:40" ht="15">
      <c r="A307" s="83" t="e">
        <f>IF(#REF!&lt;&gt;#REF!,1,A306+1)</f>
        <v>#REF!</v>
      </c>
      <c r="O307" s="79"/>
      <c r="P307" s="79"/>
      <c r="Q307" s="76"/>
      <c r="R307" s="77"/>
      <c r="S307" s="76"/>
      <c r="T307" s="77"/>
      <c r="U307" s="76"/>
      <c r="V307" s="77"/>
      <c r="W307" s="76"/>
      <c r="X307" s="77"/>
      <c r="Y307" s="76"/>
      <c r="Z307" s="76"/>
      <c r="AA307" s="76"/>
      <c r="AB307" s="76"/>
      <c r="AC307" s="76"/>
      <c r="AD307" s="76"/>
      <c r="AE307" s="76"/>
      <c r="AF307" s="76"/>
      <c r="AG307" s="76"/>
      <c r="AH307" s="76"/>
      <c r="AI307" s="76"/>
      <c r="AJ307" s="76"/>
      <c r="AK307" s="76"/>
      <c r="AL307" s="77"/>
      <c r="AM307" s="76"/>
      <c r="AN307" s="76"/>
    </row>
    <row r="308" spans="1:40" ht="15">
      <c r="A308" s="83" t="e">
        <f>IF(#REF!&lt;&gt;#REF!,1,A307+1)</f>
        <v>#REF!</v>
      </c>
      <c r="O308" s="79"/>
      <c r="P308" s="79"/>
      <c r="Q308" s="76"/>
      <c r="R308" s="77"/>
      <c r="S308" s="76"/>
      <c r="T308" s="77"/>
      <c r="U308" s="76"/>
      <c r="V308" s="77"/>
      <c r="W308" s="76"/>
      <c r="X308" s="77"/>
      <c r="Y308" s="76"/>
      <c r="Z308" s="76"/>
      <c r="AA308" s="76"/>
      <c r="AB308" s="76"/>
      <c r="AC308" s="76"/>
      <c r="AD308" s="76"/>
      <c r="AE308" s="76"/>
      <c r="AF308" s="76"/>
      <c r="AG308" s="76"/>
      <c r="AH308" s="76"/>
      <c r="AI308" s="76"/>
      <c r="AJ308" s="76"/>
      <c r="AK308" s="76"/>
      <c r="AL308" s="77"/>
      <c r="AM308" s="76"/>
      <c r="AN308" s="76"/>
    </row>
    <row r="309" spans="1:40" ht="15">
      <c r="A309" s="83" t="e">
        <f>IF(#REF!&lt;&gt;#REF!,1,A308+1)</f>
        <v>#REF!</v>
      </c>
      <c r="O309" s="79"/>
      <c r="P309" s="79"/>
      <c r="Q309" s="76"/>
      <c r="R309" s="77"/>
      <c r="S309" s="76"/>
      <c r="T309" s="77"/>
      <c r="U309" s="76"/>
      <c r="V309" s="77"/>
      <c r="W309" s="76"/>
      <c r="X309" s="77"/>
      <c r="Y309" s="76"/>
      <c r="Z309" s="76"/>
      <c r="AA309" s="76"/>
      <c r="AB309" s="76"/>
      <c r="AC309" s="76"/>
      <c r="AD309" s="76"/>
      <c r="AE309" s="76"/>
      <c r="AF309" s="76"/>
      <c r="AG309" s="76"/>
      <c r="AH309" s="76"/>
      <c r="AI309" s="76"/>
      <c r="AJ309" s="76"/>
      <c r="AK309" s="76"/>
      <c r="AL309" s="77"/>
      <c r="AM309" s="76"/>
      <c r="AN309" s="76"/>
    </row>
    <row r="310" spans="1:40" ht="15">
      <c r="A310" s="83" t="e">
        <f>IF(#REF!&lt;&gt;#REF!,1,A309+1)</f>
        <v>#REF!</v>
      </c>
      <c r="O310" s="79"/>
      <c r="P310" s="79"/>
      <c r="Q310" s="76"/>
      <c r="R310" s="77"/>
      <c r="S310" s="76"/>
      <c r="T310" s="77"/>
      <c r="U310" s="76"/>
      <c r="V310" s="77"/>
      <c r="W310" s="76"/>
      <c r="X310" s="77"/>
      <c r="Y310" s="76"/>
      <c r="Z310" s="76"/>
      <c r="AA310" s="76"/>
      <c r="AB310" s="76"/>
      <c r="AC310" s="76"/>
      <c r="AD310" s="76"/>
      <c r="AE310" s="76"/>
      <c r="AF310" s="76"/>
      <c r="AG310" s="76"/>
      <c r="AH310" s="76"/>
      <c r="AI310" s="76"/>
      <c r="AJ310" s="76"/>
      <c r="AK310" s="76"/>
      <c r="AL310" s="77"/>
      <c r="AM310" s="76"/>
      <c r="AN310" s="76"/>
    </row>
    <row r="311" spans="1:40" ht="15">
      <c r="A311" s="83" t="e">
        <f>IF(#REF!&lt;&gt;#REF!,1,A310+1)</f>
        <v>#REF!</v>
      </c>
      <c r="O311" s="79"/>
      <c r="P311" s="79"/>
      <c r="Q311" s="76"/>
      <c r="R311" s="77"/>
      <c r="S311" s="76"/>
      <c r="T311" s="77"/>
      <c r="U311" s="76"/>
      <c r="V311" s="77"/>
      <c r="W311" s="76"/>
      <c r="X311" s="77"/>
      <c r="Y311" s="76"/>
      <c r="Z311" s="76"/>
      <c r="AA311" s="76"/>
      <c r="AB311" s="76"/>
      <c r="AC311" s="76"/>
      <c r="AD311" s="76"/>
      <c r="AE311" s="76"/>
      <c r="AF311" s="76"/>
      <c r="AG311" s="76"/>
      <c r="AH311" s="76"/>
      <c r="AI311" s="76"/>
      <c r="AJ311" s="76"/>
      <c r="AK311" s="76"/>
      <c r="AL311" s="77"/>
      <c r="AM311" s="76"/>
      <c r="AN311" s="76"/>
    </row>
    <row r="312" spans="1:40" ht="15">
      <c r="A312" s="83" t="e">
        <f>IF(#REF!&lt;&gt;#REF!,1,A311+1)</f>
        <v>#REF!</v>
      </c>
      <c r="O312" s="79"/>
      <c r="P312" s="79"/>
      <c r="Q312" s="76"/>
      <c r="R312" s="77"/>
      <c r="S312" s="76"/>
      <c r="T312" s="77"/>
      <c r="U312" s="76"/>
      <c r="V312" s="77"/>
      <c r="W312" s="76"/>
      <c r="X312" s="77"/>
      <c r="Y312" s="76"/>
      <c r="Z312" s="76"/>
      <c r="AA312" s="76"/>
      <c r="AB312" s="76"/>
      <c r="AC312" s="76"/>
      <c r="AD312" s="76"/>
      <c r="AE312" s="76"/>
      <c r="AF312" s="76"/>
      <c r="AG312" s="76"/>
      <c r="AH312" s="76"/>
      <c r="AI312" s="76"/>
      <c r="AJ312" s="76"/>
      <c r="AK312" s="76"/>
      <c r="AL312" s="77"/>
      <c r="AM312" s="76"/>
      <c r="AN312" s="76"/>
    </row>
    <row r="313" spans="1:40" ht="15">
      <c r="A313" s="83" t="e">
        <f>IF(#REF!&lt;&gt;#REF!,1,A312+1)</f>
        <v>#REF!</v>
      </c>
      <c r="O313" s="79"/>
      <c r="P313" s="79"/>
      <c r="Q313" s="76"/>
      <c r="R313" s="77"/>
      <c r="S313" s="76"/>
      <c r="T313" s="77"/>
      <c r="U313" s="76"/>
      <c r="V313" s="77"/>
      <c r="W313" s="76"/>
      <c r="X313" s="77"/>
      <c r="Y313" s="76"/>
      <c r="Z313" s="76"/>
      <c r="AA313" s="76"/>
      <c r="AB313" s="76"/>
      <c r="AC313" s="76"/>
      <c r="AD313" s="76"/>
      <c r="AE313" s="76"/>
      <c r="AF313" s="76"/>
      <c r="AG313" s="76"/>
      <c r="AH313" s="76"/>
      <c r="AI313" s="76"/>
      <c r="AJ313" s="76"/>
      <c r="AK313" s="76"/>
      <c r="AL313" s="77"/>
      <c r="AM313" s="76"/>
      <c r="AN313" s="76"/>
    </row>
    <row r="314" spans="1:40" ht="15">
      <c r="A314" s="83" t="e">
        <f>IF(#REF!&lt;&gt;#REF!,1,A313+1)</f>
        <v>#REF!</v>
      </c>
      <c r="O314" s="79"/>
      <c r="P314" s="79"/>
      <c r="Q314" s="76"/>
      <c r="R314" s="77"/>
      <c r="S314" s="76"/>
      <c r="T314" s="77"/>
      <c r="U314" s="76"/>
      <c r="V314" s="77"/>
      <c r="W314" s="76"/>
      <c r="X314" s="77"/>
      <c r="Y314" s="76"/>
      <c r="Z314" s="76"/>
      <c r="AA314" s="76"/>
      <c r="AB314" s="76"/>
      <c r="AC314" s="76"/>
      <c r="AD314" s="76"/>
      <c r="AE314" s="76"/>
      <c r="AF314" s="76"/>
      <c r="AG314" s="76"/>
      <c r="AH314" s="76"/>
      <c r="AI314" s="76"/>
      <c r="AJ314" s="76"/>
      <c r="AK314" s="76"/>
      <c r="AL314" s="77"/>
      <c r="AM314" s="76"/>
      <c r="AN314" s="76"/>
    </row>
    <row r="315" spans="1:40" ht="15">
      <c r="A315" s="83" t="e">
        <f>IF(#REF!&lt;&gt;#REF!,1,A314+1)</f>
        <v>#REF!</v>
      </c>
      <c r="O315" s="79"/>
      <c r="P315" s="79"/>
      <c r="Q315" s="76"/>
      <c r="R315" s="77"/>
      <c r="S315" s="76"/>
      <c r="T315" s="77"/>
      <c r="U315" s="76"/>
      <c r="V315" s="77"/>
      <c r="W315" s="76"/>
      <c r="X315" s="77"/>
      <c r="Y315" s="76"/>
      <c r="Z315" s="76"/>
      <c r="AA315" s="76"/>
      <c r="AB315" s="76"/>
      <c r="AC315" s="76"/>
      <c r="AD315" s="76"/>
      <c r="AE315" s="76"/>
      <c r="AF315" s="76"/>
      <c r="AG315" s="76"/>
      <c r="AH315" s="76"/>
      <c r="AI315" s="76"/>
      <c r="AJ315" s="76"/>
      <c r="AK315" s="76"/>
      <c r="AL315" s="77"/>
      <c r="AM315" s="76"/>
      <c r="AN315" s="76"/>
    </row>
    <row r="316" spans="1:40" ht="15">
      <c r="A316" s="83" t="e">
        <f>IF(#REF!&lt;&gt;#REF!,1,A315+1)</f>
        <v>#REF!</v>
      </c>
      <c r="O316" s="79"/>
      <c r="P316" s="79"/>
      <c r="Q316" s="76"/>
      <c r="R316" s="77"/>
      <c r="S316" s="76"/>
      <c r="T316" s="77"/>
      <c r="U316" s="76"/>
      <c r="V316" s="77"/>
      <c r="W316" s="76"/>
      <c r="X316" s="77"/>
      <c r="Y316" s="76"/>
      <c r="Z316" s="76"/>
      <c r="AA316" s="76"/>
      <c r="AB316" s="76"/>
      <c r="AC316" s="76"/>
      <c r="AD316" s="76"/>
      <c r="AE316" s="76"/>
      <c r="AF316" s="76"/>
      <c r="AG316" s="76"/>
      <c r="AH316" s="76"/>
      <c r="AI316" s="76"/>
      <c r="AJ316" s="76"/>
      <c r="AK316" s="76"/>
      <c r="AL316" s="77"/>
      <c r="AM316" s="76"/>
      <c r="AN316" s="76"/>
    </row>
    <row r="317" spans="1:40" ht="15">
      <c r="A317" s="83" t="e">
        <f>IF(#REF!&lt;&gt;#REF!,1,A316+1)</f>
        <v>#REF!</v>
      </c>
      <c r="O317" s="79"/>
      <c r="P317" s="79"/>
      <c r="Q317" s="76"/>
      <c r="R317" s="77"/>
      <c r="S317" s="76"/>
      <c r="T317" s="77"/>
      <c r="U317" s="76"/>
      <c r="V317" s="77"/>
      <c r="W317" s="76"/>
      <c r="X317" s="77"/>
      <c r="Y317" s="76"/>
      <c r="Z317" s="76"/>
      <c r="AA317" s="76"/>
      <c r="AB317" s="76"/>
      <c r="AC317" s="76"/>
      <c r="AD317" s="76"/>
      <c r="AE317" s="76"/>
      <c r="AF317" s="76"/>
      <c r="AG317" s="76"/>
      <c r="AH317" s="76"/>
      <c r="AI317" s="76"/>
      <c r="AJ317" s="76"/>
      <c r="AK317" s="76"/>
      <c r="AL317" s="77"/>
      <c r="AM317" s="76"/>
      <c r="AN317" s="76"/>
    </row>
    <row r="318" spans="1:40" ht="15">
      <c r="A318" s="83" t="e">
        <f>IF(#REF!&lt;&gt;#REF!,1,A317+1)</f>
        <v>#REF!</v>
      </c>
      <c r="O318" s="79"/>
      <c r="P318" s="79"/>
      <c r="Q318" s="76"/>
      <c r="R318" s="77"/>
      <c r="S318" s="76"/>
      <c r="T318" s="77"/>
      <c r="U318" s="76"/>
      <c r="V318" s="77"/>
      <c r="W318" s="76"/>
      <c r="X318" s="77"/>
      <c r="Y318" s="76"/>
      <c r="Z318" s="76"/>
      <c r="AA318" s="76"/>
      <c r="AB318" s="76"/>
      <c r="AC318" s="76"/>
      <c r="AD318" s="76"/>
      <c r="AE318" s="76"/>
      <c r="AF318" s="76"/>
      <c r="AG318" s="76"/>
      <c r="AH318" s="76"/>
      <c r="AI318" s="76"/>
      <c r="AJ318" s="76"/>
      <c r="AK318" s="76"/>
      <c r="AL318" s="77"/>
      <c r="AM318" s="76"/>
      <c r="AN318" s="76"/>
    </row>
    <row r="319" spans="1:40" ht="15">
      <c r="A319" s="83" t="e">
        <f>IF(#REF!&lt;&gt;#REF!,1,A318+1)</f>
        <v>#REF!</v>
      </c>
      <c r="O319" s="79"/>
      <c r="P319" s="79"/>
      <c r="Q319" s="76"/>
      <c r="R319" s="77"/>
      <c r="S319" s="76"/>
      <c r="T319" s="77"/>
      <c r="U319" s="76"/>
      <c r="V319" s="77"/>
      <c r="W319" s="76"/>
      <c r="X319" s="77"/>
      <c r="Y319" s="76"/>
      <c r="Z319" s="76"/>
      <c r="AA319" s="76"/>
      <c r="AB319" s="76"/>
      <c r="AC319" s="76"/>
      <c r="AD319" s="76"/>
      <c r="AE319" s="76"/>
      <c r="AF319" s="76"/>
      <c r="AG319" s="76"/>
      <c r="AH319" s="76"/>
      <c r="AI319" s="76"/>
      <c r="AJ319" s="76"/>
      <c r="AK319" s="76"/>
      <c r="AL319" s="77"/>
      <c r="AM319" s="76"/>
      <c r="AN319" s="76"/>
    </row>
    <row r="320" spans="1:40" ht="15">
      <c r="A320" s="83" t="e">
        <f>IF(#REF!&lt;&gt;#REF!,1,A319+1)</f>
        <v>#REF!</v>
      </c>
      <c r="O320" s="79"/>
      <c r="P320" s="79"/>
      <c r="Q320" s="76"/>
      <c r="R320" s="77"/>
      <c r="S320" s="76"/>
      <c r="T320" s="77"/>
      <c r="U320" s="76"/>
      <c r="V320" s="77"/>
      <c r="W320" s="76"/>
      <c r="X320" s="77"/>
      <c r="Y320" s="76"/>
      <c r="Z320" s="76"/>
      <c r="AA320" s="76"/>
      <c r="AB320" s="76"/>
      <c r="AC320" s="76"/>
      <c r="AD320" s="76"/>
      <c r="AE320" s="76"/>
      <c r="AF320" s="76"/>
      <c r="AG320" s="76"/>
      <c r="AH320" s="76"/>
      <c r="AI320" s="76"/>
      <c r="AJ320" s="76"/>
      <c r="AK320" s="76"/>
      <c r="AL320" s="77"/>
      <c r="AM320" s="76"/>
      <c r="AN320" s="76"/>
    </row>
    <row r="321" spans="1:40" ht="15">
      <c r="A321" s="83" t="e">
        <f>IF(#REF!&lt;&gt;#REF!,1,A320+1)</f>
        <v>#REF!</v>
      </c>
      <c r="O321" s="79"/>
      <c r="P321" s="79"/>
      <c r="Q321" s="76"/>
      <c r="R321" s="77"/>
      <c r="S321" s="76"/>
      <c r="T321" s="77"/>
      <c r="U321" s="76"/>
      <c r="V321" s="77"/>
      <c r="W321" s="76"/>
      <c r="X321" s="77"/>
      <c r="Y321" s="76"/>
      <c r="Z321" s="76"/>
      <c r="AA321" s="76"/>
      <c r="AB321" s="76"/>
      <c r="AC321" s="76"/>
      <c r="AD321" s="76"/>
      <c r="AE321" s="76"/>
      <c r="AF321" s="76"/>
      <c r="AG321" s="76"/>
      <c r="AH321" s="76"/>
      <c r="AI321" s="76"/>
      <c r="AJ321" s="76"/>
      <c r="AK321" s="76"/>
      <c r="AL321" s="77"/>
      <c r="AM321" s="76"/>
      <c r="AN321" s="76"/>
    </row>
    <row r="322" spans="1:40" ht="15">
      <c r="A322" s="83" t="e">
        <f>IF(#REF!&lt;&gt;#REF!,1,A321+1)</f>
        <v>#REF!</v>
      </c>
      <c r="O322" s="79"/>
      <c r="P322" s="79"/>
      <c r="Q322" s="76"/>
      <c r="R322" s="77"/>
      <c r="S322" s="76"/>
      <c r="T322" s="77"/>
      <c r="U322" s="76"/>
      <c r="V322" s="77"/>
      <c r="W322" s="76"/>
      <c r="X322" s="77"/>
      <c r="Y322" s="76"/>
      <c r="Z322" s="76"/>
      <c r="AA322" s="76"/>
      <c r="AB322" s="76"/>
      <c r="AC322" s="76"/>
      <c r="AD322" s="76"/>
      <c r="AE322" s="76"/>
      <c r="AF322" s="76"/>
      <c r="AG322" s="76"/>
      <c r="AH322" s="76"/>
      <c r="AI322" s="76"/>
      <c r="AJ322" s="76"/>
      <c r="AK322" s="76"/>
      <c r="AL322" s="77"/>
      <c r="AM322" s="76"/>
      <c r="AN322" s="76"/>
    </row>
    <row r="323" spans="1:40" ht="15">
      <c r="A323" s="83" t="e">
        <f>IF(#REF!&lt;&gt;#REF!,1,A322+1)</f>
        <v>#REF!</v>
      </c>
      <c r="O323" s="79"/>
      <c r="P323" s="79"/>
      <c r="Q323" s="76"/>
      <c r="R323" s="77"/>
      <c r="S323" s="76"/>
      <c r="T323" s="77"/>
      <c r="U323" s="76"/>
      <c r="V323" s="77"/>
      <c r="W323" s="76"/>
      <c r="X323" s="77"/>
      <c r="Y323" s="76"/>
      <c r="Z323" s="76"/>
      <c r="AA323" s="76"/>
      <c r="AB323" s="76"/>
      <c r="AC323" s="76"/>
      <c r="AD323" s="76"/>
      <c r="AE323" s="76"/>
      <c r="AF323" s="76"/>
      <c r="AG323" s="76"/>
      <c r="AH323" s="76"/>
      <c r="AI323" s="76"/>
      <c r="AJ323" s="76"/>
      <c r="AK323" s="76"/>
      <c r="AL323" s="77"/>
      <c r="AM323" s="76"/>
      <c r="AN323" s="76"/>
    </row>
    <row r="324" spans="1:40" ht="15">
      <c r="A324" s="83" t="e">
        <f>IF(#REF!&lt;&gt;#REF!,1,A323+1)</f>
        <v>#REF!</v>
      </c>
      <c r="O324" s="79"/>
      <c r="P324" s="79"/>
      <c r="Q324" s="76"/>
      <c r="R324" s="77"/>
      <c r="S324" s="76"/>
      <c r="T324" s="77"/>
      <c r="U324" s="76"/>
      <c r="V324" s="77"/>
      <c r="W324" s="76"/>
      <c r="X324" s="77"/>
      <c r="Y324" s="76"/>
      <c r="Z324" s="76"/>
      <c r="AA324" s="76"/>
      <c r="AB324" s="76"/>
      <c r="AC324" s="76"/>
      <c r="AD324" s="76"/>
      <c r="AE324" s="76"/>
      <c r="AF324" s="76"/>
      <c r="AG324" s="76"/>
      <c r="AH324" s="76"/>
      <c r="AI324" s="76"/>
      <c r="AJ324" s="76"/>
      <c r="AK324" s="76"/>
      <c r="AL324" s="77"/>
      <c r="AM324" s="76"/>
      <c r="AN324" s="76"/>
    </row>
    <row r="325" spans="1:40" ht="15">
      <c r="A325" s="83" t="e">
        <f>IF(#REF!&lt;&gt;#REF!,1,A324+1)</f>
        <v>#REF!</v>
      </c>
      <c r="O325" s="79"/>
      <c r="P325" s="79"/>
      <c r="Q325" s="76"/>
      <c r="R325" s="77"/>
      <c r="S325" s="76"/>
      <c r="T325" s="77"/>
      <c r="U325" s="76"/>
      <c r="V325" s="77"/>
      <c r="W325" s="76"/>
      <c r="X325" s="77"/>
      <c r="Y325" s="76"/>
      <c r="Z325" s="76"/>
      <c r="AA325" s="76"/>
      <c r="AB325" s="76"/>
      <c r="AC325" s="76"/>
      <c r="AD325" s="76"/>
      <c r="AE325" s="76"/>
      <c r="AF325" s="76"/>
      <c r="AG325" s="76"/>
      <c r="AH325" s="76"/>
      <c r="AI325" s="76"/>
      <c r="AJ325" s="76"/>
      <c r="AK325" s="76"/>
      <c r="AL325" s="77"/>
      <c r="AM325" s="76"/>
      <c r="AN325" s="76"/>
    </row>
    <row r="326" spans="1:40" ht="15">
      <c r="A326" s="83" t="e">
        <f>IF(#REF!&lt;&gt;#REF!,1,A325+1)</f>
        <v>#REF!</v>
      </c>
      <c r="O326" s="79"/>
      <c r="P326" s="79"/>
      <c r="Q326" s="76"/>
      <c r="R326" s="77"/>
      <c r="S326" s="76"/>
      <c r="T326" s="77"/>
      <c r="U326" s="76"/>
      <c r="V326" s="77"/>
      <c r="W326" s="76"/>
      <c r="X326" s="77"/>
      <c r="Y326" s="76"/>
      <c r="Z326" s="76"/>
      <c r="AA326" s="76"/>
      <c r="AB326" s="76"/>
      <c r="AC326" s="76"/>
      <c r="AD326" s="76"/>
      <c r="AE326" s="76"/>
      <c r="AF326" s="76"/>
      <c r="AG326" s="76"/>
      <c r="AH326" s="76"/>
      <c r="AI326" s="76"/>
      <c r="AJ326" s="76"/>
      <c r="AK326" s="76"/>
      <c r="AL326" s="77"/>
      <c r="AM326" s="76"/>
      <c r="AN326" s="76"/>
    </row>
    <row r="327" spans="1:40" ht="15">
      <c r="A327" s="83" t="e">
        <f>IF(#REF!&lt;&gt;#REF!,1,A326+1)</f>
        <v>#REF!</v>
      </c>
      <c r="O327" s="79"/>
      <c r="P327" s="79"/>
      <c r="Q327" s="76"/>
      <c r="R327" s="77"/>
      <c r="S327" s="76"/>
      <c r="T327" s="77"/>
      <c r="U327" s="76"/>
      <c r="V327" s="77"/>
      <c r="W327" s="76"/>
      <c r="X327" s="77"/>
      <c r="Y327" s="76"/>
      <c r="Z327" s="76"/>
      <c r="AA327" s="76"/>
      <c r="AB327" s="76"/>
      <c r="AC327" s="76"/>
      <c r="AD327" s="76"/>
      <c r="AE327" s="76"/>
      <c r="AF327" s="76"/>
      <c r="AG327" s="76"/>
      <c r="AH327" s="76"/>
      <c r="AI327" s="76"/>
      <c r="AJ327" s="76"/>
      <c r="AK327" s="76"/>
      <c r="AL327" s="77"/>
      <c r="AM327" s="76"/>
      <c r="AN327" s="76"/>
    </row>
    <row r="328" spans="1:40" ht="15">
      <c r="A328" s="83" t="e">
        <f>IF(#REF!&lt;&gt;#REF!,1,A327+1)</f>
        <v>#REF!</v>
      </c>
      <c r="O328" s="79"/>
      <c r="P328" s="79"/>
      <c r="Q328" s="76"/>
      <c r="R328" s="77"/>
      <c r="S328" s="76"/>
      <c r="T328" s="77"/>
      <c r="U328" s="76"/>
      <c r="V328" s="77"/>
      <c r="W328" s="76"/>
      <c r="X328" s="77"/>
      <c r="Y328" s="76"/>
      <c r="Z328" s="76"/>
      <c r="AA328" s="76"/>
      <c r="AB328" s="76"/>
      <c r="AC328" s="76"/>
      <c r="AD328" s="76"/>
      <c r="AE328" s="76"/>
      <c r="AF328" s="76"/>
      <c r="AG328" s="76"/>
      <c r="AH328" s="76"/>
      <c r="AI328" s="76"/>
      <c r="AJ328" s="76"/>
      <c r="AK328" s="76"/>
      <c r="AL328" s="77"/>
      <c r="AM328" s="76"/>
      <c r="AN328" s="76"/>
    </row>
    <row r="329" spans="1:40" ht="15">
      <c r="A329" s="83" t="e">
        <f>IF(#REF!&lt;&gt;#REF!,1,A328+1)</f>
        <v>#REF!</v>
      </c>
      <c r="O329" s="79"/>
      <c r="P329" s="79"/>
      <c r="Q329" s="76"/>
      <c r="R329" s="77"/>
      <c r="S329" s="76"/>
      <c r="T329" s="77"/>
      <c r="U329" s="76"/>
      <c r="V329" s="77"/>
      <c r="W329" s="76"/>
      <c r="X329" s="77"/>
      <c r="Y329" s="76"/>
      <c r="Z329" s="76"/>
      <c r="AA329" s="76"/>
      <c r="AB329" s="76"/>
      <c r="AC329" s="76"/>
      <c r="AD329" s="76"/>
      <c r="AE329" s="76"/>
      <c r="AF329" s="76"/>
      <c r="AG329" s="76"/>
      <c r="AH329" s="76"/>
      <c r="AI329" s="76"/>
      <c r="AJ329" s="76"/>
      <c r="AK329" s="76"/>
      <c r="AL329" s="77"/>
      <c r="AM329" s="76"/>
      <c r="AN329" s="76"/>
    </row>
    <row r="330" spans="1:40" ht="15">
      <c r="A330" s="83" t="e">
        <f>IF(#REF!&lt;&gt;#REF!,1,A329+1)</f>
        <v>#REF!</v>
      </c>
      <c r="O330" s="79"/>
      <c r="P330" s="79"/>
      <c r="Q330" s="76"/>
      <c r="R330" s="77"/>
      <c r="S330" s="76"/>
      <c r="T330" s="77"/>
      <c r="U330" s="76"/>
      <c r="V330" s="77"/>
      <c r="W330" s="76"/>
      <c r="X330" s="77"/>
      <c r="Y330" s="76"/>
      <c r="Z330" s="76"/>
      <c r="AA330" s="76"/>
      <c r="AB330" s="76"/>
      <c r="AC330" s="76"/>
      <c r="AD330" s="76"/>
      <c r="AE330" s="76"/>
      <c r="AF330" s="76"/>
      <c r="AG330" s="76"/>
      <c r="AH330" s="76"/>
      <c r="AI330" s="76"/>
      <c r="AJ330" s="76"/>
      <c r="AK330" s="76"/>
      <c r="AL330" s="77"/>
      <c r="AM330" s="76"/>
      <c r="AN330" s="76"/>
    </row>
    <row r="331" spans="1:40" ht="15">
      <c r="A331" s="83" t="e">
        <f>IF(#REF!&lt;&gt;#REF!,1,A330+1)</f>
        <v>#REF!</v>
      </c>
      <c r="O331" s="79"/>
      <c r="P331" s="79"/>
      <c r="Q331" s="76"/>
      <c r="R331" s="77"/>
      <c r="S331" s="76"/>
      <c r="T331" s="77"/>
      <c r="U331" s="76"/>
      <c r="V331" s="77"/>
      <c r="W331" s="76"/>
      <c r="X331" s="77"/>
      <c r="Y331" s="76"/>
      <c r="Z331" s="76"/>
      <c r="AA331" s="76"/>
      <c r="AB331" s="76"/>
      <c r="AC331" s="76"/>
      <c r="AD331" s="76"/>
      <c r="AE331" s="76"/>
      <c r="AF331" s="76"/>
      <c r="AG331" s="76"/>
      <c r="AH331" s="76"/>
      <c r="AI331" s="76"/>
      <c r="AJ331" s="76"/>
      <c r="AK331" s="76"/>
      <c r="AL331" s="77"/>
      <c r="AM331" s="76"/>
      <c r="AN331" s="76"/>
    </row>
    <row r="332" spans="1:40" ht="15">
      <c r="A332" s="83" t="e">
        <f>IF(#REF!&lt;&gt;#REF!,1,A331+1)</f>
        <v>#REF!</v>
      </c>
      <c r="O332" s="79"/>
      <c r="P332" s="79"/>
      <c r="Q332" s="76"/>
      <c r="R332" s="77"/>
      <c r="S332" s="76"/>
      <c r="T332" s="77"/>
      <c r="U332" s="76"/>
      <c r="V332" s="77"/>
      <c r="W332" s="76"/>
      <c r="X332" s="77"/>
      <c r="Y332" s="76"/>
      <c r="Z332" s="76"/>
      <c r="AA332" s="76"/>
      <c r="AB332" s="76"/>
      <c r="AC332" s="76"/>
      <c r="AD332" s="76"/>
      <c r="AE332" s="76"/>
      <c r="AF332" s="76"/>
      <c r="AG332" s="76"/>
      <c r="AH332" s="76"/>
      <c r="AI332" s="76"/>
      <c r="AJ332" s="76"/>
      <c r="AK332" s="76"/>
      <c r="AL332" s="77"/>
      <c r="AM332" s="76"/>
      <c r="AN332" s="76"/>
    </row>
    <row r="333" spans="1:40" ht="15">
      <c r="A333" s="83" t="e">
        <f>IF(#REF!&lt;&gt;#REF!,1,A332+1)</f>
        <v>#REF!</v>
      </c>
      <c r="O333" s="79"/>
      <c r="P333" s="79"/>
      <c r="Q333" s="76"/>
      <c r="R333" s="77"/>
      <c r="S333" s="76"/>
      <c r="T333" s="77"/>
      <c r="U333" s="76"/>
      <c r="V333" s="77"/>
      <c r="W333" s="76"/>
      <c r="X333" s="77"/>
      <c r="Y333" s="76"/>
      <c r="Z333" s="76"/>
      <c r="AA333" s="76"/>
      <c r="AB333" s="76"/>
      <c r="AC333" s="76"/>
      <c r="AD333" s="76"/>
      <c r="AE333" s="76"/>
      <c r="AF333" s="76"/>
      <c r="AG333" s="76"/>
      <c r="AH333" s="76"/>
      <c r="AI333" s="76"/>
      <c r="AJ333" s="76"/>
      <c r="AK333" s="76"/>
      <c r="AL333" s="77"/>
      <c r="AM333" s="76"/>
      <c r="AN333" s="76"/>
    </row>
    <row r="334" spans="1:40" ht="15">
      <c r="A334" s="83" t="e">
        <f>IF(#REF!&lt;&gt;#REF!,1,A333+1)</f>
        <v>#REF!</v>
      </c>
      <c r="O334" s="79"/>
      <c r="P334" s="79"/>
      <c r="Q334" s="76"/>
      <c r="R334" s="77"/>
      <c r="S334" s="76"/>
      <c r="T334" s="77"/>
      <c r="U334" s="76"/>
      <c r="V334" s="77"/>
      <c r="W334" s="76"/>
      <c r="X334" s="77"/>
      <c r="Y334" s="76"/>
      <c r="Z334" s="76"/>
      <c r="AA334" s="76"/>
      <c r="AB334" s="76"/>
      <c r="AC334" s="76"/>
      <c r="AD334" s="76"/>
      <c r="AE334" s="76"/>
      <c r="AF334" s="76"/>
      <c r="AG334" s="76"/>
      <c r="AH334" s="76"/>
      <c r="AI334" s="76"/>
      <c r="AJ334" s="76"/>
      <c r="AK334" s="76"/>
      <c r="AL334" s="77"/>
      <c r="AM334" s="76"/>
      <c r="AN334" s="76"/>
    </row>
    <row r="335" spans="1:40" ht="15">
      <c r="A335" s="83" t="e">
        <f>IF(#REF!&lt;&gt;#REF!,1,A334+1)</f>
        <v>#REF!</v>
      </c>
      <c r="O335" s="79"/>
      <c r="P335" s="79"/>
      <c r="Q335" s="76"/>
      <c r="R335" s="77"/>
      <c r="S335" s="76"/>
      <c r="T335" s="77"/>
      <c r="U335" s="76"/>
      <c r="V335" s="77"/>
      <c r="W335" s="76"/>
      <c r="X335" s="77"/>
      <c r="Y335" s="76"/>
      <c r="Z335" s="76"/>
      <c r="AA335" s="76"/>
      <c r="AB335" s="76"/>
      <c r="AC335" s="76"/>
      <c r="AD335" s="76"/>
      <c r="AE335" s="76"/>
      <c r="AF335" s="76"/>
      <c r="AG335" s="76"/>
      <c r="AH335" s="76"/>
      <c r="AI335" s="76"/>
      <c r="AJ335" s="76"/>
      <c r="AK335" s="76"/>
      <c r="AL335" s="77"/>
      <c r="AM335" s="76"/>
      <c r="AN335" s="76"/>
    </row>
    <row r="336" spans="1:40" ht="15">
      <c r="A336" s="83" t="e">
        <f>IF(#REF!&lt;&gt;#REF!,1,A335+1)</f>
        <v>#REF!</v>
      </c>
      <c r="O336" s="79"/>
      <c r="P336" s="79"/>
      <c r="Q336" s="76"/>
      <c r="R336" s="77"/>
      <c r="S336" s="76"/>
      <c r="T336" s="77"/>
      <c r="U336" s="76"/>
      <c r="V336" s="77"/>
      <c r="W336" s="76"/>
      <c r="X336" s="77"/>
      <c r="Y336" s="76"/>
      <c r="Z336" s="76"/>
      <c r="AA336" s="76"/>
      <c r="AB336" s="76"/>
      <c r="AC336" s="76"/>
      <c r="AD336" s="76"/>
      <c r="AE336" s="76"/>
      <c r="AF336" s="76"/>
      <c r="AG336" s="76"/>
      <c r="AH336" s="76"/>
      <c r="AI336" s="76"/>
      <c r="AJ336" s="76"/>
      <c r="AK336" s="76"/>
      <c r="AL336" s="77"/>
      <c r="AM336" s="76"/>
      <c r="AN336" s="76"/>
    </row>
    <row r="337" spans="1:40" ht="15">
      <c r="A337" s="83" t="e">
        <f>IF(#REF!&lt;&gt;#REF!,1,A336+1)</f>
        <v>#REF!</v>
      </c>
      <c r="O337" s="79"/>
      <c r="P337" s="79"/>
      <c r="Q337" s="76"/>
      <c r="R337" s="77"/>
      <c r="S337" s="76"/>
      <c r="T337" s="77"/>
      <c r="U337" s="76"/>
      <c r="V337" s="77"/>
      <c r="W337" s="76"/>
      <c r="X337" s="77"/>
      <c r="Y337" s="76"/>
      <c r="Z337" s="76"/>
      <c r="AA337" s="76"/>
      <c r="AB337" s="76"/>
      <c r="AC337" s="76"/>
      <c r="AD337" s="76"/>
      <c r="AE337" s="76"/>
      <c r="AF337" s="76"/>
      <c r="AG337" s="76"/>
      <c r="AH337" s="76"/>
      <c r="AI337" s="76"/>
      <c r="AJ337" s="76"/>
      <c r="AK337" s="76"/>
      <c r="AL337" s="77"/>
      <c r="AM337" s="76"/>
      <c r="AN337" s="76"/>
    </row>
    <row r="338" spans="1:40" ht="15">
      <c r="A338" s="83" t="e">
        <f>IF(#REF!&lt;&gt;#REF!,1,A337+1)</f>
        <v>#REF!</v>
      </c>
      <c r="O338" s="79"/>
      <c r="P338" s="79"/>
      <c r="Q338" s="76"/>
      <c r="R338" s="77"/>
      <c r="S338" s="76"/>
      <c r="T338" s="77"/>
      <c r="U338" s="76"/>
      <c r="V338" s="77"/>
      <c r="W338" s="76"/>
      <c r="X338" s="77"/>
      <c r="Y338" s="76"/>
      <c r="Z338" s="76"/>
      <c r="AA338" s="76"/>
      <c r="AB338" s="76"/>
      <c r="AC338" s="76"/>
      <c r="AD338" s="76"/>
      <c r="AE338" s="76"/>
      <c r="AF338" s="76"/>
      <c r="AG338" s="76"/>
      <c r="AH338" s="76"/>
      <c r="AI338" s="76"/>
      <c r="AJ338" s="76"/>
      <c r="AK338" s="76"/>
      <c r="AL338" s="77"/>
      <c r="AM338" s="76"/>
      <c r="AN338" s="76"/>
    </row>
    <row r="339" spans="1:40" ht="15">
      <c r="A339" s="83" t="e">
        <f>IF(#REF!&lt;&gt;#REF!,1,A338+1)</f>
        <v>#REF!</v>
      </c>
      <c r="O339" s="79"/>
      <c r="P339" s="79"/>
      <c r="Q339" s="76"/>
      <c r="R339" s="77"/>
      <c r="S339" s="76"/>
      <c r="T339" s="77"/>
      <c r="U339" s="76"/>
      <c r="V339" s="77"/>
      <c r="W339" s="76"/>
      <c r="X339" s="77"/>
      <c r="Y339" s="76"/>
      <c r="Z339" s="76"/>
      <c r="AA339" s="76"/>
      <c r="AB339" s="76"/>
      <c r="AC339" s="76"/>
      <c r="AD339" s="76"/>
      <c r="AE339" s="76"/>
      <c r="AF339" s="76"/>
      <c r="AG339" s="76"/>
      <c r="AH339" s="76"/>
      <c r="AI339" s="76"/>
      <c r="AJ339" s="76"/>
      <c r="AK339" s="76"/>
      <c r="AL339" s="77"/>
      <c r="AM339" s="76"/>
      <c r="AN339" s="76"/>
    </row>
    <row r="340" spans="1:40" ht="15">
      <c r="A340" s="83" t="e">
        <f>IF(#REF!&lt;&gt;#REF!,1,A339+1)</f>
        <v>#REF!</v>
      </c>
      <c r="O340" s="79"/>
      <c r="P340" s="79"/>
      <c r="Q340" s="76"/>
      <c r="R340" s="77"/>
      <c r="S340" s="76"/>
      <c r="T340" s="77"/>
      <c r="U340" s="76"/>
      <c r="V340" s="77"/>
      <c r="W340" s="76"/>
      <c r="X340" s="77"/>
      <c r="Y340" s="76"/>
      <c r="Z340" s="76"/>
      <c r="AA340" s="76"/>
      <c r="AB340" s="76"/>
      <c r="AC340" s="76"/>
      <c r="AD340" s="76"/>
      <c r="AE340" s="76"/>
      <c r="AF340" s="76"/>
      <c r="AG340" s="76"/>
      <c r="AH340" s="76"/>
      <c r="AI340" s="76"/>
      <c r="AJ340" s="76"/>
      <c r="AK340" s="76"/>
      <c r="AL340" s="77"/>
      <c r="AM340" s="76"/>
      <c r="AN340" s="76"/>
    </row>
    <row r="341" spans="1:40" ht="15">
      <c r="A341" s="83" t="e">
        <f>IF(#REF!&lt;&gt;#REF!,1,A340+1)</f>
        <v>#REF!</v>
      </c>
      <c r="O341" s="79"/>
      <c r="P341" s="79"/>
      <c r="Q341" s="76"/>
      <c r="R341" s="77"/>
      <c r="S341" s="76"/>
      <c r="T341" s="77"/>
      <c r="U341" s="76"/>
      <c r="V341" s="77"/>
      <c r="W341" s="76"/>
      <c r="X341" s="77"/>
      <c r="Y341" s="76"/>
      <c r="Z341" s="76"/>
      <c r="AA341" s="76"/>
      <c r="AB341" s="76"/>
      <c r="AC341" s="76"/>
      <c r="AD341" s="76"/>
      <c r="AE341" s="76"/>
      <c r="AF341" s="76"/>
      <c r="AG341" s="76"/>
      <c r="AH341" s="76"/>
      <c r="AI341" s="76"/>
      <c r="AJ341" s="76"/>
      <c r="AK341" s="76"/>
      <c r="AL341" s="77"/>
      <c r="AM341" s="76"/>
      <c r="AN341" s="76"/>
    </row>
    <row r="342" spans="1:40" ht="15">
      <c r="A342" s="83" t="e">
        <f>IF(#REF!&lt;&gt;#REF!,1,A341+1)</f>
        <v>#REF!</v>
      </c>
      <c r="O342" s="79"/>
      <c r="P342" s="79"/>
      <c r="Q342" s="76"/>
      <c r="R342" s="77"/>
      <c r="S342" s="76"/>
      <c r="T342" s="77"/>
      <c r="U342" s="76"/>
      <c r="V342" s="77"/>
      <c r="W342" s="76"/>
      <c r="X342" s="77"/>
      <c r="Y342" s="76"/>
      <c r="Z342" s="76"/>
      <c r="AA342" s="76"/>
      <c r="AB342" s="76"/>
      <c r="AC342" s="76"/>
      <c r="AD342" s="76"/>
      <c r="AE342" s="76"/>
      <c r="AF342" s="76"/>
      <c r="AG342" s="76"/>
      <c r="AH342" s="76"/>
      <c r="AI342" s="76"/>
      <c r="AJ342" s="76"/>
      <c r="AK342" s="76"/>
      <c r="AL342" s="77"/>
      <c r="AM342" s="76"/>
      <c r="AN342" s="76"/>
    </row>
    <row r="343" spans="1:40" ht="15">
      <c r="A343" s="83" t="e">
        <f>IF(#REF!&lt;&gt;#REF!,1,A342+1)</f>
        <v>#REF!</v>
      </c>
      <c r="O343" s="79"/>
      <c r="P343" s="79"/>
      <c r="Q343" s="76"/>
      <c r="R343" s="77"/>
      <c r="S343" s="76"/>
      <c r="T343" s="77"/>
      <c r="U343" s="76"/>
      <c r="V343" s="77"/>
      <c r="W343" s="76"/>
      <c r="X343" s="77"/>
      <c r="Y343" s="76"/>
      <c r="Z343" s="76"/>
      <c r="AA343" s="76"/>
      <c r="AB343" s="76"/>
      <c r="AC343" s="76"/>
      <c r="AD343" s="76"/>
      <c r="AE343" s="76"/>
      <c r="AF343" s="76"/>
      <c r="AG343" s="76"/>
      <c r="AH343" s="76"/>
      <c r="AI343" s="76"/>
      <c r="AJ343" s="76"/>
      <c r="AK343" s="76"/>
      <c r="AL343" s="77"/>
      <c r="AM343" s="76"/>
      <c r="AN343" s="76"/>
    </row>
    <row r="344" spans="1:40" ht="15">
      <c r="A344" s="83" t="e">
        <f>IF(#REF!&lt;&gt;#REF!,1,A343+1)</f>
        <v>#REF!</v>
      </c>
      <c r="O344" s="79"/>
      <c r="P344" s="79"/>
      <c r="Q344" s="76"/>
      <c r="R344" s="77"/>
      <c r="S344" s="76"/>
      <c r="T344" s="77"/>
      <c r="U344" s="76"/>
      <c r="V344" s="77"/>
      <c r="W344" s="76"/>
      <c r="X344" s="77"/>
      <c r="Y344" s="76"/>
      <c r="Z344" s="76"/>
      <c r="AA344" s="76"/>
      <c r="AB344" s="76"/>
      <c r="AC344" s="76"/>
      <c r="AD344" s="76"/>
      <c r="AE344" s="76"/>
      <c r="AF344" s="76"/>
      <c r="AG344" s="76"/>
      <c r="AH344" s="76"/>
      <c r="AI344" s="76"/>
      <c r="AJ344" s="76"/>
      <c r="AK344" s="76"/>
      <c r="AL344" s="77"/>
      <c r="AM344" s="76"/>
      <c r="AN344" s="76"/>
    </row>
    <row r="345" spans="1:40" ht="15">
      <c r="A345" s="83" t="e">
        <f>IF(#REF!&lt;&gt;#REF!,1,A344+1)</f>
        <v>#REF!</v>
      </c>
      <c r="O345" s="79"/>
      <c r="P345" s="79"/>
      <c r="Q345" s="76"/>
      <c r="R345" s="77"/>
      <c r="S345" s="76"/>
      <c r="T345" s="77"/>
      <c r="U345" s="76"/>
      <c r="V345" s="77"/>
      <c r="W345" s="76"/>
      <c r="X345" s="77"/>
      <c r="Y345" s="76"/>
      <c r="Z345" s="76"/>
      <c r="AA345" s="76"/>
      <c r="AB345" s="76"/>
      <c r="AC345" s="76"/>
      <c r="AD345" s="76"/>
      <c r="AE345" s="76"/>
      <c r="AF345" s="76"/>
      <c r="AG345" s="76"/>
      <c r="AH345" s="76"/>
      <c r="AI345" s="76"/>
      <c r="AJ345" s="76"/>
      <c r="AK345" s="76"/>
      <c r="AL345" s="77"/>
      <c r="AM345" s="76"/>
      <c r="AN345" s="76"/>
    </row>
    <row r="346" spans="1:40" ht="15">
      <c r="A346" s="83" t="e">
        <f>IF(#REF!&lt;&gt;#REF!,1,A345+1)</f>
        <v>#REF!</v>
      </c>
      <c r="O346" s="79"/>
      <c r="P346" s="79"/>
      <c r="Q346" s="76"/>
      <c r="R346" s="77"/>
      <c r="S346" s="76"/>
      <c r="T346" s="77"/>
      <c r="U346" s="76"/>
      <c r="V346" s="77"/>
      <c r="W346" s="76"/>
      <c r="X346" s="77"/>
      <c r="Y346" s="76"/>
      <c r="Z346" s="76"/>
      <c r="AA346" s="76"/>
      <c r="AB346" s="76"/>
      <c r="AC346" s="76"/>
      <c r="AD346" s="76"/>
      <c r="AE346" s="76"/>
      <c r="AF346" s="76"/>
      <c r="AG346" s="76"/>
      <c r="AH346" s="76"/>
      <c r="AI346" s="76"/>
      <c r="AJ346" s="76"/>
      <c r="AK346" s="76"/>
      <c r="AL346" s="77"/>
      <c r="AM346" s="76"/>
      <c r="AN346" s="76"/>
    </row>
    <row r="347" spans="1:40" ht="15">
      <c r="A347" s="83" t="e">
        <f>IF(#REF!&lt;&gt;#REF!,1,A346+1)</f>
        <v>#REF!</v>
      </c>
      <c r="O347" s="79"/>
      <c r="P347" s="79"/>
      <c r="Q347" s="76"/>
      <c r="R347" s="77"/>
      <c r="S347" s="76"/>
      <c r="T347" s="77"/>
      <c r="U347" s="76"/>
      <c r="V347" s="77"/>
      <c r="W347" s="76"/>
      <c r="X347" s="77"/>
      <c r="Y347" s="76"/>
      <c r="Z347" s="76"/>
      <c r="AA347" s="76"/>
      <c r="AB347" s="76"/>
      <c r="AC347" s="76"/>
      <c r="AD347" s="76"/>
      <c r="AE347" s="76"/>
      <c r="AF347" s="76"/>
      <c r="AG347" s="76"/>
      <c r="AH347" s="76"/>
      <c r="AI347" s="76"/>
      <c r="AJ347" s="76"/>
      <c r="AK347" s="76"/>
      <c r="AL347" s="77"/>
      <c r="AM347" s="76"/>
      <c r="AN347" s="76"/>
    </row>
    <row r="348" spans="1:40" ht="15">
      <c r="A348" s="83" t="e">
        <f>IF(#REF!&lt;&gt;#REF!,1,A347+1)</f>
        <v>#REF!</v>
      </c>
      <c r="O348" s="79"/>
      <c r="P348" s="79"/>
      <c r="Q348" s="76"/>
      <c r="R348" s="77"/>
      <c r="S348" s="76"/>
      <c r="T348" s="77"/>
      <c r="U348" s="76"/>
      <c r="V348" s="77"/>
      <c r="W348" s="76"/>
      <c r="X348" s="77"/>
      <c r="Y348" s="76"/>
      <c r="Z348" s="76"/>
      <c r="AA348" s="76"/>
      <c r="AB348" s="76"/>
      <c r="AC348" s="76"/>
      <c r="AD348" s="76"/>
      <c r="AE348" s="76"/>
      <c r="AF348" s="76"/>
      <c r="AG348" s="76"/>
      <c r="AH348" s="76"/>
      <c r="AI348" s="76"/>
      <c r="AJ348" s="76"/>
      <c r="AK348" s="76"/>
      <c r="AL348" s="77"/>
      <c r="AM348" s="76"/>
      <c r="AN348" s="76"/>
    </row>
    <row r="349" spans="1:40" ht="15">
      <c r="A349" s="83" t="e">
        <f>IF(#REF!&lt;&gt;#REF!,1,A348+1)</f>
        <v>#REF!</v>
      </c>
      <c r="O349" s="79"/>
      <c r="P349" s="79"/>
      <c r="Q349" s="76"/>
      <c r="R349" s="77"/>
      <c r="S349" s="76"/>
      <c r="T349" s="77"/>
      <c r="U349" s="76"/>
      <c r="V349" s="77"/>
      <c r="W349" s="76"/>
      <c r="X349" s="77"/>
      <c r="Y349" s="76"/>
      <c r="Z349" s="76"/>
      <c r="AA349" s="76"/>
      <c r="AB349" s="76"/>
      <c r="AC349" s="76"/>
      <c r="AD349" s="76"/>
      <c r="AE349" s="76"/>
      <c r="AF349" s="76"/>
      <c r="AG349" s="76"/>
      <c r="AH349" s="76"/>
      <c r="AI349" s="76"/>
      <c r="AJ349" s="76"/>
      <c r="AK349" s="76"/>
      <c r="AL349" s="77"/>
      <c r="AM349" s="76"/>
      <c r="AN349" s="76"/>
    </row>
    <row r="350" spans="1:40" ht="15">
      <c r="A350" s="83" t="e">
        <f>IF(#REF!&lt;&gt;#REF!,1,A349+1)</f>
        <v>#REF!</v>
      </c>
      <c r="O350" s="79"/>
      <c r="P350" s="79"/>
      <c r="Q350" s="76"/>
      <c r="R350" s="77"/>
      <c r="S350" s="76"/>
      <c r="T350" s="77"/>
      <c r="U350" s="76"/>
      <c r="V350" s="77"/>
      <c r="W350" s="76"/>
      <c r="X350" s="77"/>
      <c r="Y350" s="76"/>
      <c r="Z350" s="76"/>
      <c r="AA350" s="76"/>
      <c r="AB350" s="76"/>
      <c r="AC350" s="76"/>
      <c r="AD350" s="76"/>
      <c r="AE350" s="76"/>
      <c r="AF350" s="76"/>
      <c r="AG350" s="76"/>
      <c r="AH350" s="76"/>
      <c r="AI350" s="76"/>
      <c r="AJ350" s="76"/>
      <c r="AK350" s="76"/>
      <c r="AL350" s="77"/>
      <c r="AM350" s="76"/>
      <c r="AN350" s="76"/>
    </row>
    <row r="351" spans="1:40" ht="15">
      <c r="A351" s="83" t="e">
        <f>IF(#REF!&lt;&gt;#REF!,1,A350+1)</f>
        <v>#REF!</v>
      </c>
      <c r="O351" s="79"/>
      <c r="P351" s="79"/>
      <c r="Q351" s="76"/>
      <c r="R351" s="77"/>
      <c r="S351" s="76"/>
      <c r="T351" s="77"/>
      <c r="U351" s="76"/>
      <c r="V351" s="77"/>
      <c r="W351" s="76"/>
      <c r="X351" s="77"/>
      <c r="Y351" s="76"/>
      <c r="Z351" s="76"/>
      <c r="AA351" s="76"/>
      <c r="AB351" s="76"/>
      <c r="AC351" s="76"/>
      <c r="AD351" s="76"/>
      <c r="AE351" s="76"/>
      <c r="AF351" s="76"/>
      <c r="AG351" s="76"/>
      <c r="AH351" s="76"/>
      <c r="AI351" s="76"/>
      <c r="AJ351" s="76"/>
      <c r="AK351" s="76"/>
      <c r="AL351" s="77"/>
      <c r="AM351" s="76"/>
      <c r="AN351" s="76"/>
    </row>
    <row r="352" spans="1:40" ht="15">
      <c r="A352" s="83" t="e">
        <f>IF(#REF!&lt;&gt;#REF!,1,A351+1)</f>
        <v>#REF!</v>
      </c>
      <c r="O352" s="79"/>
      <c r="P352" s="79"/>
      <c r="Q352" s="76"/>
      <c r="R352" s="77"/>
      <c r="S352" s="76"/>
      <c r="T352" s="77"/>
      <c r="U352" s="76"/>
      <c r="V352" s="77"/>
      <c r="W352" s="76"/>
      <c r="X352" s="77"/>
      <c r="Y352" s="76"/>
      <c r="Z352" s="76"/>
      <c r="AA352" s="76"/>
      <c r="AB352" s="76"/>
      <c r="AC352" s="76"/>
      <c r="AD352" s="76"/>
      <c r="AE352" s="76"/>
      <c r="AF352" s="76"/>
      <c r="AG352" s="76"/>
      <c r="AH352" s="76"/>
      <c r="AI352" s="76"/>
      <c r="AJ352" s="76"/>
      <c r="AK352" s="76"/>
      <c r="AL352" s="77"/>
      <c r="AM352" s="76"/>
      <c r="AN352" s="76"/>
    </row>
    <row r="353" spans="1:40" ht="15">
      <c r="A353" s="83" t="e">
        <f>IF(#REF!&lt;&gt;#REF!,1,A352+1)</f>
        <v>#REF!</v>
      </c>
      <c r="O353" s="79"/>
      <c r="P353" s="79"/>
      <c r="Q353" s="76"/>
      <c r="R353" s="77"/>
      <c r="S353" s="76"/>
      <c r="T353" s="77"/>
      <c r="U353" s="76"/>
      <c r="V353" s="77"/>
      <c r="W353" s="76"/>
      <c r="X353" s="77"/>
      <c r="Y353" s="76"/>
      <c r="Z353" s="76"/>
      <c r="AA353" s="76"/>
      <c r="AB353" s="76"/>
      <c r="AC353" s="76"/>
      <c r="AD353" s="76"/>
      <c r="AE353" s="76"/>
      <c r="AF353" s="76"/>
      <c r="AG353" s="76"/>
      <c r="AH353" s="76"/>
      <c r="AI353" s="76"/>
      <c r="AJ353" s="76"/>
      <c r="AK353" s="76"/>
      <c r="AL353" s="77"/>
      <c r="AM353" s="76"/>
      <c r="AN353" s="76"/>
    </row>
    <row r="354" spans="1:40" ht="15">
      <c r="A354" s="83" t="e">
        <f>IF(#REF!&lt;&gt;#REF!,1,A353+1)</f>
        <v>#REF!</v>
      </c>
      <c r="O354" s="79"/>
      <c r="P354" s="79"/>
      <c r="Q354" s="76"/>
      <c r="R354" s="77"/>
      <c r="S354" s="76"/>
      <c r="T354" s="77"/>
      <c r="U354" s="76"/>
      <c r="V354" s="77"/>
      <c r="W354" s="76"/>
      <c r="X354" s="77"/>
      <c r="Y354" s="76"/>
      <c r="Z354" s="76"/>
      <c r="AA354" s="76"/>
      <c r="AB354" s="76"/>
      <c r="AC354" s="76"/>
      <c r="AD354" s="76"/>
      <c r="AE354" s="76"/>
      <c r="AF354" s="76"/>
      <c r="AG354" s="76"/>
      <c r="AH354" s="76"/>
      <c r="AI354" s="76"/>
      <c r="AJ354" s="76"/>
      <c r="AK354" s="76"/>
      <c r="AL354" s="77"/>
      <c r="AM354" s="76"/>
      <c r="AN354" s="76"/>
    </row>
    <row r="355" spans="1:40" ht="15">
      <c r="A355" s="83" t="e">
        <f>IF(#REF!&lt;&gt;#REF!,1,A354+1)</f>
        <v>#REF!</v>
      </c>
      <c r="O355" s="79"/>
      <c r="P355" s="79"/>
      <c r="Q355" s="76"/>
      <c r="R355" s="77"/>
      <c r="S355" s="76"/>
      <c r="T355" s="77"/>
      <c r="U355" s="76"/>
      <c r="V355" s="77"/>
      <c r="W355" s="76"/>
      <c r="X355" s="77"/>
      <c r="Y355" s="76"/>
      <c r="Z355" s="76"/>
      <c r="AA355" s="76"/>
      <c r="AB355" s="76"/>
      <c r="AC355" s="76"/>
      <c r="AD355" s="76"/>
      <c r="AE355" s="76"/>
      <c r="AF355" s="76"/>
      <c r="AG355" s="76"/>
      <c r="AH355" s="76"/>
      <c r="AI355" s="76"/>
      <c r="AJ355" s="76"/>
      <c r="AK355" s="76"/>
      <c r="AL355" s="77"/>
      <c r="AM355" s="76"/>
      <c r="AN355" s="76"/>
    </row>
    <row r="356" spans="1:40" ht="15">
      <c r="A356" s="83" t="e">
        <f>IF(#REF!&lt;&gt;#REF!,1,A355+1)</f>
        <v>#REF!</v>
      </c>
      <c r="O356" s="79"/>
      <c r="P356" s="79"/>
      <c r="Q356" s="76"/>
      <c r="R356" s="77"/>
      <c r="S356" s="76"/>
      <c r="T356" s="77"/>
      <c r="U356" s="76"/>
      <c r="V356" s="77"/>
      <c r="W356" s="76"/>
      <c r="X356" s="77"/>
      <c r="Y356" s="76"/>
      <c r="Z356" s="76"/>
      <c r="AA356" s="76"/>
      <c r="AB356" s="76"/>
      <c r="AC356" s="76"/>
      <c r="AD356" s="76"/>
      <c r="AE356" s="76"/>
      <c r="AF356" s="76"/>
      <c r="AG356" s="76"/>
      <c r="AH356" s="76"/>
      <c r="AI356" s="76"/>
      <c r="AJ356" s="76"/>
      <c r="AK356" s="76"/>
      <c r="AL356" s="77"/>
      <c r="AM356" s="76"/>
      <c r="AN356" s="76"/>
    </row>
    <row r="357" spans="1:40" ht="15">
      <c r="A357" s="83" t="e">
        <f>IF(#REF!&lt;&gt;#REF!,1,A356+1)</f>
        <v>#REF!</v>
      </c>
      <c r="O357" s="79"/>
      <c r="P357" s="79"/>
      <c r="Q357" s="76"/>
      <c r="R357" s="77"/>
      <c r="S357" s="76"/>
      <c r="T357" s="77"/>
      <c r="U357" s="76"/>
      <c r="V357" s="77"/>
      <c r="W357" s="76"/>
      <c r="X357" s="77"/>
      <c r="Y357" s="76"/>
      <c r="Z357" s="76"/>
      <c r="AA357" s="76"/>
      <c r="AB357" s="76"/>
      <c r="AC357" s="76"/>
      <c r="AD357" s="76"/>
      <c r="AE357" s="76"/>
      <c r="AF357" s="76"/>
      <c r="AG357" s="76"/>
      <c r="AH357" s="76"/>
      <c r="AI357" s="76"/>
      <c r="AJ357" s="76"/>
      <c r="AK357" s="76"/>
      <c r="AL357" s="77"/>
      <c r="AM357" s="76"/>
      <c r="AN357" s="76"/>
    </row>
    <row r="358" spans="1:40" ht="15">
      <c r="A358" s="83" t="e">
        <f>IF(#REF!&lt;&gt;#REF!,1,A357+1)</f>
        <v>#REF!</v>
      </c>
      <c r="O358" s="79"/>
      <c r="P358" s="79"/>
      <c r="Q358" s="76"/>
      <c r="R358" s="77"/>
      <c r="S358" s="76"/>
      <c r="T358" s="77"/>
      <c r="U358" s="76"/>
      <c r="V358" s="77"/>
      <c r="W358" s="76"/>
      <c r="X358" s="77"/>
      <c r="Y358" s="76"/>
      <c r="Z358" s="76"/>
      <c r="AA358" s="76"/>
      <c r="AB358" s="76"/>
      <c r="AC358" s="76"/>
      <c r="AD358" s="76"/>
      <c r="AE358" s="76"/>
      <c r="AF358" s="76"/>
      <c r="AG358" s="76"/>
      <c r="AH358" s="76"/>
      <c r="AI358" s="76"/>
      <c r="AJ358" s="76"/>
      <c r="AK358" s="76"/>
      <c r="AL358" s="77"/>
      <c r="AM358" s="76"/>
      <c r="AN358" s="76"/>
    </row>
    <row r="359" spans="1:40" ht="15">
      <c r="A359" s="83" t="e">
        <f>IF(#REF!&lt;&gt;#REF!,1,A358+1)</f>
        <v>#REF!</v>
      </c>
      <c r="O359" s="79"/>
      <c r="P359" s="79"/>
      <c r="Q359" s="76"/>
      <c r="R359" s="77"/>
      <c r="S359" s="76"/>
      <c r="T359" s="77"/>
      <c r="U359" s="76"/>
      <c r="V359" s="77"/>
      <c r="W359" s="76"/>
      <c r="X359" s="77"/>
      <c r="Y359" s="76"/>
      <c r="Z359" s="76"/>
      <c r="AA359" s="76"/>
      <c r="AB359" s="76"/>
      <c r="AC359" s="76"/>
      <c r="AD359" s="76"/>
      <c r="AE359" s="76"/>
      <c r="AF359" s="76"/>
      <c r="AG359" s="76"/>
      <c r="AH359" s="76"/>
      <c r="AI359" s="76"/>
      <c r="AJ359" s="76"/>
      <c r="AK359" s="76"/>
      <c r="AL359" s="77"/>
      <c r="AM359" s="76"/>
      <c r="AN359" s="76"/>
    </row>
    <row r="360" spans="1:40" ht="15">
      <c r="A360" s="83" t="e">
        <f>IF(#REF!&lt;&gt;#REF!,1,A359+1)</f>
        <v>#REF!</v>
      </c>
      <c r="O360" s="79"/>
      <c r="P360" s="79"/>
      <c r="Q360" s="76"/>
      <c r="R360" s="77"/>
      <c r="S360" s="76"/>
      <c r="T360" s="77"/>
      <c r="U360" s="76"/>
      <c r="V360" s="77"/>
      <c r="W360" s="76"/>
      <c r="X360" s="77"/>
      <c r="Y360" s="76"/>
      <c r="Z360" s="76"/>
      <c r="AA360" s="76"/>
      <c r="AB360" s="76"/>
      <c r="AC360" s="76"/>
      <c r="AD360" s="76"/>
      <c r="AE360" s="76"/>
      <c r="AF360" s="76"/>
      <c r="AG360" s="76"/>
      <c r="AH360" s="76"/>
      <c r="AI360" s="76"/>
      <c r="AJ360" s="76"/>
      <c r="AK360" s="76"/>
      <c r="AL360" s="77"/>
      <c r="AM360" s="76"/>
      <c r="AN360" s="76"/>
    </row>
    <row r="361" spans="1:40" ht="15">
      <c r="A361" s="83" t="e">
        <f>IF(#REF!&lt;&gt;#REF!,1,A360+1)</f>
        <v>#REF!</v>
      </c>
      <c r="O361" s="79"/>
      <c r="P361" s="79"/>
      <c r="Q361" s="76"/>
      <c r="R361" s="77"/>
      <c r="S361" s="76"/>
      <c r="T361" s="77"/>
      <c r="U361" s="76"/>
      <c r="V361" s="77"/>
      <c r="W361" s="76"/>
      <c r="X361" s="77"/>
      <c r="Y361" s="76"/>
      <c r="Z361" s="76"/>
      <c r="AA361" s="76"/>
      <c r="AB361" s="76"/>
      <c r="AC361" s="76"/>
      <c r="AD361" s="76"/>
      <c r="AE361" s="76"/>
      <c r="AF361" s="76"/>
      <c r="AG361" s="76"/>
      <c r="AH361" s="76"/>
      <c r="AI361" s="76"/>
      <c r="AJ361" s="76"/>
      <c r="AK361" s="76"/>
      <c r="AL361" s="77"/>
      <c r="AM361" s="76"/>
      <c r="AN361" s="76"/>
    </row>
    <row r="362" spans="1:40" ht="15">
      <c r="A362" s="83" t="e">
        <f>IF(#REF!&lt;&gt;#REF!,1,A361+1)</f>
        <v>#REF!</v>
      </c>
      <c r="O362" s="79"/>
      <c r="P362" s="79"/>
      <c r="Q362" s="76"/>
      <c r="R362" s="77"/>
      <c r="S362" s="76"/>
      <c r="T362" s="77"/>
      <c r="U362" s="76"/>
      <c r="V362" s="77"/>
      <c r="W362" s="76"/>
      <c r="X362" s="77"/>
      <c r="Y362" s="76"/>
      <c r="Z362" s="76"/>
      <c r="AA362" s="76"/>
      <c r="AB362" s="76"/>
      <c r="AC362" s="76"/>
      <c r="AD362" s="76"/>
      <c r="AE362" s="76"/>
      <c r="AF362" s="76"/>
      <c r="AG362" s="76"/>
      <c r="AH362" s="76"/>
      <c r="AI362" s="76"/>
      <c r="AJ362" s="76"/>
      <c r="AK362" s="76"/>
      <c r="AL362" s="77"/>
      <c r="AM362" s="76"/>
      <c r="AN362" s="76"/>
    </row>
    <row r="363" spans="1:40" ht="15">
      <c r="A363" s="83" t="e">
        <f>IF(#REF!&lt;&gt;#REF!,1,A362+1)</f>
        <v>#REF!</v>
      </c>
      <c r="O363" s="79"/>
      <c r="P363" s="79"/>
      <c r="Q363" s="76"/>
      <c r="R363" s="77"/>
      <c r="S363" s="76"/>
      <c r="T363" s="77"/>
      <c r="U363" s="76"/>
      <c r="V363" s="77"/>
      <c r="W363" s="76"/>
      <c r="X363" s="77"/>
      <c r="Y363" s="76"/>
      <c r="Z363" s="76"/>
      <c r="AA363" s="76"/>
      <c r="AB363" s="76"/>
      <c r="AC363" s="76"/>
      <c r="AD363" s="76"/>
      <c r="AE363" s="76"/>
      <c r="AF363" s="76"/>
      <c r="AG363" s="76"/>
      <c r="AH363" s="76"/>
      <c r="AI363" s="76"/>
      <c r="AJ363" s="76"/>
      <c r="AK363" s="76"/>
      <c r="AL363" s="77"/>
      <c r="AM363" s="76"/>
      <c r="AN363" s="76"/>
    </row>
    <row r="364" spans="1:40" ht="15">
      <c r="A364" s="83" t="e">
        <f>IF(#REF!&lt;&gt;#REF!,1,A363+1)</f>
        <v>#REF!</v>
      </c>
      <c r="O364" s="79"/>
      <c r="P364" s="79"/>
      <c r="Q364" s="76"/>
      <c r="R364" s="77"/>
      <c r="S364" s="76"/>
      <c r="T364" s="77"/>
      <c r="U364" s="76"/>
      <c r="V364" s="77"/>
      <c r="W364" s="76"/>
      <c r="X364" s="77"/>
      <c r="Y364" s="76"/>
      <c r="Z364" s="76"/>
      <c r="AA364" s="76"/>
      <c r="AB364" s="76"/>
      <c r="AC364" s="76"/>
      <c r="AD364" s="76"/>
      <c r="AE364" s="76"/>
      <c r="AF364" s="76"/>
      <c r="AG364" s="76"/>
      <c r="AH364" s="76"/>
      <c r="AI364" s="76"/>
      <c r="AJ364" s="76"/>
      <c r="AK364" s="76"/>
      <c r="AL364" s="77"/>
      <c r="AM364" s="76"/>
      <c r="AN364" s="76"/>
    </row>
    <row r="365" spans="1:40" ht="15">
      <c r="A365" s="83" t="e">
        <f>IF(#REF!&lt;&gt;#REF!,1,A364+1)</f>
        <v>#REF!</v>
      </c>
      <c r="O365" s="79"/>
      <c r="P365" s="79"/>
      <c r="Q365" s="76"/>
      <c r="R365" s="77"/>
      <c r="S365" s="76"/>
      <c r="T365" s="77"/>
      <c r="U365" s="76"/>
      <c r="V365" s="77"/>
      <c r="W365" s="76"/>
      <c r="X365" s="77"/>
      <c r="Y365" s="76"/>
      <c r="Z365" s="76"/>
      <c r="AA365" s="76"/>
      <c r="AB365" s="76"/>
      <c r="AC365" s="76"/>
      <c r="AD365" s="76"/>
      <c r="AE365" s="76"/>
      <c r="AF365" s="76"/>
      <c r="AG365" s="76"/>
      <c r="AH365" s="76"/>
      <c r="AI365" s="76"/>
      <c r="AJ365" s="76"/>
      <c r="AK365" s="76"/>
      <c r="AL365" s="77"/>
      <c r="AM365" s="76"/>
      <c r="AN365" s="76"/>
    </row>
    <row r="366" spans="1:40" ht="15">
      <c r="A366" s="83" t="e">
        <f>IF(#REF!&lt;&gt;#REF!,1,A365+1)</f>
        <v>#REF!</v>
      </c>
      <c r="O366" s="79"/>
      <c r="P366" s="79"/>
      <c r="Q366" s="76"/>
      <c r="R366" s="77"/>
      <c r="S366" s="76"/>
      <c r="T366" s="77"/>
      <c r="U366" s="76"/>
      <c r="V366" s="77"/>
      <c r="W366" s="76"/>
      <c r="X366" s="77"/>
      <c r="Y366" s="76"/>
      <c r="Z366" s="76"/>
      <c r="AA366" s="76"/>
      <c r="AB366" s="76"/>
      <c r="AC366" s="76"/>
      <c r="AD366" s="76"/>
      <c r="AE366" s="76"/>
      <c r="AF366" s="76"/>
      <c r="AG366" s="76"/>
      <c r="AH366" s="76"/>
      <c r="AI366" s="76"/>
      <c r="AJ366" s="76"/>
      <c r="AK366" s="76"/>
      <c r="AL366" s="77"/>
      <c r="AM366" s="76"/>
      <c r="AN366" s="76"/>
    </row>
    <row r="367" spans="1:40" ht="15">
      <c r="A367" s="83" t="e">
        <f>IF(#REF!&lt;&gt;#REF!,1,A366+1)</f>
        <v>#REF!</v>
      </c>
      <c r="O367" s="79"/>
      <c r="P367" s="79"/>
      <c r="Q367" s="76"/>
      <c r="R367" s="77"/>
      <c r="S367" s="76"/>
      <c r="T367" s="77"/>
      <c r="U367" s="76"/>
      <c r="V367" s="77"/>
      <c r="W367" s="76"/>
      <c r="X367" s="77"/>
      <c r="Y367" s="76"/>
      <c r="Z367" s="76"/>
      <c r="AA367" s="76"/>
      <c r="AB367" s="76"/>
      <c r="AC367" s="76"/>
      <c r="AD367" s="76"/>
      <c r="AE367" s="76"/>
      <c r="AF367" s="76"/>
      <c r="AG367" s="76"/>
      <c r="AH367" s="76"/>
      <c r="AI367" s="76"/>
      <c r="AJ367" s="76"/>
      <c r="AK367" s="76"/>
      <c r="AL367" s="77"/>
      <c r="AM367" s="76"/>
      <c r="AN367" s="76"/>
    </row>
    <row r="368" spans="1:40" ht="15">
      <c r="A368" s="83" t="e">
        <f>IF(#REF!&lt;&gt;#REF!,1,A367+1)</f>
        <v>#REF!</v>
      </c>
      <c r="O368" s="79"/>
      <c r="P368" s="79"/>
      <c r="Q368" s="76"/>
      <c r="R368" s="77"/>
      <c r="S368" s="76"/>
      <c r="T368" s="77"/>
      <c r="U368" s="76"/>
      <c r="V368" s="77"/>
      <c r="W368" s="76"/>
      <c r="X368" s="77"/>
      <c r="Y368" s="76"/>
      <c r="Z368" s="76"/>
      <c r="AA368" s="76"/>
      <c r="AB368" s="76"/>
      <c r="AC368" s="76"/>
      <c r="AD368" s="76"/>
      <c r="AE368" s="76"/>
      <c r="AF368" s="76"/>
      <c r="AG368" s="76"/>
      <c r="AH368" s="76"/>
      <c r="AI368" s="76"/>
      <c r="AJ368" s="76"/>
      <c r="AK368" s="76"/>
      <c r="AL368" s="77"/>
      <c r="AM368" s="76"/>
      <c r="AN368" s="76"/>
    </row>
    <row r="369" spans="1:40" ht="15">
      <c r="A369" s="83" t="e">
        <f>IF(#REF!&lt;&gt;#REF!,1,A368+1)</f>
        <v>#REF!</v>
      </c>
      <c r="O369" s="79"/>
      <c r="P369" s="79"/>
      <c r="Q369" s="76"/>
      <c r="R369" s="77"/>
      <c r="S369" s="76"/>
      <c r="T369" s="77"/>
      <c r="U369" s="76"/>
      <c r="V369" s="77"/>
      <c r="W369" s="76"/>
      <c r="X369" s="77"/>
      <c r="Y369" s="76"/>
      <c r="Z369" s="76"/>
      <c r="AA369" s="76"/>
      <c r="AB369" s="76"/>
      <c r="AC369" s="76"/>
      <c r="AD369" s="76"/>
      <c r="AE369" s="76"/>
      <c r="AF369" s="76"/>
      <c r="AG369" s="76"/>
      <c r="AH369" s="76"/>
      <c r="AI369" s="76"/>
      <c r="AJ369" s="76"/>
      <c r="AK369" s="76"/>
      <c r="AL369" s="77"/>
      <c r="AM369" s="76"/>
      <c r="AN369" s="76"/>
    </row>
    <row r="370" spans="1:40" ht="15">
      <c r="A370" s="83" t="e">
        <f>IF(#REF!&lt;&gt;#REF!,1,A369+1)</f>
        <v>#REF!</v>
      </c>
      <c r="O370" s="79"/>
      <c r="P370" s="79"/>
      <c r="Q370" s="76"/>
      <c r="R370" s="77"/>
      <c r="S370" s="76"/>
      <c r="T370" s="77"/>
      <c r="U370" s="76"/>
      <c r="V370" s="77"/>
      <c r="W370" s="76"/>
      <c r="X370" s="77"/>
      <c r="Y370" s="76"/>
      <c r="Z370" s="76"/>
      <c r="AA370" s="76"/>
      <c r="AB370" s="76"/>
      <c r="AC370" s="76"/>
      <c r="AD370" s="76"/>
      <c r="AE370" s="76"/>
      <c r="AF370" s="76"/>
      <c r="AG370" s="76"/>
      <c r="AH370" s="76"/>
      <c r="AI370" s="76"/>
      <c r="AJ370" s="76"/>
      <c r="AK370" s="76"/>
      <c r="AL370" s="77"/>
      <c r="AM370" s="76"/>
      <c r="AN370" s="76"/>
    </row>
    <row r="371" spans="1:40" ht="15">
      <c r="A371" s="83" t="e">
        <f>IF(#REF!&lt;&gt;#REF!,1,A370+1)</f>
        <v>#REF!</v>
      </c>
      <c r="O371" s="79"/>
      <c r="P371" s="79"/>
      <c r="Q371" s="76"/>
      <c r="R371" s="77"/>
      <c r="S371" s="76"/>
      <c r="T371" s="77"/>
      <c r="U371" s="76"/>
      <c r="V371" s="77"/>
      <c r="W371" s="76"/>
      <c r="X371" s="77"/>
      <c r="Y371" s="76"/>
      <c r="Z371" s="76"/>
      <c r="AA371" s="76"/>
      <c r="AB371" s="76"/>
      <c r="AC371" s="76"/>
      <c r="AD371" s="76"/>
      <c r="AE371" s="76"/>
      <c r="AF371" s="76"/>
      <c r="AG371" s="76"/>
      <c r="AH371" s="76"/>
      <c r="AI371" s="76"/>
      <c r="AJ371" s="76"/>
      <c r="AK371" s="76"/>
      <c r="AL371" s="77"/>
      <c r="AM371" s="76"/>
      <c r="AN371" s="76"/>
    </row>
    <row r="372" spans="1:40" ht="15">
      <c r="A372" s="83" t="e">
        <f>IF(#REF!&lt;&gt;#REF!,1,A371+1)</f>
        <v>#REF!</v>
      </c>
      <c r="O372" s="79"/>
      <c r="P372" s="79"/>
      <c r="Q372" s="76"/>
      <c r="R372" s="77"/>
      <c r="S372" s="76"/>
      <c r="T372" s="77"/>
      <c r="U372" s="76"/>
      <c r="V372" s="77"/>
      <c r="W372" s="76"/>
      <c r="X372" s="77"/>
      <c r="Y372" s="76"/>
      <c r="Z372" s="76"/>
      <c r="AA372" s="76"/>
      <c r="AB372" s="76"/>
      <c r="AC372" s="76"/>
      <c r="AD372" s="76"/>
      <c r="AE372" s="76"/>
      <c r="AF372" s="76"/>
      <c r="AG372" s="76"/>
      <c r="AH372" s="76"/>
      <c r="AI372" s="76"/>
      <c r="AJ372" s="76"/>
      <c r="AK372" s="76"/>
      <c r="AL372" s="77"/>
      <c r="AM372" s="76"/>
      <c r="AN372" s="76"/>
    </row>
    <row r="373" spans="1:40" ht="15">
      <c r="A373" s="83" t="e">
        <f>IF(#REF!&lt;&gt;#REF!,1,A372+1)</f>
        <v>#REF!</v>
      </c>
      <c r="O373" s="79"/>
      <c r="P373" s="79"/>
      <c r="Q373" s="76"/>
      <c r="R373" s="77"/>
      <c r="S373" s="76"/>
      <c r="T373" s="77"/>
      <c r="U373" s="76"/>
      <c r="V373" s="77"/>
      <c r="W373" s="76"/>
      <c r="X373" s="77"/>
      <c r="Y373" s="76"/>
      <c r="Z373" s="76"/>
      <c r="AA373" s="76"/>
      <c r="AB373" s="76"/>
      <c r="AC373" s="76"/>
      <c r="AD373" s="76"/>
      <c r="AE373" s="76"/>
      <c r="AF373" s="76"/>
      <c r="AG373" s="76"/>
      <c r="AH373" s="76"/>
      <c r="AI373" s="76"/>
      <c r="AJ373" s="76"/>
      <c r="AK373" s="76"/>
      <c r="AL373" s="77"/>
      <c r="AM373" s="76"/>
      <c r="AN373" s="76"/>
    </row>
    <row r="374" spans="1:40" ht="15">
      <c r="A374" s="83" t="e">
        <f>IF(#REF!&lt;&gt;#REF!,1,A373+1)</f>
        <v>#REF!</v>
      </c>
      <c r="O374" s="79"/>
      <c r="P374" s="79"/>
      <c r="Q374" s="76"/>
      <c r="R374" s="77"/>
      <c r="S374" s="76"/>
      <c r="T374" s="77"/>
      <c r="U374" s="76"/>
      <c r="V374" s="77"/>
      <c r="W374" s="76"/>
      <c r="X374" s="77"/>
      <c r="Y374" s="76"/>
      <c r="Z374" s="76"/>
      <c r="AA374" s="76"/>
      <c r="AB374" s="76"/>
      <c r="AC374" s="76"/>
      <c r="AD374" s="76"/>
      <c r="AE374" s="76"/>
      <c r="AF374" s="76"/>
      <c r="AG374" s="76"/>
      <c r="AH374" s="76"/>
      <c r="AI374" s="76"/>
      <c r="AJ374" s="76"/>
      <c r="AK374" s="76"/>
      <c r="AL374" s="77"/>
      <c r="AM374" s="76"/>
      <c r="AN374" s="76"/>
    </row>
    <row r="375" spans="1:40" ht="15">
      <c r="A375" s="83" t="e">
        <f>IF(#REF!&lt;&gt;#REF!,1,A374+1)</f>
        <v>#REF!</v>
      </c>
      <c r="O375" s="79"/>
      <c r="P375" s="79"/>
      <c r="Q375" s="76"/>
      <c r="R375" s="77"/>
      <c r="S375" s="76"/>
      <c r="T375" s="77"/>
      <c r="U375" s="76"/>
      <c r="V375" s="77"/>
      <c r="W375" s="76"/>
      <c r="X375" s="77"/>
      <c r="Y375" s="76"/>
      <c r="Z375" s="76"/>
      <c r="AA375" s="76"/>
      <c r="AB375" s="76"/>
      <c r="AC375" s="76"/>
      <c r="AD375" s="76"/>
      <c r="AE375" s="76"/>
      <c r="AF375" s="76"/>
      <c r="AG375" s="76"/>
      <c r="AH375" s="76"/>
      <c r="AI375" s="76"/>
      <c r="AJ375" s="76"/>
      <c r="AK375" s="76"/>
      <c r="AL375" s="77"/>
      <c r="AM375" s="76"/>
      <c r="AN375" s="76"/>
    </row>
    <row r="376" spans="1:40" ht="15">
      <c r="A376" s="83" t="e">
        <f>IF(#REF!&lt;&gt;#REF!,1,A375+1)</f>
        <v>#REF!</v>
      </c>
      <c r="O376" s="79"/>
      <c r="P376" s="79"/>
      <c r="Q376" s="76"/>
      <c r="R376" s="77"/>
      <c r="S376" s="76"/>
      <c r="T376" s="77"/>
      <c r="U376" s="76"/>
      <c r="V376" s="77"/>
      <c r="W376" s="76"/>
      <c r="X376" s="77"/>
      <c r="Y376" s="76"/>
      <c r="Z376" s="76"/>
      <c r="AA376" s="76"/>
      <c r="AB376" s="76"/>
      <c r="AC376" s="76"/>
      <c r="AD376" s="76"/>
      <c r="AE376" s="76"/>
      <c r="AF376" s="76"/>
      <c r="AG376" s="76"/>
      <c r="AH376" s="76"/>
      <c r="AI376" s="76"/>
      <c r="AJ376" s="76"/>
      <c r="AK376" s="76"/>
      <c r="AL376" s="77"/>
      <c r="AM376" s="76"/>
      <c r="AN376" s="76"/>
    </row>
    <row r="377" spans="1:40" ht="15">
      <c r="A377" s="83" t="e">
        <f>IF(#REF!&lt;&gt;#REF!,1,A376+1)</f>
        <v>#REF!</v>
      </c>
      <c r="O377" s="79"/>
      <c r="P377" s="79"/>
      <c r="Q377" s="76"/>
      <c r="R377" s="77"/>
      <c r="S377" s="76"/>
      <c r="T377" s="77"/>
      <c r="U377" s="76"/>
      <c r="V377" s="77"/>
      <c r="W377" s="76"/>
      <c r="X377" s="77"/>
      <c r="Y377" s="76"/>
      <c r="Z377" s="76"/>
      <c r="AA377" s="76"/>
      <c r="AB377" s="76"/>
      <c r="AC377" s="76"/>
      <c r="AD377" s="76"/>
      <c r="AE377" s="76"/>
      <c r="AF377" s="76"/>
      <c r="AG377" s="76"/>
      <c r="AH377" s="76"/>
      <c r="AI377" s="76"/>
      <c r="AJ377" s="76"/>
      <c r="AK377" s="76"/>
      <c r="AL377" s="77"/>
      <c r="AM377" s="76"/>
      <c r="AN377" s="76"/>
    </row>
    <row r="378" spans="1:40" ht="15">
      <c r="A378" s="83" t="e">
        <f>IF(#REF!&lt;&gt;#REF!,1,A377+1)</f>
        <v>#REF!</v>
      </c>
      <c r="O378" s="79"/>
      <c r="P378" s="79"/>
      <c r="Q378" s="76"/>
      <c r="R378" s="77"/>
      <c r="S378" s="76"/>
      <c r="T378" s="77"/>
      <c r="U378" s="76"/>
      <c r="V378" s="77"/>
      <c r="W378" s="76"/>
      <c r="X378" s="77"/>
      <c r="Y378" s="76"/>
      <c r="Z378" s="76"/>
      <c r="AA378" s="76"/>
      <c r="AB378" s="76"/>
      <c r="AC378" s="76"/>
      <c r="AD378" s="76"/>
      <c r="AE378" s="76"/>
      <c r="AF378" s="76"/>
      <c r="AG378" s="76"/>
      <c r="AH378" s="76"/>
      <c r="AI378" s="76"/>
      <c r="AJ378" s="76"/>
      <c r="AK378" s="76"/>
      <c r="AL378" s="77"/>
      <c r="AM378" s="76"/>
      <c r="AN378" s="76"/>
    </row>
    <row r="379" spans="1:40" ht="15">
      <c r="A379" s="83" t="e">
        <f>IF(#REF!&lt;&gt;#REF!,1,A378+1)</f>
        <v>#REF!</v>
      </c>
      <c r="O379" s="79"/>
      <c r="P379" s="79"/>
      <c r="Q379" s="76"/>
      <c r="R379" s="77"/>
      <c r="S379" s="76"/>
      <c r="T379" s="77"/>
      <c r="U379" s="76"/>
      <c r="V379" s="77"/>
      <c r="W379" s="76"/>
      <c r="X379" s="77"/>
      <c r="Y379" s="76"/>
      <c r="Z379" s="76"/>
      <c r="AA379" s="76"/>
      <c r="AB379" s="76"/>
      <c r="AC379" s="76"/>
      <c r="AD379" s="76"/>
      <c r="AE379" s="76"/>
      <c r="AF379" s="76"/>
      <c r="AG379" s="76"/>
      <c r="AH379" s="76"/>
      <c r="AI379" s="76"/>
      <c r="AJ379" s="76"/>
      <c r="AK379" s="76"/>
      <c r="AL379" s="77"/>
      <c r="AM379" s="76"/>
      <c r="AN379" s="76"/>
    </row>
    <row r="380" spans="1:40" ht="15">
      <c r="A380" s="83" t="e">
        <f>IF(#REF!&lt;&gt;#REF!,1,A379+1)</f>
        <v>#REF!</v>
      </c>
      <c r="O380" s="79"/>
      <c r="P380" s="79"/>
      <c r="Q380" s="76"/>
      <c r="R380" s="77"/>
      <c r="S380" s="76"/>
      <c r="T380" s="77"/>
      <c r="U380" s="76"/>
      <c r="V380" s="77"/>
      <c r="W380" s="76"/>
      <c r="X380" s="77"/>
      <c r="Y380" s="76"/>
      <c r="Z380" s="76"/>
      <c r="AA380" s="76"/>
      <c r="AB380" s="76"/>
      <c r="AC380" s="76"/>
      <c r="AD380" s="76"/>
      <c r="AE380" s="76"/>
      <c r="AF380" s="76"/>
      <c r="AG380" s="76"/>
      <c r="AH380" s="76"/>
      <c r="AI380" s="76"/>
      <c r="AJ380" s="76"/>
      <c r="AK380" s="76"/>
      <c r="AL380" s="77"/>
      <c r="AM380" s="76"/>
      <c r="AN380" s="76"/>
    </row>
    <row r="381" spans="1:40" ht="15">
      <c r="A381" s="83" t="e">
        <f>IF(#REF!&lt;&gt;#REF!,1,A380+1)</f>
        <v>#REF!</v>
      </c>
      <c r="O381" s="79"/>
      <c r="P381" s="79"/>
      <c r="Q381" s="76"/>
      <c r="R381" s="77"/>
      <c r="S381" s="76"/>
      <c r="T381" s="77"/>
      <c r="U381" s="76"/>
      <c r="V381" s="77"/>
      <c r="W381" s="76"/>
      <c r="X381" s="77"/>
      <c r="Y381" s="76"/>
      <c r="Z381" s="76"/>
      <c r="AA381" s="76"/>
      <c r="AB381" s="76"/>
      <c r="AC381" s="76"/>
      <c r="AD381" s="76"/>
      <c r="AE381" s="76"/>
      <c r="AF381" s="76"/>
      <c r="AG381" s="76"/>
      <c r="AH381" s="76"/>
      <c r="AI381" s="76"/>
      <c r="AJ381" s="76"/>
      <c r="AK381" s="76"/>
      <c r="AL381" s="77"/>
      <c r="AM381" s="76"/>
      <c r="AN381" s="76"/>
    </row>
    <row r="382" spans="1:40" ht="15">
      <c r="A382" s="83" t="e">
        <f>IF(#REF!&lt;&gt;#REF!,1,A381+1)</f>
        <v>#REF!</v>
      </c>
      <c r="O382" s="79"/>
      <c r="P382" s="79"/>
      <c r="Q382" s="76"/>
      <c r="R382" s="77"/>
      <c r="S382" s="76"/>
      <c r="T382" s="77"/>
      <c r="U382" s="76"/>
      <c r="V382" s="77"/>
      <c r="W382" s="76"/>
      <c r="X382" s="77"/>
      <c r="Y382" s="76"/>
      <c r="Z382" s="76"/>
      <c r="AA382" s="76"/>
      <c r="AB382" s="76"/>
      <c r="AC382" s="76"/>
      <c r="AD382" s="76"/>
      <c r="AE382" s="76"/>
      <c r="AF382" s="76"/>
      <c r="AG382" s="76"/>
      <c r="AH382" s="76"/>
      <c r="AI382" s="76"/>
      <c r="AJ382" s="76"/>
      <c r="AK382" s="76"/>
      <c r="AL382" s="77"/>
      <c r="AM382" s="76"/>
      <c r="AN382" s="76"/>
    </row>
    <row r="383" spans="1:40" ht="15">
      <c r="A383" s="83" t="e">
        <f>IF(#REF!&lt;&gt;#REF!,1,A382+1)</f>
        <v>#REF!</v>
      </c>
      <c r="O383" s="79"/>
      <c r="P383" s="79"/>
      <c r="Q383" s="76"/>
      <c r="R383" s="77"/>
      <c r="S383" s="76"/>
      <c r="T383" s="77"/>
      <c r="U383" s="76"/>
      <c r="V383" s="77"/>
      <c r="W383" s="76"/>
      <c r="X383" s="77"/>
      <c r="Y383" s="76"/>
      <c r="Z383" s="76"/>
      <c r="AA383" s="76"/>
      <c r="AB383" s="76"/>
      <c r="AC383" s="76"/>
      <c r="AD383" s="76"/>
      <c r="AE383" s="76"/>
      <c r="AF383" s="76"/>
      <c r="AG383" s="76"/>
      <c r="AH383" s="76"/>
      <c r="AI383" s="76"/>
      <c r="AJ383" s="76"/>
      <c r="AK383" s="76"/>
      <c r="AL383" s="77"/>
      <c r="AM383" s="76"/>
      <c r="AN383" s="76"/>
    </row>
    <row r="384" spans="1:40" ht="15">
      <c r="A384" s="83" t="e">
        <f>IF(#REF!&lt;&gt;#REF!,1,A383+1)</f>
        <v>#REF!</v>
      </c>
      <c r="O384" s="79"/>
      <c r="P384" s="79"/>
      <c r="Q384" s="76"/>
      <c r="R384" s="77"/>
      <c r="S384" s="76"/>
      <c r="T384" s="77"/>
      <c r="U384" s="76"/>
      <c r="V384" s="77"/>
      <c r="W384" s="76"/>
      <c r="X384" s="77"/>
      <c r="Y384" s="76"/>
      <c r="Z384" s="76"/>
      <c r="AA384" s="76"/>
      <c r="AB384" s="76"/>
      <c r="AC384" s="76"/>
      <c r="AD384" s="76"/>
      <c r="AE384" s="76"/>
      <c r="AF384" s="76"/>
      <c r="AG384" s="76"/>
      <c r="AH384" s="76"/>
      <c r="AI384" s="76"/>
      <c r="AJ384" s="76"/>
      <c r="AK384" s="76"/>
      <c r="AL384" s="77"/>
      <c r="AM384" s="76"/>
      <c r="AN384" s="76"/>
    </row>
    <row r="385" spans="1:40" ht="15">
      <c r="A385" s="83" t="e">
        <f>IF(#REF!&lt;&gt;#REF!,1,A384+1)</f>
        <v>#REF!</v>
      </c>
      <c r="O385" s="79"/>
      <c r="P385" s="79"/>
      <c r="Q385" s="76"/>
      <c r="R385" s="77"/>
      <c r="S385" s="76"/>
      <c r="T385" s="77"/>
      <c r="U385" s="76"/>
      <c r="V385" s="77"/>
      <c r="W385" s="76"/>
      <c r="X385" s="77"/>
      <c r="Y385" s="76"/>
      <c r="Z385" s="76"/>
      <c r="AA385" s="76"/>
      <c r="AB385" s="76"/>
      <c r="AC385" s="76"/>
      <c r="AD385" s="76"/>
      <c r="AE385" s="76"/>
      <c r="AF385" s="76"/>
      <c r="AG385" s="76"/>
      <c r="AH385" s="76"/>
      <c r="AI385" s="76"/>
      <c r="AJ385" s="76"/>
      <c r="AK385" s="76"/>
      <c r="AL385" s="77"/>
      <c r="AM385" s="76"/>
      <c r="AN385" s="76"/>
    </row>
    <row r="386" spans="1:40" ht="15">
      <c r="A386" s="83" t="e">
        <f>IF(#REF!&lt;&gt;#REF!,1,A385+1)</f>
        <v>#REF!</v>
      </c>
      <c r="O386" s="79"/>
      <c r="P386" s="79"/>
      <c r="Q386" s="76"/>
      <c r="R386" s="77"/>
      <c r="S386" s="76"/>
      <c r="T386" s="77"/>
      <c r="U386" s="76"/>
      <c r="V386" s="77"/>
      <c r="W386" s="76"/>
      <c r="X386" s="77"/>
      <c r="Y386" s="76"/>
      <c r="Z386" s="76"/>
      <c r="AA386" s="76"/>
      <c r="AB386" s="76"/>
      <c r="AC386" s="76"/>
      <c r="AD386" s="76"/>
      <c r="AE386" s="76"/>
      <c r="AF386" s="76"/>
      <c r="AG386" s="76"/>
      <c r="AH386" s="76"/>
      <c r="AI386" s="76"/>
      <c r="AJ386" s="76"/>
      <c r="AK386" s="76"/>
      <c r="AL386" s="77"/>
      <c r="AM386" s="76"/>
      <c r="AN386" s="76"/>
    </row>
    <row r="387" spans="1:40" ht="15">
      <c r="A387" s="83" t="e">
        <f>IF(#REF!&lt;&gt;#REF!,1,A386+1)</f>
        <v>#REF!</v>
      </c>
      <c r="O387" s="79"/>
      <c r="P387" s="79"/>
      <c r="Q387" s="76"/>
      <c r="R387" s="77"/>
      <c r="S387" s="76"/>
      <c r="T387" s="77"/>
      <c r="U387" s="76"/>
      <c r="V387" s="77"/>
      <c r="W387" s="76"/>
      <c r="X387" s="77"/>
      <c r="Y387" s="76"/>
      <c r="Z387" s="76"/>
      <c r="AA387" s="76"/>
      <c r="AB387" s="76"/>
      <c r="AC387" s="76"/>
      <c r="AD387" s="76"/>
      <c r="AE387" s="76"/>
      <c r="AF387" s="76"/>
      <c r="AG387" s="76"/>
      <c r="AH387" s="76"/>
      <c r="AI387" s="76"/>
      <c r="AJ387" s="76"/>
      <c r="AK387" s="76"/>
      <c r="AL387" s="77"/>
      <c r="AM387" s="76"/>
      <c r="AN387" s="76"/>
    </row>
    <row r="388" spans="1:40" ht="15">
      <c r="A388" s="83" t="e">
        <f>IF(#REF!&lt;&gt;#REF!,1,A387+1)</f>
        <v>#REF!</v>
      </c>
      <c r="O388" s="79"/>
      <c r="P388" s="79"/>
      <c r="Q388" s="76"/>
      <c r="R388" s="77"/>
      <c r="S388" s="76"/>
      <c r="T388" s="77"/>
      <c r="U388" s="76"/>
      <c r="V388" s="77"/>
      <c r="W388" s="76"/>
      <c r="X388" s="77"/>
      <c r="Y388" s="76"/>
      <c r="Z388" s="76"/>
      <c r="AA388" s="76"/>
      <c r="AB388" s="76"/>
      <c r="AC388" s="76"/>
      <c r="AD388" s="76"/>
      <c r="AE388" s="76"/>
      <c r="AF388" s="76"/>
      <c r="AG388" s="76"/>
      <c r="AH388" s="76"/>
      <c r="AI388" s="76"/>
      <c r="AJ388" s="76"/>
      <c r="AK388" s="76"/>
      <c r="AL388" s="77"/>
      <c r="AM388" s="76"/>
      <c r="AN388" s="76"/>
    </row>
    <row r="389" spans="1:40" ht="15">
      <c r="A389" s="83" t="e">
        <f>IF(#REF!&lt;&gt;#REF!,1,A388+1)</f>
        <v>#REF!</v>
      </c>
      <c r="O389" s="79"/>
      <c r="P389" s="79"/>
      <c r="Q389" s="76"/>
      <c r="R389" s="77"/>
      <c r="S389" s="76"/>
      <c r="T389" s="77"/>
      <c r="U389" s="76"/>
      <c r="V389" s="77"/>
      <c r="W389" s="76"/>
      <c r="X389" s="77"/>
      <c r="Y389" s="76"/>
      <c r="Z389" s="76"/>
      <c r="AA389" s="76"/>
      <c r="AB389" s="76"/>
      <c r="AC389" s="76"/>
      <c r="AD389" s="76"/>
      <c r="AE389" s="76"/>
      <c r="AF389" s="76"/>
      <c r="AG389" s="76"/>
      <c r="AH389" s="76"/>
      <c r="AI389" s="76"/>
      <c r="AJ389" s="76"/>
      <c r="AK389" s="76"/>
      <c r="AL389" s="77"/>
      <c r="AM389" s="76"/>
      <c r="AN389" s="76"/>
    </row>
    <row r="390" spans="1:40" ht="15">
      <c r="A390" s="83" t="e">
        <f>IF(#REF!&lt;&gt;#REF!,1,A389+1)</f>
        <v>#REF!</v>
      </c>
      <c r="O390" s="79"/>
      <c r="P390" s="79"/>
      <c r="Q390" s="76"/>
      <c r="R390" s="77"/>
      <c r="S390" s="76"/>
      <c r="T390" s="77"/>
      <c r="U390" s="76"/>
      <c r="V390" s="77"/>
      <c r="W390" s="76"/>
      <c r="X390" s="77"/>
      <c r="Y390" s="76"/>
      <c r="Z390" s="76"/>
      <c r="AA390" s="76"/>
      <c r="AB390" s="76"/>
      <c r="AC390" s="76"/>
      <c r="AD390" s="76"/>
      <c r="AE390" s="76"/>
      <c r="AF390" s="76"/>
      <c r="AG390" s="76"/>
      <c r="AH390" s="76"/>
      <c r="AI390" s="76"/>
      <c r="AJ390" s="76"/>
      <c r="AK390" s="76"/>
      <c r="AL390" s="77"/>
      <c r="AM390" s="76"/>
      <c r="AN390" s="76"/>
    </row>
    <row r="391" spans="1:40" ht="15">
      <c r="A391" s="83" t="e">
        <f>IF(#REF!&lt;&gt;#REF!,1,A390+1)</f>
        <v>#REF!</v>
      </c>
      <c r="O391" s="79"/>
      <c r="P391" s="79"/>
      <c r="Q391" s="76"/>
      <c r="R391" s="77"/>
      <c r="S391" s="76"/>
      <c r="T391" s="77"/>
      <c r="U391" s="76"/>
      <c r="V391" s="77"/>
      <c r="W391" s="76"/>
      <c r="X391" s="77"/>
      <c r="Y391" s="76"/>
      <c r="Z391" s="76"/>
      <c r="AA391" s="76"/>
      <c r="AB391" s="76"/>
      <c r="AC391" s="76"/>
      <c r="AD391" s="76"/>
      <c r="AE391" s="76"/>
      <c r="AF391" s="76"/>
      <c r="AG391" s="76"/>
      <c r="AH391" s="76"/>
      <c r="AI391" s="76"/>
      <c r="AJ391" s="76"/>
      <c r="AK391" s="76"/>
      <c r="AL391" s="77"/>
      <c r="AM391" s="76"/>
      <c r="AN391" s="76"/>
    </row>
    <row r="392" spans="1:40" ht="15">
      <c r="A392" s="83" t="e">
        <f>IF(#REF!&lt;&gt;#REF!,1,A391+1)</f>
        <v>#REF!</v>
      </c>
      <c r="O392" s="79"/>
      <c r="P392" s="79"/>
      <c r="Q392" s="76"/>
      <c r="R392" s="77"/>
      <c r="S392" s="76"/>
      <c r="T392" s="77"/>
      <c r="U392" s="76"/>
      <c r="V392" s="77"/>
      <c r="W392" s="76"/>
      <c r="X392" s="77"/>
      <c r="Y392" s="76"/>
      <c r="Z392" s="76"/>
      <c r="AA392" s="76"/>
      <c r="AB392" s="76"/>
      <c r="AC392" s="76"/>
      <c r="AD392" s="76"/>
      <c r="AE392" s="76"/>
      <c r="AF392" s="76"/>
      <c r="AG392" s="76"/>
      <c r="AH392" s="76"/>
      <c r="AI392" s="76"/>
      <c r="AJ392" s="76"/>
      <c r="AK392" s="76"/>
      <c r="AL392" s="77"/>
      <c r="AM392" s="76"/>
      <c r="AN392" s="76"/>
    </row>
    <row r="393" spans="1:40" ht="15">
      <c r="A393" s="83" t="e">
        <f>IF(#REF!&lt;&gt;#REF!,1,A392+1)</f>
        <v>#REF!</v>
      </c>
      <c r="O393" s="79"/>
      <c r="P393" s="79"/>
      <c r="Q393" s="76"/>
      <c r="R393" s="77"/>
      <c r="S393" s="76"/>
      <c r="T393" s="77"/>
      <c r="U393" s="76"/>
      <c r="V393" s="77"/>
      <c r="W393" s="76"/>
      <c r="X393" s="77"/>
      <c r="Y393" s="76"/>
      <c r="Z393" s="76"/>
      <c r="AA393" s="76"/>
      <c r="AB393" s="76"/>
      <c r="AC393" s="76"/>
      <c r="AD393" s="76"/>
      <c r="AE393" s="76"/>
      <c r="AF393" s="76"/>
      <c r="AG393" s="76"/>
      <c r="AH393" s="76"/>
      <c r="AI393" s="76"/>
      <c r="AJ393" s="76"/>
      <c r="AK393" s="76"/>
      <c r="AL393" s="77"/>
      <c r="AM393" s="76"/>
      <c r="AN393" s="76"/>
    </row>
    <row r="394" spans="1:40" ht="15">
      <c r="A394" s="83" t="e">
        <f>IF(#REF!&lt;&gt;#REF!,1,A393+1)</f>
        <v>#REF!</v>
      </c>
      <c r="O394" s="79"/>
      <c r="P394" s="79"/>
      <c r="Q394" s="76"/>
      <c r="R394" s="77"/>
      <c r="S394" s="76"/>
      <c r="T394" s="77"/>
      <c r="U394" s="76"/>
      <c r="V394" s="77"/>
      <c r="W394" s="76"/>
      <c r="X394" s="77"/>
      <c r="Y394" s="76"/>
      <c r="Z394" s="76"/>
      <c r="AA394" s="76"/>
      <c r="AB394" s="76"/>
      <c r="AC394" s="76"/>
      <c r="AD394" s="76"/>
      <c r="AE394" s="76"/>
      <c r="AF394" s="76"/>
      <c r="AG394" s="76"/>
      <c r="AH394" s="76"/>
      <c r="AI394" s="76"/>
      <c r="AJ394" s="76"/>
      <c r="AK394" s="76"/>
      <c r="AL394" s="77"/>
      <c r="AM394" s="76"/>
      <c r="AN394" s="76"/>
    </row>
    <row r="395" spans="1:40" ht="15">
      <c r="A395" s="83" t="e">
        <f>IF(#REF!&lt;&gt;#REF!,1,A394+1)</f>
        <v>#REF!</v>
      </c>
      <c r="O395" s="79"/>
      <c r="P395" s="79"/>
      <c r="Q395" s="76"/>
      <c r="R395" s="77"/>
      <c r="S395" s="76"/>
      <c r="T395" s="77"/>
      <c r="U395" s="76"/>
      <c r="V395" s="77"/>
      <c r="W395" s="76"/>
      <c r="X395" s="77"/>
      <c r="Y395" s="76"/>
      <c r="Z395" s="76"/>
      <c r="AA395" s="76"/>
      <c r="AB395" s="76"/>
      <c r="AC395" s="76"/>
      <c r="AD395" s="76"/>
      <c r="AE395" s="76"/>
      <c r="AF395" s="76"/>
      <c r="AG395" s="76"/>
      <c r="AH395" s="76"/>
      <c r="AI395" s="76"/>
      <c r="AJ395" s="76"/>
      <c r="AK395" s="76"/>
      <c r="AL395" s="77"/>
      <c r="AM395" s="76"/>
      <c r="AN395" s="76"/>
    </row>
    <row r="396" spans="1:40" ht="15">
      <c r="A396" s="83" t="e">
        <f>IF(#REF!&lt;&gt;#REF!,1,A395+1)</f>
        <v>#REF!</v>
      </c>
      <c r="O396" s="79"/>
      <c r="P396" s="79"/>
      <c r="Q396" s="76"/>
      <c r="R396" s="77"/>
      <c r="S396" s="76"/>
      <c r="T396" s="77"/>
      <c r="U396" s="76"/>
      <c r="V396" s="77"/>
      <c r="W396" s="76"/>
      <c r="X396" s="77"/>
      <c r="Y396" s="76"/>
      <c r="Z396" s="76"/>
      <c r="AA396" s="76"/>
      <c r="AB396" s="76"/>
      <c r="AC396" s="76"/>
      <c r="AD396" s="76"/>
      <c r="AE396" s="76"/>
      <c r="AF396" s="76"/>
      <c r="AG396" s="76"/>
      <c r="AH396" s="76"/>
      <c r="AI396" s="76"/>
      <c r="AJ396" s="76"/>
      <c r="AK396" s="76"/>
      <c r="AL396" s="77"/>
      <c r="AM396" s="76"/>
      <c r="AN396" s="76"/>
    </row>
    <row r="397" spans="1:40" ht="15">
      <c r="A397" s="83" t="e">
        <f>IF(#REF!&lt;&gt;#REF!,1,A396+1)</f>
        <v>#REF!</v>
      </c>
      <c r="O397" s="79"/>
      <c r="P397" s="79"/>
      <c r="Q397" s="76"/>
      <c r="R397" s="77"/>
      <c r="S397" s="76"/>
      <c r="T397" s="77"/>
      <c r="U397" s="76"/>
      <c r="V397" s="77"/>
      <c r="W397" s="76"/>
      <c r="X397" s="77"/>
      <c r="Y397" s="76"/>
      <c r="Z397" s="76"/>
      <c r="AA397" s="76"/>
      <c r="AB397" s="76"/>
      <c r="AC397" s="76"/>
      <c r="AD397" s="76"/>
      <c r="AE397" s="76"/>
      <c r="AF397" s="76"/>
      <c r="AG397" s="76"/>
      <c r="AH397" s="76"/>
      <c r="AI397" s="76"/>
      <c r="AJ397" s="76"/>
      <c r="AK397" s="76"/>
      <c r="AL397" s="77"/>
      <c r="AM397" s="76"/>
      <c r="AN397" s="76"/>
    </row>
    <row r="398" spans="1:40" ht="15">
      <c r="A398" s="83" t="e">
        <f>IF(#REF!&lt;&gt;#REF!,1,A397+1)</f>
        <v>#REF!</v>
      </c>
      <c r="O398" s="79"/>
      <c r="P398" s="79"/>
      <c r="Q398" s="76"/>
      <c r="R398" s="77"/>
      <c r="S398" s="76"/>
      <c r="T398" s="77"/>
      <c r="U398" s="76"/>
      <c r="V398" s="77"/>
      <c r="W398" s="76"/>
      <c r="X398" s="77"/>
      <c r="Y398" s="76"/>
      <c r="Z398" s="76"/>
      <c r="AA398" s="76"/>
      <c r="AB398" s="76"/>
      <c r="AC398" s="76"/>
      <c r="AD398" s="76"/>
      <c r="AE398" s="76"/>
      <c r="AF398" s="76"/>
      <c r="AG398" s="76"/>
      <c r="AH398" s="76"/>
      <c r="AI398" s="76"/>
      <c r="AJ398" s="76"/>
      <c r="AK398" s="76"/>
      <c r="AL398" s="77"/>
      <c r="AM398" s="76"/>
      <c r="AN398" s="76"/>
    </row>
    <row r="399" spans="1:40" ht="15">
      <c r="A399" s="83" t="e">
        <f>IF(#REF!&lt;&gt;#REF!,1,A398+1)</f>
        <v>#REF!</v>
      </c>
      <c r="O399" s="79"/>
      <c r="P399" s="79"/>
      <c r="Q399" s="76"/>
      <c r="R399" s="77"/>
      <c r="S399" s="76"/>
      <c r="T399" s="77"/>
      <c r="U399" s="76"/>
      <c r="V399" s="77"/>
      <c r="W399" s="76"/>
      <c r="X399" s="77"/>
      <c r="Y399" s="76"/>
      <c r="Z399" s="76"/>
      <c r="AA399" s="76"/>
      <c r="AB399" s="76"/>
      <c r="AC399" s="76"/>
      <c r="AD399" s="76"/>
      <c r="AE399" s="76"/>
      <c r="AF399" s="76"/>
      <c r="AG399" s="76"/>
      <c r="AH399" s="76"/>
      <c r="AI399" s="76"/>
      <c r="AJ399" s="76"/>
      <c r="AK399" s="76"/>
      <c r="AL399" s="77"/>
      <c r="AM399" s="76"/>
      <c r="AN399" s="76"/>
    </row>
    <row r="400" spans="1:40" ht="15">
      <c r="A400" s="83" t="e">
        <f>IF(#REF!&lt;&gt;#REF!,1,A399+1)</f>
        <v>#REF!</v>
      </c>
      <c r="O400" s="79"/>
      <c r="P400" s="79"/>
      <c r="Q400" s="76"/>
      <c r="R400" s="77"/>
      <c r="S400" s="76"/>
      <c r="T400" s="77"/>
      <c r="U400" s="76"/>
      <c r="V400" s="77"/>
      <c r="W400" s="76"/>
      <c r="X400" s="77"/>
      <c r="Y400" s="76"/>
      <c r="Z400" s="76"/>
      <c r="AA400" s="76"/>
      <c r="AB400" s="76"/>
      <c r="AC400" s="76"/>
      <c r="AD400" s="76"/>
      <c r="AE400" s="76"/>
      <c r="AF400" s="76"/>
      <c r="AG400" s="76"/>
      <c r="AH400" s="76"/>
      <c r="AI400" s="76"/>
      <c r="AJ400" s="76"/>
      <c r="AK400" s="76"/>
      <c r="AL400" s="77"/>
      <c r="AM400" s="76"/>
      <c r="AN400" s="76"/>
    </row>
    <row r="401" spans="1:40" ht="15">
      <c r="A401" s="83" t="e">
        <f>IF(#REF!&lt;&gt;#REF!,1,A400+1)</f>
        <v>#REF!</v>
      </c>
      <c r="O401" s="79"/>
      <c r="P401" s="79"/>
      <c r="Q401" s="76"/>
      <c r="R401" s="77"/>
      <c r="S401" s="76"/>
      <c r="T401" s="77"/>
      <c r="U401" s="76"/>
      <c r="V401" s="77"/>
      <c r="W401" s="76"/>
      <c r="X401" s="77"/>
      <c r="Y401" s="76"/>
      <c r="Z401" s="76"/>
      <c r="AA401" s="76"/>
      <c r="AB401" s="76"/>
      <c r="AC401" s="76"/>
      <c r="AD401" s="76"/>
      <c r="AE401" s="76"/>
      <c r="AF401" s="76"/>
      <c r="AG401" s="76"/>
      <c r="AH401" s="76"/>
      <c r="AI401" s="76"/>
      <c r="AJ401" s="76"/>
      <c r="AK401" s="76"/>
      <c r="AL401" s="77"/>
      <c r="AM401" s="76"/>
      <c r="AN401" s="76"/>
    </row>
    <row r="402" spans="1:40" ht="15">
      <c r="A402" s="83" t="e">
        <f>IF(#REF!&lt;&gt;#REF!,1,A401+1)</f>
        <v>#REF!</v>
      </c>
      <c r="O402" s="79"/>
      <c r="P402" s="79"/>
      <c r="Q402" s="76"/>
      <c r="R402" s="77"/>
      <c r="S402" s="76"/>
      <c r="T402" s="77"/>
      <c r="U402" s="76"/>
      <c r="V402" s="77"/>
      <c r="W402" s="76"/>
      <c r="X402" s="77"/>
      <c r="Y402" s="76"/>
      <c r="Z402" s="76"/>
      <c r="AA402" s="76"/>
      <c r="AB402" s="76"/>
      <c r="AC402" s="76"/>
      <c r="AD402" s="76"/>
      <c r="AE402" s="76"/>
      <c r="AF402" s="76"/>
      <c r="AG402" s="76"/>
      <c r="AH402" s="76"/>
      <c r="AI402" s="76"/>
      <c r="AJ402" s="76"/>
      <c r="AK402" s="76"/>
      <c r="AL402" s="77"/>
      <c r="AM402" s="76"/>
      <c r="AN402" s="76"/>
    </row>
    <row r="403" spans="1:40" ht="15">
      <c r="A403" s="83" t="e">
        <f>IF(#REF!&lt;&gt;#REF!,1,A402+1)</f>
        <v>#REF!</v>
      </c>
      <c r="O403" s="79"/>
      <c r="P403" s="79"/>
      <c r="Q403" s="76"/>
      <c r="R403" s="77"/>
      <c r="S403" s="76"/>
      <c r="T403" s="77"/>
      <c r="U403" s="76"/>
      <c r="V403" s="77"/>
      <c r="W403" s="76"/>
      <c r="X403" s="77"/>
      <c r="Y403" s="76"/>
      <c r="Z403" s="76"/>
      <c r="AA403" s="76"/>
      <c r="AB403" s="76"/>
      <c r="AC403" s="76"/>
      <c r="AD403" s="76"/>
      <c r="AE403" s="76"/>
      <c r="AF403" s="76"/>
      <c r="AG403" s="76"/>
      <c r="AH403" s="76"/>
      <c r="AI403" s="76"/>
      <c r="AJ403" s="76"/>
      <c r="AK403" s="76"/>
      <c r="AL403" s="77"/>
      <c r="AM403" s="76"/>
      <c r="AN403" s="76"/>
    </row>
    <row r="404" spans="1:40" ht="15">
      <c r="A404" s="83" t="e">
        <f>IF(#REF!&lt;&gt;#REF!,1,A403+1)</f>
        <v>#REF!</v>
      </c>
      <c r="O404" s="79"/>
      <c r="P404" s="79"/>
      <c r="Q404" s="76"/>
      <c r="R404" s="77"/>
      <c r="S404" s="76"/>
      <c r="T404" s="77"/>
      <c r="U404" s="76"/>
      <c r="V404" s="77"/>
      <c r="W404" s="76"/>
      <c r="X404" s="77"/>
      <c r="Y404" s="76"/>
      <c r="Z404" s="76"/>
      <c r="AA404" s="76"/>
      <c r="AB404" s="76"/>
      <c r="AC404" s="76"/>
      <c r="AD404" s="76"/>
      <c r="AE404" s="76"/>
      <c r="AF404" s="76"/>
      <c r="AG404" s="76"/>
      <c r="AH404" s="76"/>
      <c r="AI404" s="76"/>
      <c r="AJ404" s="76"/>
      <c r="AK404" s="76"/>
      <c r="AL404" s="77"/>
      <c r="AM404" s="76"/>
      <c r="AN404" s="76"/>
    </row>
    <row r="405" spans="1:40" ht="15">
      <c r="A405" s="83" t="e">
        <f>IF(#REF!&lt;&gt;#REF!,1,A404+1)</f>
        <v>#REF!</v>
      </c>
      <c r="O405" s="79"/>
      <c r="P405" s="79"/>
      <c r="Q405" s="76"/>
      <c r="R405" s="77"/>
      <c r="S405" s="76"/>
      <c r="T405" s="77"/>
      <c r="U405" s="76"/>
      <c r="V405" s="77"/>
      <c r="W405" s="76"/>
      <c r="X405" s="77"/>
      <c r="Y405" s="76"/>
      <c r="Z405" s="76"/>
      <c r="AA405" s="76"/>
      <c r="AB405" s="76"/>
      <c r="AC405" s="76"/>
      <c r="AD405" s="76"/>
      <c r="AE405" s="76"/>
      <c r="AF405" s="76"/>
      <c r="AG405" s="76"/>
      <c r="AH405" s="76"/>
      <c r="AI405" s="76"/>
      <c r="AJ405" s="76"/>
      <c r="AK405" s="76"/>
      <c r="AL405" s="77"/>
      <c r="AM405" s="76"/>
      <c r="AN405" s="76"/>
    </row>
    <row r="406" spans="1:40" ht="15">
      <c r="A406" s="83" t="e">
        <f>IF(#REF!&lt;&gt;#REF!,1,A405+1)</f>
        <v>#REF!</v>
      </c>
      <c r="O406" s="79"/>
      <c r="P406" s="79"/>
      <c r="Q406" s="76"/>
      <c r="R406" s="77"/>
      <c r="S406" s="76"/>
      <c r="T406" s="77"/>
      <c r="U406" s="76"/>
      <c r="V406" s="77"/>
      <c r="W406" s="76"/>
      <c r="X406" s="77"/>
      <c r="Y406" s="76"/>
      <c r="Z406" s="76"/>
      <c r="AA406" s="76"/>
      <c r="AB406" s="76"/>
      <c r="AC406" s="76"/>
      <c r="AD406" s="76"/>
      <c r="AE406" s="76"/>
      <c r="AF406" s="76"/>
      <c r="AG406" s="76"/>
      <c r="AH406" s="76"/>
      <c r="AI406" s="76"/>
      <c r="AJ406" s="76"/>
      <c r="AK406" s="76"/>
      <c r="AL406" s="77"/>
      <c r="AM406" s="76"/>
      <c r="AN406" s="76"/>
    </row>
    <row r="407" spans="1:40" ht="15">
      <c r="A407" s="83" t="e">
        <f>IF(#REF!&lt;&gt;#REF!,1,A406+1)</f>
        <v>#REF!</v>
      </c>
      <c r="O407" s="79"/>
      <c r="P407" s="79"/>
      <c r="Q407" s="76"/>
      <c r="R407" s="77"/>
      <c r="S407" s="76"/>
      <c r="T407" s="77"/>
      <c r="U407" s="76"/>
      <c r="V407" s="77"/>
      <c r="W407" s="76"/>
      <c r="X407" s="77"/>
      <c r="Y407" s="76"/>
      <c r="Z407" s="76"/>
      <c r="AA407" s="76"/>
      <c r="AB407" s="76"/>
      <c r="AC407" s="76"/>
      <c r="AD407" s="76"/>
      <c r="AE407" s="76"/>
      <c r="AF407" s="76"/>
      <c r="AG407" s="76"/>
      <c r="AH407" s="76"/>
      <c r="AI407" s="76"/>
      <c r="AJ407" s="76"/>
      <c r="AK407" s="76"/>
      <c r="AL407" s="77"/>
      <c r="AM407" s="76"/>
      <c r="AN407" s="76"/>
    </row>
    <row r="408" spans="1:40" ht="15">
      <c r="A408" s="83" t="e">
        <f>IF(#REF!&lt;&gt;#REF!,1,A407+1)</f>
        <v>#REF!</v>
      </c>
      <c r="O408" s="79"/>
      <c r="P408" s="79"/>
      <c r="Q408" s="76"/>
      <c r="R408" s="77"/>
      <c r="S408" s="76"/>
      <c r="T408" s="77"/>
      <c r="U408" s="76"/>
      <c r="V408" s="77"/>
      <c r="W408" s="76"/>
      <c r="X408" s="77"/>
      <c r="Y408" s="76"/>
      <c r="Z408" s="76"/>
      <c r="AA408" s="76"/>
      <c r="AB408" s="76"/>
      <c r="AC408" s="76"/>
      <c r="AD408" s="76"/>
      <c r="AE408" s="76"/>
      <c r="AF408" s="76"/>
      <c r="AG408" s="76"/>
      <c r="AH408" s="76"/>
      <c r="AI408" s="76"/>
      <c r="AJ408" s="76"/>
      <c r="AK408" s="76"/>
      <c r="AL408" s="77"/>
      <c r="AM408" s="76"/>
      <c r="AN408" s="76"/>
    </row>
    <row r="409" spans="1:40" ht="15">
      <c r="A409" s="83" t="e">
        <f>IF(#REF!&lt;&gt;#REF!,1,A408+1)</f>
        <v>#REF!</v>
      </c>
      <c r="O409" s="79"/>
      <c r="P409" s="79"/>
      <c r="Q409" s="76"/>
      <c r="R409" s="77"/>
      <c r="S409" s="76"/>
      <c r="T409" s="77"/>
      <c r="U409" s="76"/>
      <c r="V409" s="77"/>
      <c r="W409" s="76"/>
      <c r="X409" s="77"/>
      <c r="Y409" s="76"/>
      <c r="Z409" s="76"/>
      <c r="AA409" s="76"/>
      <c r="AB409" s="76"/>
      <c r="AC409" s="76"/>
      <c r="AD409" s="76"/>
      <c r="AE409" s="76"/>
      <c r="AF409" s="76"/>
      <c r="AG409" s="76"/>
      <c r="AH409" s="76"/>
      <c r="AI409" s="76"/>
      <c r="AJ409" s="76"/>
      <c r="AK409" s="76"/>
      <c r="AL409" s="77"/>
      <c r="AM409" s="76"/>
      <c r="AN409" s="76"/>
    </row>
    <row r="410" spans="1:40" ht="15">
      <c r="A410" s="83" t="e">
        <f>IF(#REF!&lt;&gt;#REF!,1,A409+1)</f>
        <v>#REF!</v>
      </c>
      <c r="O410" s="79"/>
      <c r="P410" s="79"/>
      <c r="Q410" s="76"/>
      <c r="R410" s="77"/>
      <c r="S410" s="76"/>
      <c r="T410" s="77"/>
      <c r="U410" s="76"/>
      <c r="V410" s="77"/>
      <c r="W410" s="76"/>
      <c r="X410" s="77"/>
      <c r="Y410" s="76"/>
      <c r="Z410" s="76"/>
      <c r="AA410" s="76"/>
      <c r="AB410" s="76"/>
      <c r="AC410" s="76"/>
      <c r="AD410" s="76"/>
      <c r="AE410" s="76"/>
      <c r="AF410" s="76"/>
      <c r="AG410" s="76"/>
      <c r="AH410" s="76"/>
      <c r="AI410" s="76"/>
      <c r="AJ410" s="76"/>
      <c r="AK410" s="76"/>
      <c r="AL410" s="77"/>
      <c r="AM410" s="76"/>
      <c r="AN410" s="76"/>
    </row>
    <row r="411" spans="1:40" ht="15">
      <c r="A411" s="83" t="e">
        <f>IF(#REF!&lt;&gt;#REF!,1,A410+1)</f>
        <v>#REF!</v>
      </c>
      <c r="O411" s="79"/>
      <c r="P411" s="79"/>
      <c r="Q411" s="76"/>
      <c r="R411" s="77"/>
      <c r="S411" s="76"/>
      <c r="T411" s="77"/>
      <c r="U411" s="76"/>
      <c r="V411" s="77"/>
      <c r="W411" s="76"/>
      <c r="X411" s="77"/>
      <c r="Y411" s="76"/>
      <c r="Z411" s="76"/>
      <c r="AA411" s="76"/>
      <c r="AB411" s="76"/>
      <c r="AC411" s="76"/>
      <c r="AD411" s="76"/>
      <c r="AE411" s="76"/>
      <c r="AF411" s="76"/>
      <c r="AG411" s="76"/>
      <c r="AH411" s="76"/>
      <c r="AI411" s="76"/>
      <c r="AJ411" s="76"/>
      <c r="AK411" s="76"/>
      <c r="AL411" s="77"/>
      <c r="AM411" s="76"/>
      <c r="AN411" s="76"/>
    </row>
    <row r="412" spans="1:40" ht="15">
      <c r="A412" s="83" t="e">
        <f>IF(#REF!&lt;&gt;#REF!,1,A411+1)</f>
        <v>#REF!</v>
      </c>
      <c r="O412" s="79"/>
      <c r="P412" s="79"/>
      <c r="Q412" s="76"/>
      <c r="R412" s="77"/>
      <c r="S412" s="76"/>
      <c r="T412" s="77"/>
      <c r="U412" s="76"/>
      <c r="V412" s="77"/>
      <c r="W412" s="76"/>
      <c r="X412" s="77"/>
      <c r="Y412" s="76"/>
      <c r="Z412" s="76"/>
      <c r="AA412" s="76"/>
      <c r="AB412" s="76"/>
      <c r="AC412" s="76"/>
      <c r="AD412" s="76"/>
      <c r="AE412" s="76"/>
      <c r="AF412" s="76"/>
      <c r="AG412" s="76"/>
      <c r="AH412" s="76"/>
      <c r="AI412" s="76"/>
      <c r="AJ412" s="76"/>
      <c r="AK412" s="76"/>
      <c r="AL412" s="77"/>
      <c r="AM412" s="76"/>
      <c r="AN412" s="76"/>
    </row>
    <row r="413" spans="1:40" ht="15">
      <c r="A413" s="83" t="e">
        <f>IF(#REF!&lt;&gt;#REF!,1,A412+1)</f>
        <v>#REF!</v>
      </c>
      <c r="O413" s="79"/>
      <c r="P413" s="79"/>
      <c r="Q413" s="76"/>
      <c r="R413" s="77"/>
      <c r="S413" s="76"/>
      <c r="T413" s="77"/>
      <c r="U413" s="76"/>
      <c r="V413" s="77"/>
      <c r="W413" s="76"/>
      <c r="X413" s="77"/>
      <c r="Y413" s="76"/>
      <c r="Z413" s="76"/>
      <c r="AA413" s="76"/>
      <c r="AB413" s="76"/>
      <c r="AC413" s="76"/>
      <c r="AD413" s="76"/>
      <c r="AE413" s="76"/>
      <c r="AF413" s="76"/>
      <c r="AG413" s="76"/>
      <c r="AH413" s="76"/>
      <c r="AI413" s="76"/>
      <c r="AJ413" s="76"/>
      <c r="AK413" s="76"/>
      <c r="AL413" s="77"/>
      <c r="AM413" s="76"/>
      <c r="AN413" s="76"/>
    </row>
    <row r="414" spans="1:40" ht="15">
      <c r="A414" s="83" t="e">
        <f>IF(#REF!&lt;&gt;#REF!,1,A413+1)</f>
        <v>#REF!</v>
      </c>
      <c r="O414" s="79"/>
      <c r="P414" s="79"/>
      <c r="Q414" s="76"/>
      <c r="R414" s="77"/>
      <c r="S414" s="76"/>
      <c r="T414" s="77"/>
      <c r="U414" s="76"/>
      <c r="V414" s="77"/>
      <c r="W414" s="76"/>
      <c r="X414" s="77"/>
      <c r="Y414" s="76"/>
      <c r="Z414" s="76"/>
      <c r="AA414" s="76"/>
      <c r="AB414" s="76"/>
      <c r="AC414" s="76"/>
      <c r="AD414" s="76"/>
      <c r="AE414" s="76"/>
      <c r="AF414" s="76"/>
      <c r="AG414" s="76"/>
      <c r="AH414" s="76"/>
      <c r="AI414" s="76"/>
      <c r="AJ414" s="76"/>
      <c r="AK414" s="76"/>
      <c r="AL414" s="77"/>
      <c r="AM414" s="76"/>
      <c r="AN414" s="76"/>
    </row>
    <row r="415" spans="1:40" ht="15">
      <c r="A415" s="83" t="e">
        <f>IF(#REF!&lt;&gt;#REF!,1,A414+1)</f>
        <v>#REF!</v>
      </c>
      <c r="O415" s="79"/>
      <c r="P415" s="79"/>
      <c r="Q415" s="76"/>
      <c r="R415" s="77"/>
      <c r="S415" s="76"/>
      <c r="T415" s="77"/>
      <c r="U415" s="76"/>
      <c r="V415" s="77"/>
      <c r="W415" s="76"/>
      <c r="X415" s="77"/>
      <c r="Y415" s="76"/>
      <c r="Z415" s="76"/>
      <c r="AA415" s="76"/>
      <c r="AB415" s="76"/>
      <c r="AC415" s="76"/>
      <c r="AD415" s="76"/>
      <c r="AE415" s="76"/>
      <c r="AF415" s="76"/>
      <c r="AG415" s="76"/>
      <c r="AH415" s="76"/>
      <c r="AI415" s="76"/>
      <c r="AJ415" s="76"/>
      <c r="AK415" s="76"/>
      <c r="AL415" s="77"/>
      <c r="AM415" s="76"/>
      <c r="AN415" s="76"/>
    </row>
    <row r="416" spans="1:40" ht="15">
      <c r="A416" s="83" t="e">
        <f>IF(#REF!&lt;&gt;#REF!,1,A415+1)</f>
        <v>#REF!</v>
      </c>
      <c r="O416" s="79"/>
      <c r="P416" s="79"/>
      <c r="Q416" s="76"/>
      <c r="R416" s="77"/>
      <c r="S416" s="76"/>
      <c r="T416" s="77"/>
      <c r="U416" s="76"/>
      <c r="V416" s="77"/>
      <c r="W416" s="76"/>
      <c r="X416" s="77"/>
      <c r="Y416" s="76"/>
      <c r="Z416" s="76"/>
      <c r="AA416" s="76"/>
      <c r="AB416" s="76"/>
      <c r="AC416" s="76"/>
      <c r="AD416" s="76"/>
      <c r="AE416" s="76"/>
      <c r="AF416" s="76"/>
      <c r="AG416" s="76"/>
      <c r="AH416" s="76"/>
      <c r="AI416" s="76"/>
      <c r="AJ416" s="76"/>
      <c r="AK416" s="76"/>
      <c r="AL416" s="77"/>
      <c r="AM416" s="76"/>
      <c r="AN416" s="76"/>
    </row>
    <row r="417" spans="1:40" ht="15">
      <c r="A417" s="83" t="e">
        <f>IF(#REF!&lt;&gt;#REF!,1,A416+1)</f>
        <v>#REF!</v>
      </c>
      <c r="O417" s="79"/>
      <c r="P417" s="79"/>
      <c r="Q417" s="76"/>
      <c r="R417" s="77"/>
      <c r="S417" s="76"/>
      <c r="T417" s="77"/>
      <c r="U417" s="76"/>
      <c r="V417" s="77"/>
      <c r="W417" s="76"/>
      <c r="X417" s="77"/>
      <c r="Y417" s="76"/>
      <c r="Z417" s="76"/>
      <c r="AA417" s="76"/>
      <c r="AB417" s="76"/>
      <c r="AC417" s="76"/>
      <c r="AD417" s="76"/>
      <c r="AE417" s="76"/>
      <c r="AF417" s="76"/>
      <c r="AG417" s="76"/>
      <c r="AH417" s="76"/>
      <c r="AI417" s="76"/>
      <c r="AJ417" s="76"/>
      <c r="AK417" s="76"/>
      <c r="AL417" s="77"/>
      <c r="AM417" s="76"/>
      <c r="AN417" s="76"/>
    </row>
    <row r="418" spans="1:40" ht="15">
      <c r="A418" s="83" t="e">
        <f>IF(#REF!&lt;&gt;#REF!,1,A417+1)</f>
        <v>#REF!</v>
      </c>
      <c r="O418" s="79"/>
      <c r="P418" s="79"/>
      <c r="Q418" s="76"/>
      <c r="R418" s="77"/>
      <c r="S418" s="76"/>
      <c r="T418" s="77"/>
      <c r="U418" s="76"/>
      <c r="V418" s="77"/>
      <c r="W418" s="76"/>
      <c r="X418" s="77"/>
      <c r="Y418" s="76"/>
      <c r="Z418" s="76"/>
      <c r="AA418" s="76"/>
      <c r="AB418" s="76"/>
      <c r="AC418" s="76"/>
      <c r="AD418" s="76"/>
      <c r="AE418" s="76"/>
      <c r="AF418" s="76"/>
      <c r="AG418" s="76"/>
      <c r="AH418" s="76"/>
      <c r="AI418" s="76"/>
      <c r="AJ418" s="76"/>
      <c r="AK418" s="76"/>
      <c r="AL418" s="77"/>
      <c r="AM418" s="76"/>
      <c r="AN418" s="76"/>
    </row>
    <row r="419" spans="1:40" ht="15">
      <c r="A419" s="83" t="e">
        <f>IF(#REF!&lt;&gt;#REF!,1,A418+1)</f>
        <v>#REF!</v>
      </c>
      <c r="O419" s="79"/>
      <c r="P419" s="79"/>
      <c r="Q419" s="76"/>
      <c r="R419" s="77"/>
      <c r="S419" s="76"/>
      <c r="T419" s="77"/>
      <c r="U419" s="76"/>
      <c r="V419" s="77"/>
      <c r="W419" s="76"/>
      <c r="X419" s="77"/>
      <c r="Y419" s="76"/>
      <c r="Z419" s="76"/>
      <c r="AA419" s="76"/>
      <c r="AB419" s="76"/>
      <c r="AC419" s="76"/>
      <c r="AD419" s="76"/>
      <c r="AE419" s="76"/>
      <c r="AF419" s="76"/>
      <c r="AG419" s="76"/>
      <c r="AH419" s="76"/>
      <c r="AI419" s="76"/>
      <c r="AJ419" s="76"/>
      <c r="AK419" s="76"/>
      <c r="AL419" s="77"/>
      <c r="AM419" s="76"/>
      <c r="AN419" s="76"/>
    </row>
    <row r="420" spans="1:40" ht="15">
      <c r="A420" s="83" t="e">
        <f>IF(#REF!&lt;&gt;#REF!,1,A419+1)</f>
        <v>#REF!</v>
      </c>
      <c r="O420" s="79"/>
      <c r="P420" s="79"/>
      <c r="Q420" s="76"/>
      <c r="R420" s="77"/>
      <c r="S420" s="76"/>
      <c r="T420" s="77"/>
      <c r="U420" s="76"/>
      <c r="V420" s="77"/>
      <c r="W420" s="76"/>
      <c r="X420" s="77"/>
      <c r="Y420" s="76"/>
      <c r="Z420" s="76"/>
      <c r="AA420" s="76"/>
      <c r="AB420" s="76"/>
      <c r="AC420" s="76"/>
      <c r="AD420" s="76"/>
      <c r="AE420" s="76"/>
      <c r="AF420" s="76"/>
      <c r="AG420" s="76"/>
      <c r="AH420" s="76"/>
      <c r="AI420" s="76"/>
      <c r="AJ420" s="76"/>
      <c r="AK420" s="76"/>
      <c r="AL420" s="77"/>
      <c r="AM420" s="76"/>
      <c r="AN420" s="76"/>
    </row>
    <row r="421" spans="1:40" ht="15">
      <c r="A421" s="83" t="e">
        <f>IF(#REF!&lt;&gt;#REF!,1,A420+1)</f>
        <v>#REF!</v>
      </c>
      <c r="O421" s="79"/>
      <c r="P421" s="79"/>
      <c r="Q421" s="76"/>
      <c r="R421" s="77"/>
      <c r="S421" s="76"/>
      <c r="T421" s="77"/>
      <c r="U421" s="76"/>
      <c r="V421" s="77"/>
      <c r="W421" s="76"/>
      <c r="X421" s="77"/>
      <c r="Y421" s="76"/>
      <c r="Z421" s="76"/>
      <c r="AA421" s="76"/>
      <c r="AB421" s="76"/>
      <c r="AC421" s="76"/>
      <c r="AD421" s="76"/>
      <c r="AE421" s="76"/>
      <c r="AF421" s="76"/>
      <c r="AG421" s="76"/>
      <c r="AH421" s="76"/>
      <c r="AI421" s="76"/>
      <c r="AJ421" s="76"/>
      <c r="AK421" s="76"/>
      <c r="AL421" s="77"/>
      <c r="AM421" s="76"/>
      <c r="AN421" s="76"/>
    </row>
    <row r="422" spans="1:40" ht="15">
      <c r="A422" s="83" t="e">
        <f>IF(#REF!&lt;&gt;#REF!,1,A421+1)</f>
        <v>#REF!</v>
      </c>
      <c r="O422" s="79"/>
      <c r="P422" s="79"/>
      <c r="Q422" s="76"/>
      <c r="R422" s="77"/>
      <c r="S422" s="76"/>
      <c r="T422" s="77"/>
      <c r="U422" s="76"/>
      <c r="V422" s="77"/>
      <c r="W422" s="76"/>
      <c r="X422" s="77"/>
      <c r="Y422" s="76"/>
      <c r="Z422" s="76"/>
      <c r="AA422" s="76"/>
      <c r="AB422" s="76"/>
      <c r="AC422" s="76"/>
      <c r="AD422" s="76"/>
      <c r="AE422" s="76"/>
      <c r="AF422" s="76"/>
      <c r="AG422" s="76"/>
      <c r="AH422" s="76"/>
      <c r="AI422" s="76"/>
      <c r="AJ422" s="76"/>
      <c r="AK422" s="76"/>
      <c r="AL422" s="77"/>
      <c r="AM422" s="76"/>
      <c r="AN422" s="76"/>
    </row>
    <row r="423" spans="1:40" ht="15">
      <c r="A423" s="83" t="e">
        <f>IF(#REF!&lt;&gt;#REF!,1,A422+1)</f>
        <v>#REF!</v>
      </c>
      <c r="O423" s="79"/>
      <c r="P423" s="79"/>
      <c r="Q423" s="76"/>
      <c r="R423" s="77"/>
      <c r="S423" s="76"/>
      <c r="T423" s="77"/>
      <c r="U423" s="76"/>
      <c r="V423" s="77"/>
      <c r="W423" s="76"/>
      <c r="X423" s="77"/>
      <c r="Y423" s="76"/>
      <c r="Z423" s="76"/>
      <c r="AA423" s="76"/>
      <c r="AB423" s="76"/>
      <c r="AC423" s="76"/>
      <c r="AD423" s="76"/>
      <c r="AE423" s="76"/>
      <c r="AF423" s="76"/>
      <c r="AG423" s="76"/>
      <c r="AH423" s="76"/>
      <c r="AI423" s="76"/>
      <c r="AJ423" s="76"/>
      <c r="AK423" s="76"/>
      <c r="AL423" s="77"/>
      <c r="AM423" s="76"/>
      <c r="AN423" s="76"/>
    </row>
    <row r="424" spans="1:40" ht="15">
      <c r="A424" s="83" t="e">
        <f>IF(#REF!&lt;&gt;#REF!,1,A423+1)</f>
        <v>#REF!</v>
      </c>
      <c r="O424" s="79"/>
      <c r="P424" s="79"/>
      <c r="Q424" s="76"/>
      <c r="R424" s="77"/>
      <c r="S424" s="76"/>
      <c r="T424" s="77"/>
      <c r="U424" s="76"/>
      <c r="V424" s="77"/>
      <c r="W424" s="76"/>
      <c r="X424" s="77"/>
      <c r="Y424" s="76"/>
      <c r="Z424" s="76"/>
      <c r="AA424" s="76"/>
      <c r="AB424" s="76"/>
      <c r="AC424" s="76"/>
      <c r="AD424" s="76"/>
      <c r="AE424" s="76"/>
      <c r="AF424" s="76"/>
      <c r="AG424" s="76"/>
      <c r="AH424" s="76"/>
      <c r="AI424" s="76"/>
      <c r="AJ424" s="76"/>
      <c r="AK424" s="76"/>
      <c r="AL424" s="77"/>
      <c r="AM424" s="76"/>
      <c r="AN424" s="76"/>
    </row>
    <row r="425" spans="1:40" ht="15">
      <c r="A425" s="83" t="e">
        <f>IF(#REF!&lt;&gt;#REF!,1,A424+1)</f>
        <v>#REF!</v>
      </c>
      <c r="O425" s="79"/>
      <c r="P425" s="79"/>
      <c r="Q425" s="76"/>
      <c r="R425" s="77"/>
      <c r="S425" s="76"/>
      <c r="T425" s="77"/>
      <c r="U425" s="76"/>
      <c r="V425" s="77"/>
      <c r="W425" s="76"/>
      <c r="X425" s="77"/>
      <c r="Y425" s="76"/>
      <c r="Z425" s="76"/>
      <c r="AA425" s="76"/>
      <c r="AB425" s="76"/>
      <c r="AC425" s="76"/>
      <c r="AD425" s="76"/>
      <c r="AE425" s="76"/>
      <c r="AF425" s="76"/>
      <c r="AG425" s="76"/>
      <c r="AH425" s="76"/>
      <c r="AI425" s="76"/>
      <c r="AJ425" s="76"/>
      <c r="AK425" s="76"/>
      <c r="AL425" s="77"/>
      <c r="AM425" s="76"/>
      <c r="AN425" s="76"/>
    </row>
    <row r="426" spans="1:40" ht="15">
      <c r="A426" s="83" t="e">
        <f>IF(#REF!&lt;&gt;#REF!,1,A425+1)</f>
        <v>#REF!</v>
      </c>
      <c r="O426" s="79"/>
      <c r="P426" s="79"/>
      <c r="Q426" s="76"/>
      <c r="R426" s="77"/>
      <c r="S426" s="76"/>
      <c r="T426" s="77"/>
      <c r="U426" s="76"/>
      <c r="V426" s="77"/>
      <c r="W426" s="76"/>
      <c r="X426" s="77"/>
      <c r="Y426" s="76"/>
      <c r="Z426" s="76"/>
      <c r="AA426" s="76"/>
      <c r="AB426" s="76"/>
      <c r="AC426" s="76"/>
      <c r="AD426" s="76"/>
      <c r="AE426" s="76"/>
      <c r="AF426" s="76"/>
      <c r="AG426" s="76"/>
      <c r="AH426" s="76"/>
      <c r="AI426" s="76"/>
      <c r="AJ426" s="76"/>
      <c r="AK426" s="76"/>
      <c r="AL426" s="77"/>
      <c r="AM426" s="76"/>
      <c r="AN426" s="76"/>
    </row>
    <row r="427" spans="1:40" ht="15">
      <c r="A427" s="83" t="e">
        <f>IF(#REF!&lt;&gt;#REF!,1,A426+1)</f>
        <v>#REF!</v>
      </c>
      <c r="O427" s="79"/>
      <c r="P427" s="79"/>
      <c r="Q427" s="76"/>
      <c r="R427" s="77"/>
      <c r="S427" s="76"/>
      <c r="T427" s="77"/>
      <c r="U427" s="76"/>
      <c r="V427" s="77"/>
      <c r="W427" s="76"/>
      <c r="X427" s="77"/>
      <c r="Y427" s="76"/>
      <c r="Z427" s="76"/>
      <c r="AA427" s="76"/>
      <c r="AB427" s="76"/>
      <c r="AC427" s="76"/>
      <c r="AD427" s="76"/>
      <c r="AE427" s="76"/>
      <c r="AF427" s="76"/>
      <c r="AG427" s="76"/>
      <c r="AH427" s="76"/>
      <c r="AI427" s="76"/>
      <c r="AJ427" s="76"/>
      <c r="AK427" s="76"/>
      <c r="AL427" s="77"/>
      <c r="AM427" s="76"/>
      <c r="AN427" s="76"/>
    </row>
    <row r="428" spans="1:40" ht="15">
      <c r="A428" s="83" t="e">
        <f>IF(#REF!&lt;&gt;#REF!,1,A427+1)</f>
        <v>#REF!</v>
      </c>
      <c r="O428" s="79"/>
      <c r="P428" s="79"/>
      <c r="Q428" s="76"/>
      <c r="R428" s="77"/>
      <c r="S428" s="76"/>
      <c r="T428" s="77"/>
      <c r="U428" s="76"/>
      <c r="V428" s="77"/>
      <c r="W428" s="76"/>
      <c r="X428" s="77"/>
      <c r="Y428" s="76"/>
      <c r="Z428" s="76"/>
      <c r="AA428" s="76"/>
      <c r="AB428" s="76"/>
      <c r="AC428" s="76"/>
      <c r="AD428" s="76"/>
      <c r="AE428" s="76"/>
      <c r="AF428" s="76"/>
      <c r="AG428" s="76"/>
      <c r="AH428" s="76"/>
      <c r="AI428" s="76"/>
      <c r="AJ428" s="76"/>
      <c r="AK428" s="76"/>
      <c r="AL428" s="77"/>
      <c r="AM428" s="76"/>
      <c r="AN428" s="76"/>
    </row>
    <row r="429" spans="1:40" ht="15">
      <c r="A429" s="83" t="e">
        <f>IF(#REF!&lt;&gt;#REF!,1,A428+1)</f>
        <v>#REF!</v>
      </c>
      <c r="O429" s="79"/>
      <c r="P429" s="79"/>
      <c r="Q429" s="76"/>
      <c r="R429" s="77"/>
      <c r="S429" s="76"/>
      <c r="T429" s="77"/>
      <c r="U429" s="76"/>
      <c r="V429" s="77"/>
      <c r="W429" s="76"/>
      <c r="X429" s="77"/>
      <c r="Y429" s="76"/>
      <c r="Z429" s="76"/>
      <c r="AA429" s="76"/>
      <c r="AB429" s="76"/>
      <c r="AC429" s="76"/>
      <c r="AD429" s="76"/>
      <c r="AE429" s="76"/>
      <c r="AF429" s="76"/>
      <c r="AG429" s="76"/>
      <c r="AH429" s="76"/>
      <c r="AI429" s="76"/>
      <c r="AJ429" s="76"/>
      <c r="AK429" s="76"/>
      <c r="AL429" s="77"/>
      <c r="AM429" s="76"/>
      <c r="AN429" s="76"/>
    </row>
    <row r="430" spans="1:40" ht="15">
      <c r="A430" s="83" t="e">
        <f>IF(#REF!&lt;&gt;#REF!,1,A429+1)</f>
        <v>#REF!</v>
      </c>
      <c r="O430" s="79"/>
      <c r="P430" s="79"/>
      <c r="Q430" s="76"/>
      <c r="R430" s="77"/>
      <c r="S430" s="76"/>
      <c r="T430" s="77"/>
      <c r="U430" s="76"/>
      <c r="V430" s="77"/>
      <c r="W430" s="76"/>
      <c r="X430" s="77"/>
      <c r="Y430" s="76"/>
      <c r="Z430" s="76"/>
      <c r="AA430" s="76"/>
      <c r="AB430" s="76"/>
      <c r="AC430" s="76"/>
      <c r="AD430" s="76"/>
      <c r="AE430" s="76"/>
      <c r="AF430" s="76"/>
      <c r="AG430" s="76"/>
      <c r="AH430" s="76"/>
      <c r="AI430" s="76"/>
      <c r="AJ430" s="76"/>
      <c r="AK430" s="76"/>
      <c r="AL430" s="77"/>
      <c r="AM430" s="76"/>
      <c r="AN430" s="76"/>
    </row>
    <row r="431" spans="1:40" ht="15">
      <c r="A431" s="83" t="e">
        <f>IF(#REF!&lt;&gt;#REF!,1,A430+1)</f>
        <v>#REF!</v>
      </c>
      <c r="O431" s="79"/>
      <c r="P431" s="79"/>
      <c r="Q431" s="76"/>
      <c r="R431" s="77"/>
      <c r="S431" s="76"/>
      <c r="T431" s="77"/>
      <c r="U431" s="76"/>
      <c r="V431" s="77"/>
      <c r="W431" s="76"/>
      <c r="X431" s="77"/>
      <c r="Y431" s="76"/>
      <c r="Z431" s="76"/>
      <c r="AA431" s="76"/>
      <c r="AB431" s="76"/>
      <c r="AC431" s="76"/>
      <c r="AD431" s="76"/>
      <c r="AE431" s="76"/>
      <c r="AF431" s="76"/>
      <c r="AG431" s="76"/>
      <c r="AH431" s="76"/>
      <c r="AI431" s="76"/>
      <c r="AJ431" s="76"/>
      <c r="AK431" s="76"/>
      <c r="AL431" s="77"/>
      <c r="AM431" s="76"/>
      <c r="AN431" s="76"/>
    </row>
    <row r="432" spans="1:40" ht="15">
      <c r="A432" s="83" t="e">
        <f>IF(#REF!&lt;&gt;#REF!,1,A431+1)</f>
        <v>#REF!</v>
      </c>
      <c r="O432" s="79"/>
      <c r="P432" s="79"/>
      <c r="Q432" s="76"/>
      <c r="R432" s="77"/>
      <c r="S432" s="76"/>
      <c r="T432" s="77"/>
      <c r="U432" s="76"/>
      <c r="V432" s="77"/>
      <c r="W432" s="76"/>
      <c r="X432" s="77"/>
      <c r="Y432" s="76"/>
      <c r="Z432" s="76"/>
      <c r="AA432" s="76"/>
      <c r="AB432" s="76"/>
      <c r="AC432" s="76"/>
      <c r="AD432" s="76"/>
      <c r="AE432" s="76"/>
      <c r="AF432" s="76"/>
      <c r="AG432" s="76"/>
      <c r="AH432" s="76"/>
      <c r="AI432" s="76"/>
      <c r="AJ432" s="76"/>
      <c r="AK432" s="76"/>
      <c r="AL432" s="77"/>
      <c r="AM432" s="76"/>
      <c r="AN432" s="76"/>
    </row>
    <row r="433" spans="1:40" ht="15">
      <c r="A433" s="83" t="e">
        <f>IF(#REF!&lt;&gt;#REF!,1,A432+1)</f>
        <v>#REF!</v>
      </c>
      <c r="O433" s="79"/>
      <c r="P433" s="79"/>
      <c r="Q433" s="76"/>
      <c r="R433" s="77"/>
      <c r="S433" s="76"/>
      <c r="T433" s="77"/>
      <c r="U433" s="76"/>
      <c r="V433" s="77"/>
      <c r="W433" s="76"/>
      <c r="X433" s="77"/>
      <c r="Y433" s="76"/>
      <c r="Z433" s="76"/>
      <c r="AA433" s="76"/>
      <c r="AB433" s="76"/>
      <c r="AC433" s="76"/>
      <c r="AD433" s="76"/>
      <c r="AE433" s="76"/>
      <c r="AF433" s="76"/>
      <c r="AG433" s="76"/>
      <c r="AH433" s="76"/>
      <c r="AI433" s="76"/>
      <c r="AJ433" s="76"/>
      <c r="AK433" s="76"/>
      <c r="AL433" s="77"/>
      <c r="AM433" s="76"/>
      <c r="AN433" s="76"/>
    </row>
    <row r="434" spans="1:40" ht="15">
      <c r="A434" s="83" t="e">
        <f>IF(#REF!&lt;&gt;#REF!,1,A433+1)</f>
        <v>#REF!</v>
      </c>
      <c r="O434" s="79"/>
      <c r="P434" s="79"/>
      <c r="Q434" s="76"/>
      <c r="R434" s="77"/>
      <c r="S434" s="76"/>
      <c r="T434" s="77"/>
      <c r="U434" s="76"/>
      <c r="V434" s="77"/>
      <c r="W434" s="76"/>
      <c r="X434" s="77"/>
      <c r="Y434" s="76"/>
      <c r="Z434" s="76"/>
      <c r="AA434" s="76"/>
      <c r="AB434" s="76"/>
      <c r="AC434" s="76"/>
      <c r="AD434" s="76"/>
      <c r="AE434" s="76"/>
      <c r="AF434" s="76"/>
      <c r="AG434" s="76"/>
      <c r="AH434" s="76"/>
      <c r="AI434" s="76"/>
      <c r="AJ434" s="76"/>
      <c r="AK434" s="76"/>
      <c r="AL434" s="77"/>
      <c r="AM434" s="76"/>
      <c r="AN434" s="76"/>
    </row>
    <row r="435" spans="1:40" ht="15">
      <c r="A435" s="83" t="e">
        <f>IF(#REF!&lt;&gt;#REF!,1,A434+1)</f>
        <v>#REF!</v>
      </c>
      <c r="O435" s="79"/>
      <c r="P435" s="79"/>
      <c r="Q435" s="76"/>
      <c r="R435" s="77"/>
      <c r="S435" s="76"/>
      <c r="T435" s="77"/>
      <c r="U435" s="76"/>
      <c r="V435" s="77"/>
      <c r="W435" s="76"/>
      <c r="X435" s="77"/>
      <c r="Y435" s="76"/>
      <c r="Z435" s="76"/>
      <c r="AA435" s="76"/>
      <c r="AB435" s="76"/>
      <c r="AC435" s="76"/>
      <c r="AD435" s="76"/>
      <c r="AE435" s="76"/>
      <c r="AF435" s="76"/>
      <c r="AG435" s="76"/>
      <c r="AH435" s="76"/>
      <c r="AI435" s="76"/>
      <c r="AJ435" s="76"/>
      <c r="AK435" s="76"/>
      <c r="AL435" s="77"/>
      <c r="AM435" s="76"/>
      <c r="AN435" s="76"/>
    </row>
    <row r="436" spans="1:40" ht="15">
      <c r="A436" s="83" t="e">
        <f>IF(#REF!&lt;&gt;#REF!,1,A435+1)</f>
        <v>#REF!</v>
      </c>
      <c r="O436" s="79"/>
      <c r="P436" s="79"/>
      <c r="Q436" s="76"/>
      <c r="R436" s="77"/>
      <c r="S436" s="76"/>
      <c r="T436" s="77"/>
      <c r="U436" s="76"/>
      <c r="V436" s="77"/>
      <c r="W436" s="76"/>
      <c r="X436" s="77"/>
      <c r="Y436" s="76"/>
      <c r="Z436" s="76"/>
      <c r="AA436" s="76"/>
      <c r="AB436" s="76"/>
      <c r="AC436" s="76"/>
      <c r="AD436" s="76"/>
      <c r="AE436" s="76"/>
      <c r="AF436" s="76"/>
      <c r="AG436" s="76"/>
      <c r="AH436" s="76"/>
      <c r="AI436" s="76"/>
      <c r="AJ436" s="76"/>
      <c r="AK436" s="76"/>
      <c r="AL436" s="77"/>
      <c r="AM436" s="76"/>
      <c r="AN436" s="76"/>
    </row>
    <row r="437" spans="1:40" ht="15">
      <c r="A437" s="83" t="e">
        <f>IF(#REF!&lt;&gt;#REF!,1,A436+1)</f>
        <v>#REF!</v>
      </c>
      <c r="O437" s="79"/>
      <c r="P437" s="79"/>
      <c r="Q437" s="76"/>
      <c r="R437" s="77"/>
      <c r="S437" s="76"/>
      <c r="T437" s="77"/>
      <c r="U437" s="76"/>
      <c r="V437" s="77"/>
      <c r="W437" s="76"/>
      <c r="X437" s="77"/>
      <c r="Y437" s="76"/>
      <c r="Z437" s="76"/>
      <c r="AA437" s="76"/>
      <c r="AB437" s="76"/>
      <c r="AC437" s="76"/>
      <c r="AD437" s="76"/>
      <c r="AE437" s="76"/>
      <c r="AF437" s="76"/>
      <c r="AG437" s="76"/>
      <c r="AH437" s="76"/>
      <c r="AI437" s="76"/>
      <c r="AJ437" s="76"/>
      <c r="AK437" s="76"/>
      <c r="AL437" s="77"/>
      <c r="AM437" s="76"/>
      <c r="AN437" s="76"/>
    </row>
    <row r="438" spans="1:40" ht="15">
      <c r="A438" s="83" t="e">
        <f>IF(#REF!&lt;&gt;#REF!,1,A437+1)</f>
        <v>#REF!</v>
      </c>
      <c r="O438" s="79"/>
      <c r="P438" s="79"/>
      <c r="Q438" s="76"/>
      <c r="R438" s="77"/>
      <c r="S438" s="76"/>
      <c r="T438" s="77"/>
      <c r="U438" s="76"/>
      <c r="V438" s="77"/>
      <c r="W438" s="76"/>
      <c r="X438" s="77"/>
      <c r="Y438" s="76"/>
      <c r="Z438" s="76"/>
      <c r="AA438" s="76"/>
      <c r="AB438" s="76"/>
      <c r="AC438" s="76"/>
      <c r="AD438" s="76"/>
      <c r="AE438" s="76"/>
      <c r="AF438" s="76"/>
      <c r="AG438" s="76"/>
      <c r="AH438" s="76"/>
      <c r="AI438" s="76"/>
      <c r="AJ438" s="76"/>
      <c r="AK438" s="76"/>
      <c r="AL438" s="77"/>
      <c r="AM438" s="76"/>
      <c r="AN438" s="76"/>
    </row>
    <row r="439" spans="1:40" ht="15">
      <c r="A439" s="83" t="e">
        <f>IF(#REF!&lt;&gt;#REF!,1,A438+1)</f>
        <v>#REF!</v>
      </c>
      <c r="O439" s="79"/>
      <c r="P439" s="79"/>
      <c r="Q439" s="76"/>
      <c r="R439" s="77"/>
      <c r="S439" s="76"/>
      <c r="T439" s="77"/>
      <c r="U439" s="76"/>
      <c r="V439" s="77"/>
      <c r="W439" s="76"/>
      <c r="X439" s="77"/>
      <c r="Y439" s="76"/>
      <c r="Z439" s="76"/>
      <c r="AA439" s="76"/>
      <c r="AB439" s="76"/>
      <c r="AC439" s="76"/>
      <c r="AD439" s="76"/>
      <c r="AE439" s="76"/>
      <c r="AF439" s="76"/>
      <c r="AG439" s="76"/>
      <c r="AH439" s="76"/>
      <c r="AI439" s="76"/>
      <c r="AJ439" s="76"/>
      <c r="AK439" s="76"/>
      <c r="AL439" s="77"/>
      <c r="AM439" s="76"/>
      <c r="AN439" s="76"/>
    </row>
    <row r="440" spans="1:40" ht="15">
      <c r="A440" s="83" t="e">
        <f>IF(#REF!&lt;&gt;#REF!,1,A439+1)</f>
        <v>#REF!</v>
      </c>
      <c r="O440" s="79"/>
      <c r="P440" s="79"/>
      <c r="Q440" s="76"/>
      <c r="R440" s="77"/>
      <c r="S440" s="76"/>
      <c r="T440" s="77"/>
      <c r="U440" s="76"/>
      <c r="V440" s="77"/>
      <c r="W440" s="76"/>
      <c r="X440" s="77"/>
      <c r="Y440" s="76"/>
      <c r="Z440" s="76"/>
      <c r="AA440" s="76"/>
      <c r="AB440" s="76"/>
      <c r="AC440" s="76"/>
      <c r="AD440" s="76"/>
      <c r="AE440" s="76"/>
      <c r="AF440" s="76"/>
      <c r="AG440" s="76"/>
      <c r="AH440" s="76"/>
      <c r="AI440" s="76"/>
      <c r="AJ440" s="76"/>
      <c r="AK440" s="76"/>
      <c r="AL440" s="77"/>
      <c r="AM440" s="76"/>
      <c r="AN440" s="76"/>
    </row>
    <row r="441" spans="1:40" ht="15">
      <c r="A441" s="83" t="e">
        <f>IF(#REF!&lt;&gt;#REF!,1,A440+1)</f>
        <v>#REF!</v>
      </c>
      <c r="O441" s="79"/>
      <c r="P441" s="79"/>
      <c r="Q441" s="76"/>
      <c r="R441" s="77"/>
      <c r="S441" s="76"/>
      <c r="T441" s="77"/>
      <c r="U441" s="76"/>
      <c r="V441" s="77"/>
      <c r="W441" s="76"/>
      <c r="X441" s="77"/>
      <c r="Y441" s="76"/>
      <c r="Z441" s="76"/>
      <c r="AA441" s="76"/>
      <c r="AB441" s="76"/>
      <c r="AC441" s="76"/>
      <c r="AD441" s="76"/>
      <c r="AE441" s="76"/>
      <c r="AF441" s="76"/>
      <c r="AG441" s="76"/>
      <c r="AH441" s="76"/>
      <c r="AI441" s="76"/>
      <c r="AJ441" s="76"/>
      <c r="AK441" s="76"/>
      <c r="AL441" s="77"/>
      <c r="AM441" s="76"/>
      <c r="AN441" s="76"/>
    </row>
    <row r="442" spans="1:40" ht="15">
      <c r="A442" s="83" t="e">
        <f>IF(#REF!&lt;&gt;#REF!,1,A441+1)</f>
        <v>#REF!</v>
      </c>
      <c r="O442" s="79"/>
      <c r="P442" s="79"/>
      <c r="Q442" s="76"/>
      <c r="R442" s="77"/>
      <c r="S442" s="76"/>
      <c r="T442" s="77"/>
      <c r="U442" s="76"/>
      <c r="V442" s="77"/>
      <c r="W442" s="76"/>
      <c r="X442" s="77"/>
      <c r="Y442" s="76"/>
      <c r="Z442" s="76"/>
      <c r="AA442" s="76"/>
      <c r="AB442" s="76"/>
      <c r="AC442" s="76"/>
      <c r="AD442" s="76"/>
      <c r="AE442" s="76"/>
      <c r="AF442" s="76"/>
      <c r="AG442" s="76"/>
      <c r="AH442" s="76"/>
      <c r="AI442" s="76"/>
      <c r="AJ442" s="76"/>
      <c r="AK442" s="76"/>
      <c r="AL442" s="77"/>
      <c r="AM442" s="76"/>
      <c r="AN442" s="76"/>
    </row>
    <row r="443" spans="1:40" ht="15">
      <c r="A443" s="83" t="e">
        <f>IF(#REF!&lt;&gt;#REF!,1,A442+1)</f>
        <v>#REF!</v>
      </c>
      <c r="O443" s="79"/>
      <c r="P443" s="79"/>
      <c r="Q443" s="76"/>
      <c r="R443" s="77"/>
      <c r="S443" s="76"/>
      <c r="T443" s="77"/>
      <c r="U443" s="76"/>
      <c r="V443" s="77"/>
      <c r="W443" s="76"/>
      <c r="X443" s="77"/>
      <c r="Y443" s="76"/>
      <c r="Z443" s="76"/>
      <c r="AA443" s="76"/>
      <c r="AB443" s="76"/>
      <c r="AC443" s="76"/>
      <c r="AD443" s="76"/>
      <c r="AE443" s="76"/>
      <c r="AF443" s="76"/>
      <c r="AG443" s="76"/>
      <c r="AH443" s="76"/>
      <c r="AI443" s="76"/>
      <c r="AJ443" s="76"/>
      <c r="AK443" s="76"/>
      <c r="AL443" s="77"/>
      <c r="AM443" s="76"/>
      <c r="AN443" s="76"/>
    </row>
    <row r="444" spans="1:40" ht="15">
      <c r="A444" s="83" t="e">
        <f>IF(#REF!&lt;&gt;#REF!,1,A443+1)</f>
        <v>#REF!</v>
      </c>
      <c r="O444" s="79"/>
      <c r="P444" s="79"/>
      <c r="Q444" s="76"/>
      <c r="R444" s="77"/>
      <c r="S444" s="76"/>
      <c r="T444" s="77"/>
      <c r="U444" s="76"/>
      <c r="V444" s="77"/>
      <c r="W444" s="76"/>
      <c r="X444" s="77"/>
      <c r="Y444" s="76"/>
      <c r="Z444" s="76"/>
      <c r="AA444" s="76"/>
      <c r="AB444" s="76"/>
      <c r="AC444" s="76"/>
      <c r="AD444" s="76"/>
      <c r="AE444" s="76"/>
      <c r="AF444" s="76"/>
      <c r="AG444" s="76"/>
      <c r="AH444" s="76"/>
      <c r="AI444" s="76"/>
      <c r="AJ444" s="76"/>
      <c r="AK444" s="76"/>
      <c r="AL444" s="77"/>
      <c r="AM444" s="76"/>
      <c r="AN444" s="76"/>
    </row>
    <row r="445" spans="1:40" ht="15">
      <c r="A445" s="83" t="e">
        <f>IF(#REF!&lt;&gt;#REF!,1,A444+1)</f>
        <v>#REF!</v>
      </c>
      <c r="O445" s="79"/>
      <c r="P445" s="79"/>
      <c r="Q445" s="76"/>
      <c r="R445" s="77"/>
      <c r="S445" s="76"/>
      <c r="T445" s="77"/>
      <c r="U445" s="76"/>
      <c r="V445" s="77"/>
      <c r="W445" s="76"/>
      <c r="X445" s="77"/>
      <c r="Y445" s="76"/>
      <c r="Z445" s="76"/>
      <c r="AA445" s="76"/>
      <c r="AB445" s="76"/>
      <c r="AC445" s="76"/>
      <c r="AD445" s="76"/>
      <c r="AE445" s="76"/>
      <c r="AF445" s="76"/>
      <c r="AG445" s="76"/>
      <c r="AH445" s="76"/>
      <c r="AI445" s="76"/>
      <c r="AJ445" s="76"/>
      <c r="AK445" s="76"/>
      <c r="AL445" s="77"/>
      <c r="AM445" s="76"/>
      <c r="AN445" s="76"/>
    </row>
    <row r="446" spans="1:40" ht="15">
      <c r="A446" s="83" t="e">
        <f>IF(#REF!&lt;&gt;#REF!,1,A445+1)</f>
        <v>#REF!</v>
      </c>
      <c r="O446" s="79"/>
      <c r="P446" s="79"/>
      <c r="Q446" s="76"/>
      <c r="R446" s="77"/>
      <c r="S446" s="76"/>
      <c r="T446" s="77"/>
      <c r="U446" s="76"/>
      <c r="V446" s="77"/>
      <c r="W446" s="76"/>
      <c r="X446" s="77"/>
      <c r="Y446" s="76"/>
      <c r="Z446" s="76"/>
      <c r="AA446" s="76"/>
      <c r="AB446" s="76"/>
      <c r="AC446" s="76"/>
      <c r="AD446" s="76"/>
      <c r="AE446" s="76"/>
      <c r="AF446" s="76"/>
      <c r="AG446" s="76"/>
      <c r="AH446" s="76"/>
      <c r="AI446" s="76"/>
      <c r="AJ446" s="76"/>
      <c r="AK446" s="76"/>
      <c r="AL446" s="77"/>
      <c r="AM446" s="76"/>
      <c r="AN446" s="76"/>
    </row>
    <row r="447" spans="1:40" ht="15">
      <c r="A447" s="83" t="e">
        <f>IF(#REF!&lt;&gt;#REF!,1,A446+1)</f>
        <v>#REF!</v>
      </c>
      <c r="O447" s="79"/>
      <c r="P447" s="79"/>
      <c r="Q447" s="76"/>
      <c r="R447" s="77"/>
      <c r="S447" s="76"/>
      <c r="T447" s="77"/>
      <c r="U447" s="76"/>
      <c r="V447" s="77"/>
      <c r="W447" s="76"/>
      <c r="X447" s="77"/>
      <c r="Y447" s="76"/>
      <c r="Z447" s="76"/>
      <c r="AA447" s="76"/>
      <c r="AB447" s="76"/>
      <c r="AC447" s="76"/>
      <c r="AD447" s="76"/>
      <c r="AE447" s="76"/>
      <c r="AF447" s="76"/>
      <c r="AG447" s="76"/>
      <c r="AH447" s="76"/>
      <c r="AI447" s="76"/>
      <c r="AJ447" s="76"/>
      <c r="AK447" s="76"/>
      <c r="AL447" s="77"/>
      <c r="AM447" s="76"/>
      <c r="AN447" s="76"/>
    </row>
    <row r="448" spans="1:40" ht="15">
      <c r="A448" s="83" t="e">
        <f>IF(#REF!&lt;&gt;#REF!,1,A447+1)</f>
        <v>#REF!</v>
      </c>
      <c r="O448" s="79"/>
      <c r="P448" s="79"/>
      <c r="Q448" s="76"/>
      <c r="R448" s="77"/>
      <c r="S448" s="76"/>
      <c r="T448" s="77"/>
      <c r="U448" s="76"/>
      <c r="V448" s="77"/>
      <c r="W448" s="76"/>
      <c r="X448" s="77"/>
      <c r="Y448" s="76"/>
      <c r="Z448" s="76"/>
      <c r="AA448" s="76"/>
      <c r="AB448" s="76"/>
      <c r="AC448" s="76"/>
      <c r="AD448" s="76"/>
      <c r="AE448" s="76"/>
      <c r="AF448" s="76"/>
      <c r="AG448" s="76"/>
      <c r="AH448" s="76"/>
      <c r="AI448" s="76"/>
      <c r="AJ448" s="76"/>
      <c r="AK448" s="76"/>
      <c r="AL448" s="77"/>
      <c r="AM448" s="76"/>
      <c r="AN448" s="76"/>
    </row>
    <row r="449" spans="1:40" ht="15">
      <c r="A449" s="83" t="e">
        <f>IF(#REF!&lt;&gt;#REF!,1,A448+1)</f>
        <v>#REF!</v>
      </c>
      <c r="O449" s="79"/>
      <c r="P449" s="79"/>
      <c r="Q449" s="76"/>
      <c r="R449" s="77"/>
      <c r="S449" s="76"/>
      <c r="T449" s="77"/>
      <c r="U449" s="76"/>
      <c r="V449" s="77"/>
      <c r="W449" s="76"/>
      <c r="X449" s="77"/>
      <c r="Y449" s="76"/>
      <c r="Z449" s="76"/>
      <c r="AA449" s="76"/>
      <c r="AB449" s="76"/>
      <c r="AC449" s="76"/>
      <c r="AD449" s="76"/>
      <c r="AE449" s="76"/>
      <c r="AF449" s="76"/>
      <c r="AG449" s="76"/>
      <c r="AH449" s="76"/>
      <c r="AI449" s="76"/>
      <c r="AJ449" s="76"/>
      <c r="AK449" s="76"/>
      <c r="AL449" s="77"/>
      <c r="AM449" s="76"/>
      <c r="AN449" s="76"/>
    </row>
    <row r="450" spans="1:40" ht="15">
      <c r="A450" s="83" t="e">
        <f>IF(#REF!&lt;&gt;#REF!,1,A449+1)</f>
        <v>#REF!</v>
      </c>
      <c r="O450" s="79"/>
      <c r="P450" s="79"/>
      <c r="Q450" s="76"/>
      <c r="R450" s="77"/>
      <c r="S450" s="76"/>
      <c r="T450" s="77"/>
      <c r="U450" s="76"/>
      <c r="V450" s="77"/>
      <c r="W450" s="76"/>
      <c r="X450" s="77"/>
      <c r="Y450" s="76"/>
      <c r="Z450" s="76"/>
      <c r="AA450" s="76"/>
      <c r="AB450" s="76"/>
      <c r="AC450" s="76"/>
      <c r="AD450" s="76"/>
      <c r="AE450" s="76"/>
      <c r="AF450" s="76"/>
      <c r="AG450" s="76"/>
      <c r="AH450" s="76"/>
      <c r="AI450" s="76"/>
      <c r="AJ450" s="76"/>
      <c r="AK450" s="76"/>
      <c r="AL450" s="77"/>
      <c r="AM450" s="76"/>
      <c r="AN450" s="76"/>
    </row>
    <row r="451" spans="1:40" ht="15">
      <c r="A451" s="83" t="e">
        <f>IF(#REF!&lt;&gt;#REF!,1,A450+1)</f>
        <v>#REF!</v>
      </c>
      <c r="O451" s="79"/>
      <c r="P451" s="79"/>
      <c r="Q451" s="76"/>
      <c r="R451" s="77"/>
      <c r="S451" s="76"/>
      <c r="T451" s="77"/>
      <c r="U451" s="76"/>
      <c r="V451" s="77"/>
      <c r="W451" s="76"/>
      <c r="X451" s="77"/>
      <c r="Y451" s="76"/>
      <c r="Z451" s="76"/>
      <c r="AA451" s="76"/>
      <c r="AB451" s="76"/>
      <c r="AC451" s="76"/>
      <c r="AD451" s="76"/>
      <c r="AE451" s="76"/>
      <c r="AF451" s="76"/>
      <c r="AG451" s="76"/>
      <c r="AH451" s="76"/>
      <c r="AI451" s="76"/>
      <c r="AJ451" s="76"/>
      <c r="AK451" s="76"/>
      <c r="AL451" s="77"/>
      <c r="AM451" s="76"/>
      <c r="AN451" s="76"/>
    </row>
    <row r="452" spans="1:40" ht="15">
      <c r="A452" s="83" t="e">
        <f>IF(#REF!&lt;&gt;#REF!,1,A451+1)</f>
        <v>#REF!</v>
      </c>
      <c r="O452" s="79"/>
      <c r="P452" s="79"/>
      <c r="Q452" s="76"/>
      <c r="R452" s="77"/>
      <c r="S452" s="76"/>
      <c r="T452" s="77"/>
      <c r="U452" s="76"/>
      <c r="V452" s="77"/>
      <c r="W452" s="76"/>
      <c r="X452" s="77"/>
      <c r="Y452" s="76"/>
      <c r="Z452" s="76"/>
      <c r="AA452" s="76"/>
      <c r="AB452" s="76"/>
      <c r="AC452" s="76"/>
      <c r="AD452" s="76"/>
      <c r="AE452" s="76"/>
      <c r="AF452" s="76"/>
      <c r="AG452" s="76"/>
      <c r="AH452" s="76"/>
      <c r="AI452" s="76"/>
      <c r="AJ452" s="76"/>
      <c r="AK452" s="76"/>
      <c r="AL452" s="77"/>
      <c r="AM452" s="76"/>
      <c r="AN452" s="76"/>
    </row>
    <row r="453" spans="1:40" ht="15">
      <c r="A453" s="83" t="e">
        <f>IF(#REF!&lt;&gt;#REF!,1,A452+1)</f>
        <v>#REF!</v>
      </c>
      <c r="O453" s="79"/>
      <c r="P453" s="79"/>
      <c r="Q453" s="76"/>
      <c r="R453" s="77"/>
      <c r="S453" s="76"/>
      <c r="T453" s="77"/>
      <c r="U453" s="76"/>
      <c r="V453" s="77"/>
      <c r="W453" s="76"/>
      <c r="X453" s="77"/>
      <c r="Y453" s="76"/>
      <c r="Z453" s="76"/>
      <c r="AA453" s="76"/>
      <c r="AB453" s="76"/>
      <c r="AC453" s="76"/>
      <c r="AD453" s="76"/>
      <c r="AE453" s="76"/>
      <c r="AF453" s="76"/>
      <c r="AG453" s="76"/>
      <c r="AH453" s="76"/>
      <c r="AI453" s="76"/>
      <c r="AJ453" s="76"/>
      <c r="AK453" s="76"/>
      <c r="AL453" s="77"/>
      <c r="AM453" s="76"/>
      <c r="AN453" s="76"/>
    </row>
    <row r="454" spans="1:40" ht="15">
      <c r="A454" s="83" t="e">
        <f>IF(#REF!&lt;&gt;#REF!,1,A453+1)</f>
        <v>#REF!</v>
      </c>
      <c r="O454" s="79"/>
      <c r="P454" s="79"/>
      <c r="Q454" s="76"/>
      <c r="R454" s="77"/>
      <c r="S454" s="76"/>
      <c r="T454" s="77"/>
      <c r="U454" s="76"/>
      <c r="V454" s="77"/>
      <c r="W454" s="76"/>
      <c r="X454" s="77"/>
      <c r="Y454" s="76"/>
      <c r="Z454" s="76"/>
      <c r="AA454" s="76"/>
      <c r="AB454" s="76"/>
      <c r="AC454" s="76"/>
      <c r="AD454" s="76"/>
      <c r="AE454" s="76"/>
      <c r="AF454" s="76"/>
      <c r="AG454" s="76"/>
      <c r="AH454" s="76"/>
      <c r="AI454" s="76"/>
      <c r="AJ454" s="76"/>
      <c r="AK454" s="76"/>
      <c r="AL454" s="77"/>
      <c r="AM454" s="76"/>
      <c r="AN454" s="76"/>
    </row>
    <row r="455" spans="1:40" ht="15">
      <c r="A455" s="83" t="e">
        <f>IF(#REF!&lt;&gt;#REF!,1,A454+1)</f>
        <v>#REF!</v>
      </c>
      <c r="O455" s="79"/>
      <c r="P455" s="79"/>
      <c r="Q455" s="76"/>
      <c r="R455" s="77"/>
      <c r="S455" s="76"/>
      <c r="T455" s="77"/>
      <c r="U455" s="76"/>
      <c r="V455" s="77"/>
      <c r="W455" s="76"/>
      <c r="X455" s="77"/>
      <c r="Y455" s="76"/>
      <c r="Z455" s="76"/>
      <c r="AA455" s="76"/>
      <c r="AB455" s="76"/>
      <c r="AC455" s="76"/>
      <c r="AD455" s="76"/>
      <c r="AE455" s="76"/>
      <c r="AF455" s="76"/>
      <c r="AG455" s="76"/>
      <c r="AH455" s="76"/>
      <c r="AI455" s="76"/>
      <c r="AJ455" s="76"/>
      <c r="AK455" s="76"/>
      <c r="AL455" s="77"/>
      <c r="AM455" s="76"/>
      <c r="AN455" s="76"/>
    </row>
    <row r="456" spans="1:40" ht="15">
      <c r="A456" s="83" t="e">
        <f>IF(#REF!&lt;&gt;#REF!,1,A455+1)</f>
        <v>#REF!</v>
      </c>
      <c r="O456" s="79"/>
      <c r="P456" s="79"/>
      <c r="Q456" s="76"/>
      <c r="R456" s="77"/>
      <c r="S456" s="76"/>
      <c r="T456" s="77"/>
      <c r="U456" s="76"/>
      <c r="V456" s="77"/>
      <c r="W456" s="76"/>
      <c r="X456" s="77"/>
      <c r="Y456" s="76"/>
      <c r="Z456" s="76"/>
      <c r="AA456" s="76"/>
      <c r="AB456" s="76"/>
      <c r="AC456" s="76"/>
      <c r="AD456" s="76"/>
      <c r="AE456" s="76"/>
      <c r="AF456" s="76"/>
      <c r="AG456" s="76"/>
      <c r="AH456" s="76"/>
      <c r="AI456" s="76"/>
      <c r="AJ456" s="76"/>
      <c r="AK456" s="76"/>
      <c r="AL456" s="77"/>
      <c r="AM456" s="76"/>
      <c r="AN456" s="76"/>
    </row>
    <row r="457" spans="1:40" ht="15">
      <c r="A457" s="83" t="e">
        <f>IF(#REF!&lt;&gt;#REF!,1,A456+1)</f>
        <v>#REF!</v>
      </c>
      <c r="O457" s="79"/>
      <c r="P457" s="79"/>
      <c r="Q457" s="76"/>
      <c r="R457" s="77"/>
      <c r="S457" s="76"/>
      <c r="T457" s="77"/>
      <c r="U457" s="76"/>
      <c r="V457" s="77"/>
      <c r="W457" s="76"/>
      <c r="X457" s="77"/>
      <c r="Y457" s="76"/>
      <c r="Z457" s="76"/>
      <c r="AA457" s="76"/>
      <c r="AB457" s="76"/>
      <c r="AC457" s="76"/>
      <c r="AD457" s="76"/>
      <c r="AE457" s="76"/>
      <c r="AF457" s="76"/>
      <c r="AG457" s="76"/>
      <c r="AH457" s="76"/>
      <c r="AI457" s="76"/>
      <c r="AJ457" s="76"/>
      <c r="AK457" s="76"/>
      <c r="AL457" s="77"/>
      <c r="AM457" s="76"/>
      <c r="AN457" s="76"/>
    </row>
    <row r="458" spans="1:40" ht="15">
      <c r="A458" s="83" t="e">
        <f>IF(#REF!&lt;&gt;#REF!,1,A457+1)</f>
        <v>#REF!</v>
      </c>
      <c r="O458" s="79"/>
      <c r="P458" s="79"/>
      <c r="Q458" s="76"/>
      <c r="R458" s="77"/>
      <c r="S458" s="76"/>
      <c r="T458" s="77"/>
      <c r="U458" s="76"/>
      <c r="V458" s="77"/>
      <c r="W458" s="76"/>
      <c r="X458" s="77"/>
      <c r="Y458" s="76"/>
      <c r="Z458" s="76"/>
      <c r="AA458" s="76"/>
      <c r="AB458" s="76"/>
      <c r="AC458" s="76"/>
      <c r="AD458" s="76"/>
      <c r="AE458" s="76"/>
      <c r="AF458" s="76"/>
      <c r="AG458" s="76"/>
      <c r="AH458" s="76"/>
      <c r="AI458" s="76"/>
      <c r="AJ458" s="76"/>
      <c r="AK458" s="76"/>
      <c r="AL458" s="77"/>
      <c r="AM458" s="76"/>
      <c r="AN458" s="76"/>
    </row>
    <row r="459" spans="1:40" ht="15">
      <c r="A459" s="83" t="e">
        <f>IF(#REF!&lt;&gt;#REF!,1,A458+1)</f>
        <v>#REF!</v>
      </c>
      <c r="O459" s="79"/>
      <c r="P459" s="79"/>
      <c r="Q459" s="76"/>
      <c r="R459" s="77"/>
      <c r="S459" s="76"/>
      <c r="T459" s="77"/>
      <c r="U459" s="76"/>
      <c r="V459" s="77"/>
      <c r="W459" s="76"/>
      <c r="X459" s="77"/>
      <c r="Y459" s="76"/>
      <c r="Z459" s="76"/>
      <c r="AA459" s="76"/>
      <c r="AB459" s="76"/>
      <c r="AC459" s="76"/>
      <c r="AD459" s="76"/>
      <c r="AE459" s="76"/>
      <c r="AF459" s="76"/>
      <c r="AG459" s="76"/>
      <c r="AH459" s="76"/>
      <c r="AI459" s="76"/>
      <c r="AJ459" s="76"/>
      <c r="AK459" s="76"/>
      <c r="AL459" s="77"/>
      <c r="AM459" s="76"/>
      <c r="AN459" s="76"/>
    </row>
    <row r="460" spans="1:40" ht="15">
      <c r="A460" s="83" t="e">
        <f>IF(#REF!&lt;&gt;#REF!,1,A459+1)</f>
        <v>#REF!</v>
      </c>
      <c r="O460" s="79"/>
      <c r="P460" s="79"/>
      <c r="Q460" s="76"/>
      <c r="R460" s="77"/>
      <c r="S460" s="76"/>
      <c r="T460" s="77"/>
      <c r="U460" s="76"/>
      <c r="V460" s="77"/>
      <c r="W460" s="76"/>
      <c r="X460" s="77"/>
      <c r="Y460" s="76"/>
      <c r="Z460" s="76"/>
      <c r="AA460" s="76"/>
      <c r="AB460" s="76"/>
      <c r="AC460" s="76"/>
      <c r="AD460" s="76"/>
      <c r="AE460" s="76"/>
      <c r="AF460" s="76"/>
      <c r="AG460" s="76"/>
      <c r="AH460" s="76"/>
      <c r="AI460" s="76"/>
      <c r="AJ460" s="76"/>
      <c r="AK460" s="76"/>
      <c r="AL460" s="77"/>
      <c r="AM460" s="76"/>
      <c r="AN460" s="76"/>
    </row>
    <row r="461" spans="1:40" ht="15">
      <c r="A461" s="83" t="e">
        <f>IF(#REF!&lt;&gt;#REF!,1,A460+1)</f>
        <v>#REF!</v>
      </c>
      <c r="O461" s="79"/>
      <c r="P461" s="79"/>
      <c r="Q461" s="76"/>
      <c r="R461" s="77"/>
      <c r="S461" s="76"/>
      <c r="T461" s="77"/>
      <c r="U461" s="76"/>
      <c r="V461" s="77"/>
      <c r="W461" s="76"/>
      <c r="X461" s="77"/>
      <c r="Y461" s="76"/>
      <c r="Z461" s="76"/>
      <c r="AA461" s="76"/>
      <c r="AB461" s="76"/>
      <c r="AC461" s="76"/>
      <c r="AD461" s="76"/>
      <c r="AE461" s="76"/>
      <c r="AF461" s="76"/>
      <c r="AG461" s="76"/>
      <c r="AH461" s="76"/>
      <c r="AI461" s="76"/>
      <c r="AJ461" s="76"/>
      <c r="AK461" s="76"/>
      <c r="AL461" s="77"/>
      <c r="AM461" s="76"/>
      <c r="AN461" s="76"/>
    </row>
    <row r="462" spans="1:40" ht="15">
      <c r="A462" s="83" t="e">
        <f>IF(#REF!&lt;&gt;#REF!,1,A461+1)</f>
        <v>#REF!</v>
      </c>
      <c r="O462" s="79"/>
      <c r="P462" s="79"/>
      <c r="Q462" s="76"/>
      <c r="R462" s="77"/>
      <c r="S462" s="76"/>
      <c r="T462" s="77"/>
      <c r="U462" s="76"/>
      <c r="V462" s="77"/>
      <c r="W462" s="76"/>
      <c r="X462" s="77"/>
      <c r="Y462" s="76"/>
      <c r="Z462" s="76"/>
      <c r="AA462" s="76"/>
      <c r="AB462" s="76"/>
      <c r="AC462" s="76"/>
      <c r="AD462" s="76"/>
      <c r="AE462" s="76"/>
      <c r="AF462" s="76"/>
      <c r="AG462" s="76"/>
      <c r="AH462" s="76"/>
      <c r="AI462" s="76"/>
      <c r="AJ462" s="76"/>
      <c r="AK462" s="76"/>
      <c r="AL462" s="77"/>
      <c r="AM462" s="76"/>
      <c r="AN462" s="76"/>
    </row>
    <row r="463" spans="1:40" ht="15">
      <c r="A463" s="83" t="e">
        <f>IF(#REF!&lt;&gt;#REF!,1,A462+1)</f>
        <v>#REF!</v>
      </c>
      <c r="O463" s="79"/>
      <c r="P463" s="79"/>
      <c r="Q463" s="76"/>
      <c r="R463" s="77"/>
      <c r="S463" s="76"/>
      <c r="T463" s="77"/>
      <c r="U463" s="76"/>
      <c r="V463" s="77"/>
      <c r="W463" s="76"/>
      <c r="X463" s="77"/>
      <c r="Y463" s="76"/>
      <c r="Z463" s="76"/>
      <c r="AA463" s="76"/>
      <c r="AB463" s="76"/>
      <c r="AC463" s="76"/>
      <c r="AD463" s="76"/>
      <c r="AE463" s="76"/>
      <c r="AF463" s="76"/>
      <c r="AG463" s="76"/>
      <c r="AH463" s="76"/>
      <c r="AI463" s="76"/>
      <c r="AJ463" s="76"/>
      <c r="AK463" s="76"/>
      <c r="AL463" s="77"/>
      <c r="AM463" s="76"/>
      <c r="AN463" s="76"/>
    </row>
    <row r="464" spans="1:40" ht="15">
      <c r="A464" s="83" t="e">
        <f>IF(#REF!&lt;&gt;#REF!,1,A463+1)</f>
        <v>#REF!</v>
      </c>
      <c r="O464" s="79"/>
      <c r="P464" s="79"/>
      <c r="Q464" s="76"/>
      <c r="R464" s="77"/>
      <c r="S464" s="76"/>
      <c r="T464" s="77"/>
      <c r="U464" s="76"/>
      <c r="V464" s="77"/>
      <c r="W464" s="76"/>
      <c r="X464" s="77"/>
      <c r="Y464" s="76"/>
      <c r="Z464" s="76"/>
      <c r="AA464" s="76"/>
      <c r="AB464" s="76"/>
      <c r="AC464" s="76"/>
      <c r="AD464" s="76"/>
      <c r="AE464" s="76"/>
      <c r="AF464" s="76"/>
      <c r="AG464" s="76"/>
      <c r="AH464" s="76"/>
      <c r="AI464" s="76"/>
      <c r="AJ464" s="76"/>
      <c r="AK464" s="76"/>
      <c r="AL464" s="77"/>
      <c r="AM464" s="76"/>
      <c r="AN464" s="76"/>
    </row>
    <row r="465" spans="1:40" ht="15">
      <c r="A465" s="83" t="e">
        <f>IF(#REF!&lt;&gt;#REF!,1,A464+1)</f>
        <v>#REF!</v>
      </c>
      <c r="O465" s="79"/>
      <c r="P465" s="79"/>
      <c r="Q465" s="76"/>
      <c r="R465" s="77"/>
      <c r="S465" s="76"/>
      <c r="T465" s="77"/>
      <c r="U465" s="76"/>
      <c r="V465" s="77"/>
      <c r="W465" s="76"/>
      <c r="X465" s="77"/>
      <c r="Y465" s="76"/>
      <c r="Z465" s="76"/>
      <c r="AA465" s="76"/>
      <c r="AB465" s="76"/>
      <c r="AC465" s="76"/>
      <c r="AD465" s="76"/>
      <c r="AE465" s="76"/>
      <c r="AF465" s="76"/>
      <c r="AG465" s="76"/>
      <c r="AH465" s="76"/>
      <c r="AI465" s="76"/>
      <c r="AJ465" s="76"/>
      <c r="AK465" s="76"/>
      <c r="AL465" s="77"/>
      <c r="AM465" s="76"/>
      <c r="AN465" s="76"/>
    </row>
    <row r="466" spans="1:40" ht="15">
      <c r="A466" s="83" t="e">
        <f>IF(#REF!&lt;&gt;#REF!,1,A465+1)</f>
        <v>#REF!</v>
      </c>
      <c r="O466" s="79"/>
      <c r="P466" s="79"/>
      <c r="Q466" s="76"/>
      <c r="R466" s="77"/>
      <c r="S466" s="76"/>
      <c r="T466" s="77"/>
      <c r="U466" s="76"/>
      <c r="V466" s="77"/>
      <c r="W466" s="76"/>
      <c r="X466" s="77"/>
      <c r="Y466" s="76"/>
      <c r="Z466" s="76"/>
      <c r="AA466" s="76"/>
      <c r="AB466" s="76"/>
      <c r="AC466" s="76"/>
      <c r="AD466" s="76"/>
      <c r="AE466" s="76"/>
      <c r="AF466" s="76"/>
      <c r="AG466" s="76"/>
      <c r="AH466" s="76"/>
      <c r="AI466" s="76"/>
      <c r="AJ466" s="76"/>
      <c r="AK466" s="76"/>
      <c r="AL466" s="77"/>
      <c r="AM466" s="76"/>
      <c r="AN466" s="76"/>
    </row>
    <row r="467" spans="1:40" ht="15">
      <c r="A467" s="83" t="e">
        <f>IF(#REF!&lt;&gt;#REF!,1,A466+1)</f>
        <v>#REF!</v>
      </c>
      <c r="O467" s="79"/>
      <c r="P467" s="79"/>
      <c r="Q467" s="76"/>
      <c r="R467" s="77"/>
      <c r="S467" s="76"/>
      <c r="T467" s="77"/>
      <c r="U467" s="76"/>
      <c r="V467" s="77"/>
      <c r="W467" s="76"/>
      <c r="X467" s="77"/>
      <c r="Y467" s="76"/>
      <c r="Z467" s="76"/>
      <c r="AA467" s="76"/>
      <c r="AB467" s="76"/>
      <c r="AC467" s="76"/>
      <c r="AD467" s="76"/>
      <c r="AE467" s="76"/>
      <c r="AF467" s="76"/>
      <c r="AG467" s="76"/>
      <c r="AH467" s="76"/>
      <c r="AI467" s="76"/>
      <c r="AJ467" s="76"/>
      <c r="AK467" s="76"/>
      <c r="AL467" s="77"/>
      <c r="AM467" s="76"/>
      <c r="AN467" s="76"/>
    </row>
    <row r="468" spans="1:40" ht="15">
      <c r="A468" s="83" t="e">
        <f>IF(#REF!&lt;&gt;#REF!,1,A467+1)</f>
        <v>#REF!</v>
      </c>
      <c r="O468" s="79"/>
      <c r="P468" s="79"/>
      <c r="Q468" s="76"/>
      <c r="R468" s="77"/>
      <c r="S468" s="76"/>
      <c r="T468" s="77"/>
      <c r="U468" s="76"/>
      <c r="V468" s="77"/>
      <c r="W468" s="76"/>
      <c r="X468" s="77"/>
      <c r="Y468" s="76"/>
      <c r="Z468" s="76"/>
      <c r="AA468" s="76"/>
      <c r="AB468" s="76"/>
      <c r="AC468" s="76"/>
      <c r="AD468" s="76"/>
      <c r="AE468" s="76"/>
      <c r="AF468" s="76"/>
      <c r="AG468" s="76"/>
      <c r="AH468" s="76"/>
      <c r="AI468" s="76"/>
      <c r="AJ468" s="76"/>
      <c r="AK468" s="76"/>
      <c r="AL468" s="77"/>
      <c r="AM468" s="76"/>
      <c r="AN468" s="76"/>
    </row>
    <row r="469" spans="1:40" ht="15">
      <c r="A469" s="83" t="e">
        <f>IF(#REF!&lt;&gt;#REF!,1,A468+1)</f>
        <v>#REF!</v>
      </c>
      <c r="O469" s="79"/>
      <c r="P469" s="79"/>
      <c r="Q469" s="76"/>
      <c r="R469" s="77"/>
      <c r="S469" s="76"/>
      <c r="T469" s="77"/>
      <c r="U469" s="76"/>
      <c r="V469" s="77"/>
      <c r="W469" s="76"/>
      <c r="X469" s="77"/>
      <c r="Y469" s="76"/>
      <c r="Z469" s="76"/>
      <c r="AA469" s="76"/>
      <c r="AB469" s="76"/>
      <c r="AC469" s="76"/>
      <c r="AD469" s="76"/>
      <c r="AE469" s="76"/>
      <c r="AF469" s="76"/>
      <c r="AG469" s="76"/>
      <c r="AH469" s="76"/>
      <c r="AI469" s="76"/>
      <c r="AJ469" s="76"/>
      <c r="AK469" s="76"/>
      <c r="AL469" s="77"/>
      <c r="AM469" s="76"/>
      <c r="AN469" s="76"/>
    </row>
    <row r="470" spans="1:40" ht="15">
      <c r="A470" s="83" t="e">
        <f>IF(#REF!&lt;&gt;#REF!,1,A469+1)</f>
        <v>#REF!</v>
      </c>
      <c r="O470" s="79"/>
      <c r="P470" s="79"/>
      <c r="Q470" s="76"/>
      <c r="R470" s="77"/>
      <c r="S470" s="76"/>
      <c r="T470" s="77"/>
      <c r="U470" s="76"/>
      <c r="V470" s="77"/>
      <c r="W470" s="76"/>
      <c r="X470" s="77"/>
      <c r="Y470" s="76"/>
      <c r="Z470" s="76"/>
      <c r="AA470" s="76"/>
      <c r="AB470" s="76"/>
      <c r="AC470" s="76"/>
      <c r="AD470" s="76"/>
      <c r="AE470" s="76"/>
      <c r="AF470" s="76"/>
      <c r="AG470" s="76"/>
      <c r="AH470" s="76"/>
      <c r="AI470" s="76"/>
      <c r="AJ470" s="76"/>
      <c r="AK470" s="76"/>
      <c r="AL470" s="77"/>
      <c r="AM470" s="76"/>
      <c r="AN470" s="76"/>
    </row>
    <row r="471" spans="1:40" ht="15">
      <c r="A471" s="83" t="e">
        <f>IF(#REF!&lt;&gt;#REF!,1,A470+1)</f>
        <v>#REF!</v>
      </c>
      <c r="O471" s="79"/>
      <c r="P471" s="79"/>
      <c r="Q471" s="76"/>
      <c r="R471" s="77"/>
      <c r="S471" s="76"/>
      <c r="T471" s="77"/>
      <c r="U471" s="76"/>
      <c r="V471" s="77"/>
      <c r="W471" s="76"/>
      <c r="X471" s="77"/>
      <c r="Y471" s="76"/>
      <c r="Z471" s="76"/>
      <c r="AA471" s="76"/>
      <c r="AB471" s="76"/>
      <c r="AC471" s="76"/>
      <c r="AD471" s="76"/>
      <c r="AE471" s="76"/>
      <c r="AF471" s="76"/>
      <c r="AG471" s="76"/>
      <c r="AH471" s="76"/>
      <c r="AI471" s="76"/>
      <c r="AJ471" s="76"/>
      <c r="AK471" s="76"/>
      <c r="AL471" s="77"/>
      <c r="AM471" s="76"/>
      <c r="AN471" s="76"/>
    </row>
    <row r="472" spans="1:40" ht="15">
      <c r="A472" s="83" t="e">
        <f>IF(#REF!&lt;&gt;#REF!,1,A471+1)</f>
        <v>#REF!</v>
      </c>
      <c r="O472" s="79"/>
      <c r="P472" s="79"/>
      <c r="Q472" s="76"/>
      <c r="R472" s="77"/>
      <c r="S472" s="76"/>
      <c r="T472" s="77"/>
      <c r="U472" s="76"/>
      <c r="V472" s="77"/>
      <c r="W472" s="76"/>
      <c r="X472" s="77"/>
      <c r="Y472" s="76"/>
      <c r="Z472" s="76"/>
      <c r="AA472" s="76"/>
      <c r="AB472" s="76"/>
      <c r="AC472" s="76"/>
      <c r="AD472" s="76"/>
      <c r="AE472" s="76"/>
      <c r="AF472" s="76"/>
      <c r="AG472" s="76"/>
      <c r="AH472" s="76"/>
      <c r="AI472" s="76"/>
      <c r="AJ472" s="76"/>
      <c r="AK472" s="76"/>
      <c r="AL472" s="77"/>
      <c r="AM472" s="76"/>
      <c r="AN472" s="76"/>
    </row>
    <row r="473" spans="1:40" ht="15">
      <c r="A473" s="83" t="e">
        <f>IF(#REF!&lt;&gt;#REF!,1,A472+1)</f>
        <v>#REF!</v>
      </c>
      <c r="O473" s="79"/>
      <c r="P473" s="79"/>
      <c r="Q473" s="76"/>
      <c r="R473" s="77"/>
      <c r="S473" s="76"/>
      <c r="T473" s="77"/>
      <c r="U473" s="76"/>
      <c r="V473" s="77"/>
      <c r="W473" s="76"/>
      <c r="X473" s="77"/>
      <c r="Y473" s="76"/>
      <c r="Z473" s="76"/>
      <c r="AA473" s="76"/>
      <c r="AB473" s="76"/>
      <c r="AC473" s="76"/>
      <c r="AD473" s="76"/>
      <c r="AE473" s="76"/>
      <c r="AF473" s="76"/>
      <c r="AG473" s="76"/>
      <c r="AH473" s="76"/>
      <c r="AI473" s="76"/>
      <c r="AJ473" s="76"/>
      <c r="AK473" s="76"/>
      <c r="AL473" s="77"/>
      <c r="AM473" s="76"/>
      <c r="AN473" s="76"/>
    </row>
    <row r="474" spans="1:40" ht="15">
      <c r="A474" s="83" t="e">
        <f>IF(#REF!&lt;&gt;#REF!,1,A473+1)</f>
        <v>#REF!</v>
      </c>
      <c r="O474" s="79"/>
      <c r="P474" s="79"/>
      <c r="Q474" s="76"/>
      <c r="R474" s="77"/>
      <c r="S474" s="76"/>
      <c r="T474" s="77"/>
      <c r="U474" s="76"/>
      <c r="V474" s="77"/>
      <c r="W474" s="76"/>
      <c r="X474" s="77"/>
      <c r="Y474" s="76"/>
      <c r="Z474" s="76"/>
      <c r="AA474" s="76"/>
      <c r="AB474" s="76"/>
      <c r="AC474" s="76"/>
      <c r="AD474" s="76"/>
      <c r="AE474" s="76"/>
      <c r="AF474" s="76"/>
      <c r="AG474" s="76"/>
      <c r="AH474" s="76"/>
      <c r="AI474" s="76"/>
      <c r="AJ474" s="76"/>
      <c r="AK474" s="76"/>
      <c r="AL474" s="77"/>
      <c r="AM474" s="76"/>
      <c r="AN474" s="76"/>
    </row>
    <row r="475" spans="1:40" ht="15">
      <c r="A475" s="83" t="e">
        <f>IF(#REF!&lt;&gt;#REF!,1,A474+1)</f>
        <v>#REF!</v>
      </c>
      <c r="O475" s="79"/>
      <c r="P475" s="79"/>
      <c r="Q475" s="76"/>
      <c r="R475" s="77"/>
      <c r="S475" s="76"/>
      <c r="T475" s="77"/>
      <c r="U475" s="76"/>
      <c r="V475" s="77"/>
      <c r="W475" s="76"/>
      <c r="X475" s="77"/>
      <c r="Y475" s="76"/>
      <c r="Z475" s="76"/>
      <c r="AA475" s="76"/>
      <c r="AB475" s="76"/>
      <c r="AC475" s="76"/>
      <c r="AD475" s="76"/>
      <c r="AE475" s="76"/>
      <c r="AF475" s="76"/>
      <c r="AG475" s="76"/>
      <c r="AH475" s="76"/>
      <c r="AI475" s="76"/>
      <c r="AJ475" s="76"/>
      <c r="AK475" s="76"/>
      <c r="AL475" s="77"/>
      <c r="AM475" s="76"/>
      <c r="AN475" s="76"/>
    </row>
    <row r="476" spans="1:40" ht="15">
      <c r="A476" s="83" t="e">
        <f>IF(#REF!&lt;&gt;#REF!,1,A475+1)</f>
        <v>#REF!</v>
      </c>
      <c r="O476" s="79"/>
      <c r="P476" s="79"/>
      <c r="Q476" s="76"/>
      <c r="R476" s="77"/>
      <c r="S476" s="76"/>
      <c r="T476" s="77"/>
      <c r="U476" s="76"/>
      <c r="V476" s="77"/>
      <c r="W476" s="76"/>
      <c r="X476" s="77"/>
      <c r="Y476" s="76"/>
      <c r="Z476" s="76"/>
      <c r="AA476" s="76"/>
      <c r="AB476" s="76"/>
      <c r="AC476" s="76"/>
      <c r="AD476" s="76"/>
      <c r="AE476" s="76"/>
      <c r="AF476" s="76"/>
      <c r="AG476" s="76"/>
      <c r="AH476" s="76"/>
      <c r="AI476" s="76"/>
      <c r="AJ476" s="76"/>
      <c r="AK476" s="76"/>
      <c r="AL476" s="77"/>
      <c r="AM476" s="76"/>
      <c r="AN476" s="76"/>
    </row>
    <row r="477" spans="1:40" ht="15">
      <c r="A477" s="83" t="e">
        <f>IF(#REF!&lt;&gt;#REF!,1,A476+1)</f>
        <v>#REF!</v>
      </c>
      <c r="O477" s="79"/>
      <c r="P477" s="79"/>
      <c r="Q477" s="76"/>
      <c r="R477" s="77"/>
      <c r="S477" s="76"/>
      <c r="T477" s="77"/>
      <c r="U477" s="76"/>
      <c r="V477" s="77"/>
      <c r="W477" s="76"/>
      <c r="X477" s="77"/>
      <c r="Y477" s="76"/>
      <c r="Z477" s="76"/>
      <c r="AA477" s="76"/>
      <c r="AB477" s="76"/>
      <c r="AC477" s="76"/>
      <c r="AD477" s="76"/>
      <c r="AE477" s="76"/>
      <c r="AF477" s="76"/>
      <c r="AG477" s="76"/>
      <c r="AH477" s="76"/>
      <c r="AI477" s="76"/>
      <c r="AJ477" s="76"/>
      <c r="AK477" s="76"/>
      <c r="AL477" s="77"/>
      <c r="AM477" s="76"/>
      <c r="AN477" s="76"/>
    </row>
    <row r="478" spans="1:40" ht="15">
      <c r="A478" s="83" t="e">
        <f>IF(#REF!&lt;&gt;#REF!,1,A477+1)</f>
        <v>#REF!</v>
      </c>
      <c r="O478" s="79"/>
      <c r="P478" s="79"/>
      <c r="Q478" s="76"/>
      <c r="R478" s="77"/>
      <c r="S478" s="76"/>
      <c r="T478" s="77"/>
      <c r="U478" s="76"/>
      <c r="V478" s="77"/>
      <c r="W478" s="76"/>
      <c r="X478" s="77"/>
      <c r="Y478" s="76"/>
      <c r="Z478" s="76"/>
      <c r="AA478" s="76"/>
      <c r="AB478" s="76"/>
      <c r="AC478" s="76"/>
      <c r="AD478" s="76"/>
      <c r="AE478" s="76"/>
      <c r="AF478" s="76"/>
      <c r="AG478" s="76"/>
      <c r="AH478" s="76"/>
      <c r="AI478" s="76"/>
      <c r="AJ478" s="76"/>
      <c r="AK478" s="76"/>
      <c r="AL478" s="77"/>
      <c r="AM478" s="76"/>
      <c r="AN478" s="76"/>
    </row>
    <row r="479" spans="1:40" ht="15">
      <c r="A479" s="83" t="e">
        <f>IF(#REF!&lt;&gt;#REF!,1,A478+1)</f>
        <v>#REF!</v>
      </c>
      <c r="O479" s="79"/>
      <c r="P479" s="79"/>
      <c r="Q479" s="76"/>
      <c r="R479" s="77"/>
      <c r="S479" s="76"/>
      <c r="T479" s="77"/>
      <c r="U479" s="76"/>
      <c r="V479" s="77"/>
      <c r="W479" s="76"/>
      <c r="X479" s="77"/>
      <c r="Y479" s="76"/>
      <c r="Z479" s="76"/>
      <c r="AA479" s="76"/>
      <c r="AB479" s="76"/>
      <c r="AC479" s="76"/>
      <c r="AD479" s="76"/>
      <c r="AE479" s="76"/>
      <c r="AF479" s="76"/>
      <c r="AG479" s="76"/>
      <c r="AH479" s="76"/>
      <c r="AI479" s="76"/>
      <c r="AJ479" s="76"/>
      <c r="AK479" s="76"/>
      <c r="AL479" s="77"/>
      <c r="AM479" s="76"/>
      <c r="AN479" s="76"/>
    </row>
    <row r="480" spans="1:40" ht="15">
      <c r="A480" s="83" t="e">
        <f>IF(#REF!&lt;&gt;#REF!,1,A479+1)</f>
        <v>#REF!</v>
      </c>
      <c r="O480" s="79"/>
      <c r="P480" s="79"/>
      <c r="Q480" s="76"/>
      <c r="R480" s="77"/>
      <c r="S480" s="76"/>
      <c r="T480" s="77"/>
      <c r="U480" s="76"/>
      <c r="V480" s="77"/>
      <c r="W480" s="76"/>
      <c r="X480" s="77"/>
      <c r="Y480" s="76"/>
      <c r="Z480" s="76"/>
      <c r="AA480" s="76"/>
      <c r="AB480" s="76"/>
      <c r="AC480" s="76"/>
      <c r="AD480" s="76"/>
      <c r="AE480" s="76"/>
      <c r="AF480" s="76"/>
      <c r="AG480" s="76"/>
      <c r="AH480" s="76"/>
      <c r="AI480" s="76"/>
      <c r="AJ480" s="76"/>
      <c r="AK480" s="76"/>
      <c r="AL480" s="77"/>
      <c r="AM480" s="76"/>
      <c r="AN480" s="76"/>
    </row>
    <row r="481" spans="1:40" ht="15">
      <c r="A481" s="83" t="e">
        <f>IF(#REF!&lt;&gt;#REF!,1,A480+1)</f>
        <v>#REF!</v>
      </c>
      <c r="O481" s="79"/>
      <c r="P481" s="79"/>
      <c r="Q481" s="76"/>
      <c r="R481" s="77"/>
      <c r="S481" s="76"/>
      <c r="T481" s="77"/>
      <c r="U481" s="76"/>
      <c r="V481" s="77"/>
      <c r="W481" s="76"/>
      <c r="X481" s="77"/>
      <c r="Y481" s="76"/>
      <c r="Z481" s="76"/>
      <c r="AA481" s="76"/>
      <c r="AB481" s="76"/>
      <c r="AC481" s="76"/>
      <c r="AD481" s="76"/>
      <c r="AE481" s="76"/>
      <c r="AF481" s="76"/>
      <c r="AG481" s="76"/>
      <c r="AH481" s="76"/>
      <c r="AI481" s="76"/>
      <c r="AJ481" s="76"/>
      <c r="AK481" s="76"/>
      <c r="AL481" s="77"/>
      <c r="AM481" s="76"/>
      <c r="AN481" s="76"/>
    </row>
    <row r="482" spans="1:40" ht="15">
      <c r="A482" s="83" t="e">
        <f>IF(#REF!&lt;&gt;#REF!,1,A481+1)</f>
        <v>#REF!</v>
      </c>
      <c r="O482" s="79"/>
      <c r="P482" s="79"/>
      <c r="Q482" s="76"/>
      <c r="R482" s="77"/>
      <c r="S482" s="76"/>
      <c r="T482" s="77"/>
      <c r="U482" s="76"/>
      <c r="V482" s="77"/>
      <c r="W482" s="76"/>
      <c r="X482" s="77"/>
      <c r="Y482" s="76"/>
      <c r="Z482" s="76"/>
      <c r="AA482" s="76"/>
      <c r="AB482" s="76"/>
      <c r="AC482" s="76"/>
      <c r="AD482" s="76"/>
      <c r="AE482" s="76"/>
      <c r="AF482" s="76"/>
      <c r="AG482" s="76"/>
      <c r="AH482" s="76"/>
      <c r="AI482" s="76"/>
      <c r="AJ482" s="76"/>
      <c r="AK482" s="76"/>
      <c r="AL482" s="77"/>
      <c r="AM482" s="76"/>
      <c r="AN482" s="76"/>
    </row>
    <row r="483" spans="1:40" ht="15">
      <c r="A483" s="83" t="e">
        <f>IF(#REF!&lt;&gt;#REF!,1,A482+1)</f>
        <v>#REF!</v>
      </c>
      <c r="O483" s="79"/>
      <c r="P483" s="79"/>
      <c r="Q483" s="76"/>
      <c r="R483" s="77"/>
      <c r="S483" s="76"/>
      <c r="T483" s="77"/>
      <c r="U483" s="76"/>
      <c r="V483" s="77"/>
      <c r="W483" s="76"/>
      <c r="X483" s="77"/>
      <c r="Y483" s="76"/>
      <c r="Z483" s="76"/>
      <c r="AA483" s="76"/>
      <c r="AB483" s="76"/>
      <c r="AC483" s="76"/>
      <c r="AD483" s="76"/>
      <c r="AE483" s="76"/>
      <c r="AF483" s="76"/>
      <c r="AG483" s="76"/>
      <c r="AH483" s="76"/>
      <c r="AI483" s="76"/>
      <c r="AJ483" s="76"/>
      <c r="AK483" s="76"/>
      <c r="AL483" s="77"/>
      <c r="AM483" s="76"/>
      <c r="AN483" s="76"/>
    </row>
    <row r="484" spans="1:40" ht="15">
      <c r="A484" s="83" t="e">
        <f>IF(#REF!&lt;&gt;#REF!,1,A483+1)</f>
        <v>#REF!</v>
      </c>
      <c r="O484" s="79"/>
      <c r="P484" s="79"/>
      <c r="Q484" s="76"/>
      <c r="R484" s="77"/>
      <c r="S484" s="76"/>
      <c r="T484" s="77"/>
      <c r="U484" s="76"/>
      <c r="V484" s="77"/>
      <c r="W484" s="76"/>
      <c r="X484" s="77"/>
      <c r="Y484" s="76"/>
      <c r="Z484" s="76"/>
      <c r="AA484" s="76"/>
      <c r="AB484" s="76"/>
      <c r="AC484" s="76"/>
      <c r="AD484" s="76"/>
      <c r="AE484" s="76"/>
      <c r="AF484" s="76"/>
      <c r="AG484" s="76"/>
      <c r="AH484" s="76"/>
      <c r="AI484" s="76"/>
      <c r="AJ484" s="76"/>
      <c r="AK484" s="76"/>
      <c r="AL484" s="77"/>
      <c r="AM484" s="76"/>
      <c r="AN484" s="76"/>
    </row>
    <row r="485" spans="1:40" ht="15">
      <c r="A485" s="83" t="e">
        <f>IF(#REF!&lt;&gt;#REF!,1,A484+1)</f>
        <v>#REF!</v>
      </c>
      <c r="O485" s="79"/>
      <c r="P485" s="79"/>
      <c r="Q485" s="76"/>
      <c r="R485" s="77"/>
      <c r="S485" s="76"/>
      <c r="T485" s="77"/>
      <c r="U485" s="76"/>
      <c r="V485" s="77"/>
      <c r="W485" s="76"/>
      <c r="X485" s="77"/>
      <c r="Y485" s="76"/>
      <c r="Z485" s="76"/>
      <c r="AA485" s="76"/>
      <c r="AB485" s="76"/>
      <c r="AC485" s="76"/>
      <c r="AD485" s="76"/>
      <c r="AE485" s="76"/>
      <c r="AF485" s="76"/>
      <c r="AG485" s="76"/>
      <c r="AH485" s="76"/>
      <c r="AI485" s="76"/>
      <c r="AJ485" s="76"/>
      <c r="AK485" s="76"/>
      <c r="AL485" s="77"/>
      <c r="AM485" s="76"/>
      <c r="AN485" s="76"/>
    </row>
    <row r="486" spans="1:40" ht="15">
      <c r="A486" s="83" t="e">
        <f>IF(#REF!&lt;&gt;#REF!,1,A485+1)</f>
        <v>#REF!</v>
      </c>
      <c r="O486" s="79"/>
      <c r="P486" s="79"/>
      <c r="Q486" s="76"/>
      <c r="R486" s="77"/>
      <c r="S486" s="76"/>
      <c r="T486" s="77"/>
      <c r="U486" s="76"/>
      <c r="V486" s="77"/>
      <c r="W486" s="76"/>
      <c r="X486" s="77"/>
      <c r="Y486" s="76"/>
      <c r="Z486" s="76"/>
      <c r="AA486" s="76"/>
      <c r="AB486" s="76"/>
      <c r="AC486" s="76"/>
      <c r="AD486" s="76"/>
      <c r="AE486" s="76"/>
      <c r="AF486" s="76"/>
      <c r="AG486" s="76"/>
      <c r="AH486" s="76"/>
      <c r="AI486" s="76"/>
      <c r="AJ486" s="76"/>
      <c r="AK486" s="76"/>
      <c r="AL486" s="77"/>
      <c r="AM486" s="76"/>
      <c r="AN486" s="76"/>
    </row>
    <row r="487" spans="1:40" ht="15">
      <c r="A487" s="83" t="e">
        <f>IF(#REF!&lt;&gt;#REF!,1,A486+1)</f>
        <v>#REF!</v>
      </c>
      <c r="O487" s="79"/>
      <c r="P487" s="79"/>
      <c r="Q487" s="76"/>
      <c r="R487" s="77"/>
      <c r="S487" s="76"/>
      <c r="T487" s="77"/>
      <c r="U487" s="76"/>
      <c r="V487" s="77"/>
      <c r="W487" s="76"/>
      <c r="X487" s="77"/>
      <c r="Y487" s="76"/>
      <c r="Z487" s="76"/>
      <c r="AA487" s="76"/>
      <c r="AB487" s="76"/>
      <c r="AC487" s="76"/>
      <c r="AD487" s="76"/>
      <c r="AE487" s="76"/>
      <c r="AF487" s="76"/>
      <c r="AG487" s="76"/>
      <c r="AH487" s="76"/>
      <c r="AI487" s="76"/>
      <c r="AJ487" s="76"/>
      <c r="AK487" s="76"/>
      <c r="AL487" s="77"/>
      <c r="AM487" s="76"/>
      <c r="AN487" s="76"/>
    </row>
    <row r="488" spans="1:40" ht="15">
      <c r="A488" s="83" t="e">
        <f>IF(#REF!&lt;&gt;#REF!,1,A487+1)</f>
        <v>#REF!</v>
      </c>
      <c r="O488" s="79"/>
      <c r="P488" s="79"/>
      <c r="Q488" s="76"/>
      <c r="R488" s="77"/>
      <c r="S488" s="76"/>
      <c r="T488" s="77"/>
      <c r="U488" s="76"/>
      <c r="V488" s="77"/>
      <c r="W488" s="76"/>
      <c r="X488" s="77"/>
      <c r="Y488" s="76"/>
      <c r="Z488" s="76"/>
      <c r="AA488" s="76"/>
      <c r="AB488" s="76"/>
      <c r="AC488" s="76"/>
      <c r="AD488" s="76"/>
      <c r="AE488" s="76"/>
      <c r="AF488" s="76"/>
      <c r="AG488" s="76"/>
      <c r="AH488" s="76"/>
      <c r="AI488" s="76"/>
      <c r="AJ488" s="76"/>
      <c r="AK488" s="76"/>
      <c r="AL488" s="77"/>
      <c r="AM488" s="76"/>
      <c r="AN488" s="76"/>
    </row>
    <row r="489" spans="1:40" ht="15">
      <c r="A489" s="83" t="e">
        <f>IF(#REF!&lt;&gt;#REF!,1,A488+1)</f>
        <v>#REF!</v>
      </c>
      <c r="O489" s="79"/>
      <c r="P489" s="79"/>
      <c r="Q489" s="76"/>
      <c r="R489" s="77"/>
      <c r="S489" s="76"/>
      <c r="T489" s="77"/>
      <c r="U489" s="76"/>
      <c r="V489" s="77"/>
      <c r="W489" s="76"/>
      <c r="X489" s="77"/>
      <c r="Y489" s="76"/>
      <c r="Z489" s="76"/>
      <c r="AA489" s="76"/>
      <c r="AB489" s="76"/>
      <c r="AC489" s="76"/>
      <c r="AD489" s="76"/>
      <c r="AE489" s="76"/>
      <c r="AF489" s="76"/>
      <c r="AG489" s="76"/>
      <c r="AH489" s="76"/>
      <c r="AI489" s="76"/>
      <c r="AJ489" s="76"/>
      <c r="AK489" s="76"/>
      <c r="AL489" s="77"/>
      <c r="AM489" s="76"/>
      <c r="AN489" s="76"/>
    </row>
    <row r="490" spans="1:40" ht="15">
      <c r="A490" s="83" t="e">
        <f>IF(#REF!&lt;&gt;#REF!,1,A489+1)</f>
        <v>#REF!</v>
      </c>
      <c r="O490" s="79"/>
      <c r="P490" s="79"/>
      <c r="Q490" s="76"/>
      <c r="R490" s="77"/>
      <c r="S490" s="76"/>
      <c r="T490" s="77"/>
      <c r="U490" s="76"/>
      <c r="V490" s="77"/>
      <c r="W490" s="76"/>
      <c r="X490" s="77"/>
      <c r="Y490" s="76"/>
      <c r="Z490" s="76"/>
      <c r="AA490" s="76"/>
      <c r="AB490" s="76"/>
      <c r="AC490" s="76"/>
      <c r="AD490" s="76"/>
      <c r="AE490" s="76"/>
      <c r="AF490" s="76"/>
      <c r="AG490" s="76"/>
      <c r="AH490" s="76"/>
      <c r="AI490" s="76"/>
      <c r="AJ490" s="76"/>
      <c r="AK490" s="76"/>
      <c r="AL490" s="77"/>
      <c r="AM490" s="76"/>
      <c r="AN490" s="76"/>
    </row>
    <row r="491" spans="1:40" ht="15">
      <c r="A491" s="83" t="e">
        <f>IF(#REF!&lt;&gt;#REF!,1,A490+1)</f>
        <v>#REF!</v>
      </c>
      <c r="O491" s="79"/>
      <c r="P491" s="79"/>
      <c r="Q491" s="76"/>
      <c r="R491" s="77"/>
      <c r="S491" s="76"/>
      <c r="T491" s="77"/>
      <c r="U491" s="76"/>
      <c r="V491" s="77"/>
      <c r="W491" s="76"/>
      <c r="X491" s="77"/>
      <c r="Y491" s="76"/>
      <c r="Z491" s="76"/>
      <c r="AA491" s="76"/>
      <c r="AB491" s="76"/>
      <c r="AC491" s="76"/>
      <c r="AD491" s="76"/>
      <c r="AE491" s="76"/>
      <c r="AF491" s="76"/>
      <c r="AG491" s="76"/>
      <c r="AH491" s="76"/>
      <c r="AI491" s="76"/>
      <c r="AJ491" s="76"/>
      <c r="AK491" s="76"/>
      <c r="AL491" s="77"/>
      <c r="AM491" s="76"/>
      <c r="AN491" s="76"/>
    </row>
    <row r="492" spans="1:40" ht="15">
      <c r="A492" s="83" t="e">
        <f>IF(#REF!&lt;&gt;#REF!,1,A491+1)</f>
        <v>#REF!</v>
      </c>
      <c r="O492" s="79"/>
      <c r="P492" s="79"/>
      <c r="Q492" s="76"/>
      <c r="R492" s="77"/>
      <c r="S492" s="76"/>
      <c r="T492" s="77"/>
      <c r="U492" s="76"/>
      <c r="V492" s="77"/>
      <c r="W492" s="76"/>
      <c r="X492" s="77"/>
      <c r="Y492" s="76"/>
      <c r="Z492" s="76"/>
      <c r="AA492" s="76"/>
      <c r="AB492" s="76"/>
      <c r="AC492" s="76"/>
      <c r="AD492" s="76"/>
      <c r="AE492" s="76"/>
      <c r="AF492" s="76"/>
      <c r="AG492" s="76"/>
      <c r="AH492" s="76"/>
      <c r="AI492" s="76"/>
      <c r="AJ492" s="76"/>
      <c r="AK492" s="76"/>
      <c r="AL492" s="77"/>
      <c r="AM492" s="76"/>
      <c r="AN492" s="76"/>
    </row>
    <row r="493" spans="1:40" ht="15">
      <c r="A493" s="83" t="e">
        <f>IF(#REF!&lt;&gt;#REF!,1,A492+1)</f>
        <v>#REF!</v>
      </c>
      <c r="O493" s="79"/>
      <c r="P493" s="79"/>
      <c r="Q493" s="76"/>
      <c r="R493" s="77"/>
      <c r="S493" s="76"/>
      <c r="T493" s="77"/>
      <c r="U493" s="76"/>
      <c r="V493" s="77"/>
      <c r="W493" s="76"/>
      <c r="X493" s="77"/>
      <c r="Y493" s="76"/>
      <c r="Z493" s="76"/>
      <c r="AA493" s="76"/>
      <c r="AB493" s="76"/>
      <c r="AC493" s="76"/>
      <c r="AD493" s="76"/>
      <c r="AE493" s="76"/>
      <c r="AF493" s="76"/>
      <c r="AG493" s="76"/>
      <c r="AH493" s="76"/>
      <c r="AI493" s="76"/>
      <c r="AJ493" s="76"/>
      <c r="AK493" s="76"/>
      <c r="AL493" s="77"/>
      <c r="AM493" s="76"/>
      <c r="AN493" s="76"/>
    </row>
    <row r="494" spans="1:40" ht="15">
      <c r="A494" s="83" t="e">
        <f>IF(#REF!&lt;&gt;#REF!,1,A493+1)</f>
        <v>#REF!</v>
      </c>
      <c r="O494" s="79"/>
      <c r="P494" s="79"/>
      <c r="Q494" s="76"/>
      <c r="R494" s="77"/>
      <c r="S494" s="76"/>
      <c r="T494" s="77"/>
      <c r="U494" s="76"/>
      <c r="V494" s="77"/>
      <c r="W494" s="76"/>
      <c r="X494" s="77"/>
      <c r="Y494" s="76"/>
      <c r="Z494" s="76"/>
      <c r="AA494" s="76"/>
      <c r="AB494" s="76"/>
      <c r="AC494" s="76"/>
      <c r="AD494" s="76"/>
      <c r="AE494" s="76"/>
      <c r="AF494" s="76"/>
      <c r="AG494" s="76"/>
      <c r="AH494" s="76"/>
      <c r="AI494" s="76"/>
      <c r="AJ494" s="76"/>
      <c r="AK494" s="76"/>
      <c r="AL494" s="77"/>
      <c r="AM494" s="76"/>
      <c r="AN494" s="76"/>
    </row>
    <row r="495" spans="1:40" ht="15">
      <c r="A495" s="83" t="e">
        <f>IF(#REF!&lt;&gt;#REF!,1,A494+1)</f>
        <v>#REF!</v>
      </c>
      <c r="O495" s="79"/>
      <c r="P495" s="79"/>
      <c r="Q495" s="76"/>
      <c r="R495" s="77"/>
      <c r="S495" s="76"/>
      <c r="T495" s="77"/>
      <c r="U495" s="76"/>
      <c r="V495" s="77"/>
      <c r="W495" s="76"/>
      <c r="X495" s="77"/>
      <c r="Y495" s="76"/>
      <c r="Z495" s="76"/>
      <c r="AA495" s="76"/>
      <c r="AB495" s="76"/>
      <c r="AC495" s="76"/>
      <c r="AD495" s="76"/>
      <c r="AE495" s="76"/>
      <c r="AF495" s="76"/>
      <c r="AG495" s="76"/>
      <c r="AH495" s="76"/>
      <c r="AI495" s="76"/>
      <c r="AJ495" s="76"/>
      <c r="AK495" s="76"/>
      <c r="AL495" s="77"/>
      <c r="AM495" s="76"/>
      <c r="AN495" s="76"/>
    </row>
    <row r="496" spans="1:40" ht="15">
      <c r="A496" s="83" t="e">
        <f>IF(#REF!&lt;&gt;#REF!,1,A495+1)</f>
        <v>#REF!</v>
      </c>
      <c r="O496" s="79"/>
      <c r="P496" s="79"/>
      <c r="Q496" s="76"/>
      <c r="R496" s="77"/>
      <c r="S496" s="76"/>
      <c r="T496" s="77"/>
      <c r="U496" s="76"/>
      <c r="V496" s="77"/>
      <c r="W496" s="76"/>
      <c r="X496" s="77"/>
      <c r="Y496" s="76"/>
      <c r="Z496" s="76"/>
      <c r="AA496" s="76"/>
      <c r="AB496" s="76"/>
      <c r="AC496" s="76"/>
      <c r="AD496" s="76"/>
      <c r="AE496" s="76"/>
      <c r="AF496" s="76"/>
      <c r="AG496" s="76"/>
      <c r="AH496" s="76"/>
      <c r="AI496" s="76"/>
      <c r="AJ496" s="76"/>
      <c r="AK496" s="76"/>
      <c r="AL496" s="77"/>
      <c r="AM496" s="76"/>
      <c r="AN496" s="76"/>
    </row>
    <row r="497" spans="1:40" ht="15">
      <c r="A497" s="83" t="e">
        <f>IF(#REF!&lt;&gt;#REF!,1,A496+1)</f>
        <v>#REF!</v>
      </c>
      <c r="O497" s="79"/>
      <c r="P497" s="79"/>
      <c r="Q497" s="76"/>
      <c r="R497" s="77"/>
      <c r="S497" s="76"/>
      <c r="T497" s="77"/>
      <c r="U497" s="76"/>
      <c r="V497" s="77"/>
      <c r="W497" s="76"/>
      <c r="X497" s="77"/>
      <c r="Y497" s="76"/>
      <c r="Z497" s="76"/>
      <c r="AA497" s="76"/>
      <c r="AB497" s="76"/>
      <c r="AC497" s="76"/>
      <c r="AD497" s="76"/>
      <c r="AE497" s="76"/>
      <c r="AF497" s="76"/>
      <c r="AG497" s="76"/>
      <c r="AH497" s="76"/>
      <c r="AI497" s="76"/>
      <c r="AJ497" s="76"/>
      <c r="AK497" s="76"/>
      <c r="AL497" s="77"/>
      <c r="AM497" s="76"/>
      <c r="AN497" s="76"/>
    </row>
    <row r="498" spans="1:40" ht="15">
      <c r="A498" s="83" t="e">
        <f>IF(#REF!&lt;&gt;#REF!,1,A497+1)</f>
        <v>#REF!</v>
      </c>
      <c r="O498" s="79"/>
      <c r="P498" s="79"/>
      <c r="Q498" s="76"/>
      <c r="R498" s="77"/>
      <c r="S498" s="76"/>
      <c r="T498" s="77"/>
      <c r="U498" s="76"/>
      <c r="V498" s="77"/>
      <c r="W498" s="76"/>
      <c r="X498" s="77"/>
      <c r="Y498" s="76"/>
      <c r="Z498" s="76"/>
      <c r="AA498" s="76"/>
      <c r="AB498" s="76"/>
      <c r="AC498" s="76"/>
      <c r="AD498" s="76"/>
      <c r="AE498" s="76"/>
      <c r="AF498" s="76"/>
      <c r="AG498" s="76"/>
      <c r="AH498" s="76"/>
      <c r="AI498" s="76"/>
      <c r="AJ498" s="76"/>
      <c r="AK498" s="76"/>
      <c r="AL498" s="77"/>
      <c r="AM498" s="76"/>
      <c r="AN498" s="76"/>
    </row>
    <row r="499" spans="1:40" ht="15">
      <c r="A499" s="83" t="e">
        <f>IF(#REF!&lt;&gt;#REF!,1,A498+1)</f>
        <v>#REF!</v>
      </c>
      <c r="O499" s="79"/>
      <c r="P499" s="79"/>
      <c r="Q499" s="76"/>
      <c r="R499" s="77"/>
      <c r="S499" s="76"/>
      <c r="T499" s="77"/>
      <c r="U499" s="76"/>
      <c r="V499" s="77"/>
      <c r="W499" s="76"/>
      <c r="X499" s="77"/>
      <c r="Y499" s="76"/>
      <c r="Z499" s="76"/>
      <c r="AA499" s="76"/>
      <c r="AB499" s="76"/>
      <c r="AC499" s="76"/>
      <c r="AD499" s="76"/>
      <c r="AE499" s="76"/>
      <c r="AF499" s="76"/>
      <c r="AG499" s="76"/>
      <c r="AH499" s="76"/>
      <c r="AI499" s="76"/>
      <c r="AJ499" s="76"/>
      <c r="AK499" s="76"/>
      <c r="AL499" s="77"/>
      <c r="AM499" s="76"/>
      <c r="AN499" s="76"/>
    </row>
    <row r="500" spans="1:40" ht="15">
      <c r="A500" s="83" t="e">
        <f>IF(#REF!&lt;&gt;#REF!,1,A499+1)</f>
        <v>#REF!</v>
      </c>
      <c r="O500" s="79"/>
      <c r="P500" s="79"/>
      <c r="Q500" s="76"/>
      <c r="R500" s="77"/>
      <c r="S500" s="76"/>
      <c r="T500" s="77"/>
      <c r="U500" s="76"/>
      <c r="V500" s="77"/>
      <c r="W500" s="76"/>
      <c r="X500" s="77"/>
      <c r="Y500" s="76"/>
      <c r="Z500" s="76"/>
      <c r="AA500" s="76"/>
      <c r="AB500" s="76"/>
      <c r="AC500" s="76"/>
      <c r="AD500" s="76"/>
      <c r="AE500" s="76"/>
      <c r="AF500" s="76"/>
      <c r="AG500" s="76"/>
      <c r="AH500" s="76"/>
      <c r="AI500" s="76"/>
      <c r="AJ500" s="76"/>
      <c r="AK500" s="76"/>
      <c r="AL500" s="77"/>
      <c r="AM500" s="76"/>
      <c r="AN500" s="76"/>
    </row>
    <row r="501" spans="1:40" ht="15">
      <c r="A501" s="83" t="e">
        <f>IF(#REF!&lt;&gt;#REF!,1,A500+1)</f>
        <v>#REF!</v>
      </c>
      <c r="O501" s="79"/>
      <c r="P501" s="79"/>
      <c r="Q501" s="76"/>
      <c r="R501" s="77"/>
      <c r="S501" s="76"/>
      <c r="T501" s="77"/>
      <c r="U501" s="76"/>
      <c r="V501" s="77"/>
      <c r="W501" s="76"/>
      <c r="X501" s="77"/>
      <c r="Y501" s="76"/>
      <c r="Z501" s="76"/>
      <c r="AA501" s="76"/>
      <c r="AB501" s="76"/>
      <c r="AC501" s="76"/>
      <c r="AD501" s="76"/>
      <c r="AE501" s="76"/>
      <c r="AF501" s="76"/>
      <c r="AG501" s="76"/>
      <c r="AH501" s="76"/>
      <c r="AI501" s="76"/>
      <c r="AJ501" s="76"/>
      <c r="AK501" s="76"/>
      <c r="AL501" s="77"/>
      <c r="AM501" s="76"/>
      <c r="AN501" s="76"/>
    </row>
    <row r="502" spans="1:40" ht="15">
      <c r="A502" s="83" t="e">
        <f>IF(#REF!&lt;&gt;#REF!,1,A501+1)</f>
        <v>#REF!</v>
      </c>
      <c r="O502" s="79"/>
      <c r="P502" s="79"/>
      <c r="Q502" s="76"/>
      <c r="R502" s="77"/>
      <c r="S502" s="76"/>
      <c r="T502" s="77"/>
      <c r="U502" s="76"/>
      <c r="V502" s="77"/>
      <c r="W502" s="76"/>
      <c r="X502" s="77"/>
      <c r="Y502" s="76"/>
      <c r="Z502" s="76"/>
      <c r="AA502" s="76"/>
      <c r="AB502" s="76"/>
      <c r="AC502" s="76"/>
      <c r="AD502" s="76"/>
      <c r="AE502" s="76"/>
      <c r="AF502" s="76"/>
      <c r="AG502" s="76"/>
      <c r="AH502" s="76"/>
      <c r="AI502" s="76"/>
      <c r="AJ502" s="76"/>
      <c r="AK502" s="76"/>
      <c r="AL502" s="77"/>
      <c r="AM502" s="76"/>
      <c r="AN502" s="76"/>
    </row>
    <row r="503" spans="1:40" ht="15">
      <c r="A503" s="83" t="e">
        <f>IF(#REF!&lt;&gt;#REF!,1,A502+1)</f>
        <v>#REF!</v>
      </c>
      <c r="O503" s="79"/>
      <c r="P503" s="79"/>
      <c r="Q503" s="76"/>
      <c r="R503" s="77"/>
      <c r="S503" s="76"/>
      <c r="T503" s="77"/>
      <c r="U503" s="76"/>
      <c r="V503" s="77"/>
      <c r="W503" s="76"/>
      <c r="X503" s="77"/>
      <c r="Y503" s="76"/>
      <c r="Z503" s="76"/>
      <c r="AA503" s="76"/>
      <c r="AB503" s="76"/>
      <c r="AC503" s="76"/>
      <c r="AD503" s="76"/>
      <c r="AE503" s="76"/>
      <c r="AF503" s="76"/>
      <c r="AG503" s="76"/>
      <c r="AH503" s="76"/>
      <c r="AI503" s="76"/>
      <c r="AJ503" s="76"/>
      <c r="AK503" s="76"/>
      <c r="AL503" s="77"/>
      <c r="AM503" s="76"/>
      <c r="AN503" s="76"/>
    </row>
    <row r="504" spans="1:40" ht="15">
      <c r="A504" s="83" t="e">
        <f>IF(#REF!&lt;&gt;#REF!,1,A503+1)</f>
        <v>#REF!</v>
      </c>
      <c r="O504" s="79"/>
      <c r="P504" s="79"/>
      <c r="Q504" s="76"/>
      <c r="R504" s="77"/>
      <c r="S504" s="76"/>
      <c r="T504" s="77"/>
      <c r="U504" s="76"/>
      <c r="V504" s="77"/>
      <c r="W504" s="76"/>
      <c r="X504" s="77"/>
      <c r="Y504" s="76"/>
      <c r="Z504" s="76"/>
      <c r="AA504" s="76"/>
      <c r="AB504" s="76"/>
      <c r="AC504" s="76"/>
      <c r="AD504" s="76"/>
      <c r="AE504" s="76"/>
      <c r="AF504" s="76"/>
      <c r="AG504" s="76"/>
      <c r="AH504" s="76"/>
      <c r="AI504" s="76"/>
      <c r="AJ504" s="76"/>
      <c r="AK504" s="76"/>
      <c r="AL504" s="77"/>
      <c r="AM504" s="76"/>
      <c r="AN504" s="76"/>
    </row>
    <row r="505" spans="1:40" ht="15">
      <c r="A505" s="83" t="e">
        <f>IF(#REF!&lt;&gt;#REF!,1,A504+1)</f>
        <v>#REF!</v>
      </c>
      <c r="O505" s="79"/>
      <c r="P505" s="79"/>
      <c r="Q505" s="76"/>
      <c r="R505" s="77"/>
      <c r="S505" s="76"/>
      <c r="T505" s="77"/>
      <c r="U505" s="76"/>
      <c r="V505" s="77"/>
      <c r="W505" s="76"/>
      <c r="X505" s="77"/>
      <c r="Y505" s="76"/>
      <c r="Z505" s="76"/>
      <c r="AA505" s="76"/>
      <c r="AB505" s="76"/>
      <c r="AC505" s="76"/>
      <c r="AD505" s="76"/>
      <c r="AE505" s="76"/>
      <c r="AF505" s="76"/>
      <c r="AG505" s="76"/>
      <c r="AH505" s="76"/>
      <c r="AI505" s="76"/>
      <c r="AJ505" s="76"/>
      <c r="AK505" s="76"/>
      <c r="AL505" s="77"/>
      <c r="AM505" s="76"/>
      <c r="AN505" s="76"/>
    </row>
    <row r="506" spans="1:40" ht="15">
      <c r="A506" s="83" t="e">
        <f>IF(#REF!&lt;&gt;#REF!,1,A505+1)</f>
        <v>#REF!</v>
      </c>
      <c r="O506" s="79"/>
      <c r="P506" s="79"/>
      <c r="Q506" s="76"/>
      <c r="R506" s="77"/>
      <c r="S506" s="76"/>
      <c r="T506" s="77"/>
      <c r="U506" s="76"/>
      <c r="V506" s="77"/>
      <c r="W506" s="76"/>
      <c r="X506" s="77"/>
      <c r="Y506" s="76"/>
      <c r="Z506" s="76"/>
      <c r="AA506" s="76"/>
      <c r="AB506" s="76"/>
      <c r="AC506" s="76"/>
      <c r="AD506" s="76"/>
      <c r="AE506" s="76"/>
      <c r="AF506" s="76"/>
      <c r="AG506" s="76"/>
      <c r="AH506" s="76"/>
      <c r="AI506" s="76"/>
      <c r="AJ506" s="76"/>
      <c r="AK506" s="76"/>
      <c r="AL506" s="77"/>
      <c r="AM506" s="76"/>
      <c r="AN506" s="76"/>
    </row>
    <row r="507" spans="1:40" ht="15">
      <c r="A507" s="83" t="e">
        <f>IF(#REF!&lt;&gt;#REF!,1,A506+1)</f>
        <v>#REF!</v>
      </c>
      <c r="O507" s="79"/>
      <c r="P507" s="79"/>
      <c r="Q507" s="76"/>
      <c r="R507" s="77"/>
      <c r="S507" s="76"/>
      <c r="T507" s="77"/>
      <c r="U507" s="76"/>
      <c r="V507" s="77"/>
      <c r="W507" s="76"/>
      <c r="X507" s="77"/>
      <c r="Y507" s="76"/>
      <c r="Z507" s="76"/>
      <c r="AA507" s="76"/>
      <c r="AB507" s="76"/>
      <c r="AC507" s="76"/>
      <c r="AD507" s="76"/>
      <c r="AE507" s="76"/>
      <c r="AF507" s="76"/>
      <c r="AG507" s="76"/>
      <c r="AH507" s="76"/>
      <c r="AI507" s="76"/>
      <c r="AJ507" s="76"/>
      <c r="AK507" s="76"/>
      <c r="AL507" s="77"/>
      <c r="AM507" s="76"/>
      <c r="AN507" s="76"/>
    </row>
    <row r="508" spans="1:40" ht="15">
      <c r="A508" s="83" t="e">
        <f>IF(#REF!&lt;&gt;#REF!,1,A507+1)</f>
        <v>#REF!</v>
      </c>
      <c r="O508" s="79"/>
      <c r="P508" s="79"/>
      <c r="Q508" s="76"/>
      <c r="R508" s="77"/>
      <c r="S508" s="76"/>
      <c r="T508" s="77"/>
      <c r="U508" s="76"/>
      <c r="V508" s="77"/>
      <c r="W508" s="76"/>
      <c r="X508" s="77"/>
      <c r="Y508" s="76"/>
      <c r="Z508" s="76"/>
      <c r="AA508" s="76"/>
      <c r="AB508" s="76"/>
      <c r="AC508" s="76"/>
      <c r="AD508" s="76"/>
      <c r="AE508" s="76"/>
      <c r="AF508" s="76"/>
      <c r="AG508" s="76"/>
      <c r="AH508" s="76"/>
      <c r="AI508" s="76"/>
      <c r="AJ508" s="76"/>
      <c r="AK508" s="76"/>
      <c r="AL508" s="77"/>
      <c r="AM508" s="76"/>
      <c r="AN508" s="76"/>
    </row>
    <row r="509" spans="1:40" ht="15">
      <c r="A509" s="83" t="e">
        <f>IF(#REF!&lt;&gt;#REF!,1,A508+1)</f>
        <v>#REF!</v>
      </c>
      <c r="O509" s="79"/>
      <c r="P509" s="79"/>
      <c r="Q509" s="76"/>
      <c r="R509" s="77"/>
      <c r="S509" s="76"/>
      <c r="T509" s="77"/>
      <c r="U509" s="76"/>
      <c r="V509" s="77"/>
      <c r="W509" s="76"/>
      <c r="X509" s="77"/>
      <c r="Y509" s="76"/>
      <c r="Z509" s="76"/>
      <c r="AA509" s="76"/>
      <c r="AB509" s="76"/>
      <c r="AC509" s="76"/>
      <c r="AD509" s="76"/>
      <c r="AE509" s="76"/>
      <c r="AF509" s="76"/>
      <c r="AG509" s="76"/>
      <c r="AH509" s="76"/>
      <c r="AI509" s="76"/>
      <c r="AJ509" s="76"/>
      <c r="AK509" s="76"/>
      <c r="AL509" s="77"/>
      <c r="AM509" s="76"/>
      <c r="AN509" s="76"/>
    </row>
    <row r="510" spans="1:40" ht="15">
      <c r="A510" s="83" t="e">
        <f>IF(#REF!&lt;&gt;#REF!,1,A509+1)</f>
        <v>#REF!</v>
      </c>
      <c r="O510" s="79"/>
      <c r="P510" s="79"/>
      <c r="Q510" s="76"/>
      <c r="R510" s="77"/>
      <c r="S510" s="76"/>
      <c r="T510" s="77"/>
      <c r="U510" s="76"/>
      <c r="V510" s="77"/>
      <c r="W510" s="76"/>
      <c r="X510" s="77"/>
      <c r="Y510" s="76"/>
      <c r="Z510" s="76"/>
      <c r="AA510" s="76"/>
      <c r="AB510" s="76"/>
      <c r="AC510" s="76"/>
      <c r="AD510" s="76"/>
      <c r="AE510" s="76"/>
      <c r="AF510" s="76"/>
      <c r="AG510" s="76"/>
      <c r="AH510" s="76"/>
      <c r="AI510" s="76"/>
      <c r="AJ510" s="76"/>
      <c r="AK510" s="76"/>
      <c r="AL510" s="77"/>
      <c r="AM510" s="76"/>
      <c r="AN510" s="76"/>
    </row>
    <row r="511" spans="1:40" ht="15">
      <c r="A511" s="83" t="e">
        <f>IF(#REF!&lt;&gt;#REF!,1,A510+1)</f>
        <v>#REF!</v>
      </c>
      <c r="O511" s="79"/>
      <c r="P511" s="79"/>
      <c r="Q511" s="76"/>
      <c r="R511" s="77"/>
      <c r="S511" s="76"/>
      <c r="T511" s="77"/>
      <c r="U511" s="76"/>
      <c r="V511" s="77"/>
      <c r="W511" s="76"/>
      <c r="X511" s="77"/>
      <c r="Y511" s="76"/>
      <c r="Z511" s="76"/>
      <c r="AA511" s="76"/>
      <c r="AB511" s="76"/>
      <c r="AC511" s="76"/>
      <c r="AD511" s="76"/>
      <c r="AE511" s="76"/>
      <c r="AF511" s="76"/>
      <c r="AG511" s="76"/>
      <c r="AH511" s="76"/>
      <c r="AI511" s="76"/>
      <c r="AJ511" s="76"/>
      <c r="AK511" s="76"/>
      <c r="AL511" s="77"/>
      <c r="AM511" s="76"/>
      <c r="AN511" s="76"/>
    </row>
    <row r="512" spans="1:40" ht="15">
      <c r="A512" s="83" t="e">
        <f>IF(#REF!&lt;&gt;#REF!,1,A511+1)</f>
        <v>#REF!</v>
      </c>
      <c r="O512" s="79"/>
      <c r="P512" s="79"/>
      <c r="Q512" s="76"/>
      <c r="R512" s="77"/>
      <c r="S512" s="76"/>
      <c r="T512" s="77"/>
      <c r="U512" s="76"/>
      <c r="V512" s="77"/>
      <c r="W512" s="76"/>
      <c r="X512" s="77"/>
      <c r="Y512" s="76"/>
      <c r="Z512" s="76"/>
      <c r="AA512" s="76"/>
      <c r="AB512" s="76"/>
      <c r="AC512" s="76"/>
      <c r="AD512" s="76"/>
      <c r="AE512" s="76"/>
      <c r="AF512" s="76"/>
      <c r="AG512" s="76"/>
      <c r="AH512" s="76"/>
      <c r="AI512" s="76"/>
      <c r="AJ512" s="76"/>
      <c r="AK512" s="76"/>
      <c r="AL512" s="77"/>
      <c r="AM512" s="76"/>
      <c r="AN512" s="76"/>
    </row>
    <row r="513" spans="1:40" ht="15">
      <c r="A513" s="83" t="e">
        <f>IF(#REF!&lt;&gt;#REF!,1,A512+1)</f>
        <v>#REF!</v>
      </c>
      <c r="O513" s="79"/>
      <c r="P513" s="79"/>
      <c r="Q513" s="76"/>
      <c r="R513" s="77"/>
      <c r="S513" s="76"/>
      <c r="T513" s="77"/>
      <c r="U513" s="76"/>
      <c r="V513" s="77"/>
      <c r="W513" s="76"/>
      <c r="X513" s="77"/>
      <c r="Y513" s="76"/>
      <c r="Z513" s="76"/>
      <c r="AA513" s="76"/>
      <c r="AB513" s="76"/>
      <c r="AC513" s="76"/>
      <c r="AD513" s="76"/>
      <c r="AE513" s="76"/>
      <c r="AF513" s="76"/>
      <c r="AG513" s="76"/>
      <c r="AH513" s="76"/>
      <c r="AI513" s="76"/>
      <c r="AJ513" s="76"/>
      <c r="AK513" s="76"/>
      <c r="AL513" s="77"/>
      <c r="AM513" s="76"/>
      <c r="AN513" s="76"/>
    </row>
    <row r="514" spans="1:40" ht="15">
      <c r="A514" s="83" t="e">
        <f>IF(#REF!&lt;&gt;#REF!,1,A513+1)</f>
        <v>#REF!</v>
      </c>
      <c r="O514" s="79"/>
      <c r="P514" s="79"/>
      <c r="Q514" s="76"/>
      <c r="R514" s="77"/>
      <c r="S514" s="76"/>
      <c r="T514" s="77"/>
      <c r="U514" s="76"/>
      <c r="V514" s="77"/>
      <c r="W514" s="76"/>
      <c r="X514" s="77"/>
      <c r="Y514" s="76"/>
      <c r="Z514" s="76"/>
      <c r="AA514" s="76"/>
      <c r="AB514" s="76"/>
      <c r="AC514" s="76"/>
      <c r="AD514" s="76"/>
      <c r="AE514" s="76"/>
      <c r="AF514" s="76"/>
      <c r="AG514" s="76"/>
      <c r="AH514" s="76"/>
      <c r="AI514" s="76"/>
      <c r="AJ514" s="76"/>
      <c r="AK514" s="76"/>
      <c r="AL514" s="77"/>
      <c r="AM514" s="76"/>
      <c r="AN514" s="76"/>
    </row>
    <row r="515" spans="1:40" ht="15">
      <c r="A515" s="83" t="e">
        <f>IF(#REF!&lt;&gt;#REF!,1,A514+1)</f>
        <v>#REF!</v>
      </c>
      <c r="O515" s="79"/>
      <c r="P515" s="79"/>
      <c r="Q515" s="76"/>
      <c r="R515" s="77"/>
      <c r="S515" s="76"/>
      <c r="T515" s="77"/>
      <c r="U515" s="76"/>
      <c r="V515" s="77"/>
      <c r="W515" s="76"/>
      <c r="X515" s="77"/>
      <c r="Y515" s="76"/>
      <c r="Z515" s="76"/>
      <c r="AA515" s="76"/>
      <c r="AB515" s="76"/>
      <c r="AC515" s="76"/>
      <c r="AD515" s="76"/>
      <c r="AE515" s="76"/>
      <c r="AF515" s="76"/>
      <c r="AG515" s="76"/>
      <c r="AH515" s="76"/>
      <c r="AI515" s="76"/>
      <c r="AJ515" s="76"/>
      <c r="AK515" s="76"/>
      <c r="AL515" s="77"/>
      <c r="AM515" s="76"/>
      <c r="AN515" s="76"/>
    </row>
    <row r="516" spans="1:40" ht="15">
      <c r="A516" s="83" t="e">
        <f>IF(#REF!&lt;&gt;#REF!,1,A515+1)</f>
        <v>#REF!</v>
      </c>
      <c r="O516" s="79"/>
      <c r="P516" s="79"/>
      <c r="Q516" s="76"/>
      <c r="R516" s="77"/>
      <c r="S516" s="76"/>
      <c r="T516" s="77"/>
      <c r="U516" s="76"/>
      <c r="V516" s="77"/>
      <c r="W516" s="76"/>
      <c r="X516" s="77"/>
      <c r="Y516" s="76"/>
      <c r="Z516" s="76"/>
      <c r="AA516" s="76"/>
      <c r="AB516" s="76"/>
      <c r="AC516" s="76"/>
      <c r="AD516" s="76"/>
      <c r="AE516" s="76"/>
      <c r="AF516" s="76"/>
      <c r="AG516" s="76"/>
      <c r="AH516" s="76"/>
      <c r="AI516" s="76"/>
      <c r="AJ516" s="76"/>
      <c r="AK516" s="76"/>
      <c r="AL516" s="77"/>
      <c r="AM516" s="76"/>
      <c r="AN516" s="76"/>
    </row>
    <row r="517" spans="1:40" ht="15">
      <c r="A517" s="83" t="e">
        <f>IF(#REF!&lt;&gt;#REF!,1,A516+1)</f>
        <v>#REF!</v>
      </c>
      <c r="O517" s="79"/>
      <c r="P517" s="79"/>
      <c r="Q517" s="76"/>
      <c r="R517" s="77"/>
      <c r="S517" s="76"/>
      <c r="T517" s="77"/>
      <c r="U517" s="76"/>
      <c r="V517" s="77"/>
      <c r="W517" s="76"/>
      <c r="X517" s="77"/>
      <c r="Y517" s="76"/>
      <c r="Z517" s="76"/>
      <c r="AA517" s="76"/>
      <c r="AB517" s="76"/>
      <c r="AC517" s="76"/>
      <c r="AD517" s="76"/>
      <c r="AE517" s="76"/>
      <c r="AF517" s="76"/>
      <c r="AG517" s="76"/>
      <c r="AH517" s="76"/>
      <c r="AI517" s="76"/>
      <c r="AJ517" s="76"/>
      <c r="AK517" s="76"/>
      <c r="AL517" s="77"/>
      <c r="AM517" s="76"/>
      <c r="AN517" s="76"/>
    </row>
    <row r="518" spans="1:40" ht="15">
      <c r="A518" s="83" t="e">
        <f>IF(#REF!&lt;&gt;#REF!,1,A517+1)</f>
        <v>#REF!</v>
      </c>
      <c r="O518" s="79"/>
      <c r="P518" s="79"/>
      <c r="Q518" s="76"/>
      <c r="R518" s="77"/>
      <c r="S518" s="76"/>
      <c r="T518" s="77"/>
      <c r="U518" s="76"/>
      <c r="V518" s="77"/>
      <c r="W518" s="76"/>
      <c r="X518" s="77"/>
      <c r="Y518" s="76"/>
      <c r="Z518" s="76"/>
      <c r="AA518" s="76"/>
      <c r="AB518" s="76"/>
      <c r="AC518" s="76"/>
      <c r="AD518" s="76"/>
      <c r="AE518" s="76"/>
      <c r="AF518" s="76"/>
      <c r="AG518" s="76"/>
      <c r="AH518" s="76"/>
      <c r="AI518" s="76"/>
      <c r="AJ518" s="76"/>
      <c r="AK518" s="76"/>
      <c r="AL518" s="77"/>
      <c r="AM518" s="76"/>
      <c r="AN518" s="76"/>
    </row>
    <row r="519" spans="1:40" ht="15">
      <c r="A519" s="83" t="e">
        <f>IF(#REF!&lt;&gt;#REF!,1,A518+1)</f>
        <v>#REF!</v>
      </c>
      <c r="O519" s="79"/>
      <c r="P519" s="79"/>
      <c r="Q519" s="76"/>
      <c r="R519" s="77"/>
      <c r="S519" s="76"/>
      <c r="T519" s="77"/>
      <c r="U519" s="76"/>
      <c r="V519" s="77"/>
      <c r="W519" s="76"/>
      <c r="X519" s="77"/>
      <c r="Y519" s="76"/>
      <c r="Z519" s="76"/>
      <c r="AA519" s="76"/>
      <c r="AB519" s="76"/>
      <c r="AC519" s="76"/>
      <c r="AD519" s="76"/>
      <c r="AE519" s="76"/>
      <c r="AF519" s="76"/>
      <c r="AG519" s="76"/>
      <c r="AH519" s="76"/>
      <c r="AI519" s="76"/>
      <c r="AJ519" s="76"/>
      <c r="AK519" s="76"/>
      <c r="AL519" s="77"/>
      <c r="AM519" s="76"/>
      <c r="AN519" s="76"/>
    </row>
    <row r="520" spans="1:40" ht="15">
      <c r="A520" s="83" t="e">
        <f>IF(#REF!&lt;&gt;#REF!,1,A519+1)</f>
        <v>#REF!</v>
      </c>
      <c r="O520" s="79"/>
      <c r="P520" s="79"/>
      <c r="Q520" s="76"/>
      <c r="R520" s="77"/>
      <c r="S520" s="76"/>
      <c r="T520" s="77"/>
      <c r="U520" s="76"/>
      <c r="V520" s="77"/>
      <c r="W520" s="76"/>
      <c r="X520" s="77"/>
      <c r="Y520" s="76"/>
      <c r="Z520" s="76"/>
      <c r="AA520" s="76"/>
      <c r="AB520" s="76"/>
      <c r="AC520" s="76"/>
      <c r="AD520" s="76"/>
      <c r="AE520" s="76"/>
      <c r="AF520" s="76"/>
      <c r="AG520" s="76"/>
      <c r="AH520" s="76"/>
      <c r="AI520" s="76"/>
      <c r="AJ520" s="76"/>
      <c r="AK520" s="76"/>
      <c r="AL520" s="77"/>
      <c r="AM520" s="76"/>
      <c r="AN520" s="76"/>
    </row>
    <row r="521" spans="1:40" ht="15">
      <c r="A521" s="83" t="e">
        <f>IF(#REF!&lt;&gt;#REF!,1,A520+1)</f>
        <v>#REF!</v>
      </c>
      <c r="O521" s="79"/>
      <c r="P521" s="79"/>
      <c r="Q521" s="76"/>
      <c r="R521" s="77"/>
      <c r="S521" s="76"/>
      <c r="T521" s="77"/>
      <c r="U521" s="76"/>
      <c r="V521" s="77"/>
      <c r="W521" s="76"/>
      <c r="X521" s="77"/>
      <c r="Y521" s="76"/>
      <c r="Z521" s="76"/>
      <c r="AA521" s="76"/>
      <c r="AB521" s="76"/>
      <c r="AC521" s="76"/>
      <c r="AD521" s="76"/>
      <c r="AE521" s="76"/>
      <c r="AF521" s="76"/>
      <c r="AG521" s="76"/>
      <c r="AH521" s="76"/>
      <c r="AI521" s="76"/>
      <c r="AJ521" s="76"/>
      <c r="AK521" s="76"/>
      <c r="AL521" s="77"/>
      <c r="AM521" s="76"/>
      <c r="AN521" s="76"/>
    </row>
    <row r="522" spans="1:40" ht="15">
      <c r="A522" s="83" t="e">
        <f>IF(#REF!&lt;&gt;#REF!,1,A521+1)</f>
        <v>#REF!</v>
      </c>
      <c r="O522" s="79"/>
      <c r="P522" s="79"/>
      <c r="Q522" s="76"/>
      <c r="R522" s="77"/>
      <c r="S522" s="76"/>
      <c r="T522" s="77"/>
      <c r="U522" s="76"/>
      <c r="V522" s="77"/>
      <c r="W522" s="76"/>
      <c r="X522" s="77"/>
      <c r="Y522" s="76"/>
      <c r="Z522" s="76"/>
      <c r="AA522" s="76"/>
      <c r="AB522" s="76"/>
      <c r="AC522" s="76"/>
      <c r="AD522" s="76"/>
      <c r="AE522" s="76"/>
      <c r="AF522" s="76"/>
      <c r="AG522" s="76"/>
      <c r="AH522" s="76"/>
      <c r="AI522" s="76"/>
      <c r="AJ522" s="76"/>
      <c r="AK522" s="76"/>
      <c r="AL522" s="77"/>
      <c r="AM522" s="76"/>
      <c r="AN522" s="76"/>
    </row>
    <row r="523" spans="1:40" ht="15">
      <c r="A523" s="83" t="e">
        <f>IF(#REF!&lt;&gt;#REF!,1,A522+1)</f>
        <v>#REF!</v>
      </c>
      <c r="O523" s="79"/>
      <c r="P523" s="79"/>
      <c r="Q523" s="76"/>
      <c r="R523" s="77"/>
      <c r="S523" s="76"/>
      <c r="T523" s="77"/>
      <c r="U523" s="76"/>
      <c r="V523" s="77"/>
      <c r="W523" s="76"/>
      <c r="X523" s="77"/>
      <c r="Y523" s="76"/>
      <c r="Z523" s="76"/>
      <c r="AA523" s="76"/>
      <c r="AB523" s="76"/>
      <c r="AC523" s="76"/>
      <c r="AD523" s="76"/>
      <c r="AE523" s="76"/>
      <c r="AF523" s="76"/>
      <c r="AG523" s="76"/>
      <c r="AH523" s="76"/>
      <c r="AI523" s="76"/>
      <c r="AJ523" s="76"/>
      <c r="AK523" s="76"/>
      <c r="AL523" s="77"/>
      <c r="AM523" s="76"/>
      <c r="AN523" s="76"/>
    </row>
    <row r="524" spans="1:40" ht="15">
      <c r="A524" s="83" t="e">
        <f>IF(#REF!&lt;&gt;#REF!,1,A523+1)</f>
        <v>#REF!</v>
      </c>
      <c r="O524" s="79"/>
      <c r="P524" s="79"/>
      <c r="Q524" s="76"/>
      <c r="R524" s="77"/>
      <c r="S524" s="76"/>
      <c r="T524" s="77"/>
      <c r="U524" s="76"/>
      <c r="V524" s="77"/>
      <c r="W524" s="76"/>
      <c r="X524" s="77"/>
      <c r="Y524" s="76"/>
      <c r="Z524" s="76"/>
      <c r="AA524" s="76"/>
      <c r="AB524" s="76"/>
      <c r="AC524" s="76"/>
      <c r="AD524" s="76"/>
      <c r="AE524" s="76"/>
      <c r="AF524" s="76"/>
      <c r="AG524" s="76"/>
      <c r="AH524" s="76"/>
      <c r="AI524" s="76"/>
      <c r="AJ524" s="76"/>
      <c r="AK524" s="76"/>
      <c r="AL524" s="77"/>
      <c r="AM524" s="76"/>
      <c r="AN524" s="76"/>
    </row>
    <row r="525" spans="1:40" ht="15">
      <c r="A525" s="83" t="e">
        <f>IF(#REF!&lt;&gt;#REF!,1,A524+1)</f>
        <v>#REF!</v>
      </c>
      <c r="O525" s="79"/>
      <c r="P525" s="79"/>
      <c r="Q525" s="76"/>
      <c r="R525" s="77"/>
      <c r="S525" s="76"/>
      <c r="T525" s="77"/>
      <c r="U525" s="76"/>
      <c r="V525" s="77"/>
      <c r="W525" s="76"/>
      <c r="X525" s="77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7"/>
      <c r="AM525" s="76"/>
      <c r="AN525" s="76"/>
    </row>
    <row r="526" spans="1:40" ht="15">
      <c r="A526" s="83" t="e">
        <f>IF(#REF!&lt;&gt;#REF!,1,A525+1)</f>
        <v>#REF!</v>
      </c>
      <c r="O526" s="79"/>
      <c r="P526" s="79"/>
      <c r="Q526" s="76"/>
      <c r="R526" s="77"/>
      <c r="S526" s="76"/>
      <c r="T526" s="77"/>
      <c r="U526" s="76"/>
      <c r="V526" s="77"/>
      <c r="W526" s="76"/>
      <c r="X526" s="77"/>
      <c r="Y526" s="76"/>
      <c r="Z526" s="76"/>
      <c r="AA526" s="76"/>
      <c r="AB526" s="76"/>
      <c r="AC526" s="76"/>
      <c r="AD526" s="76"/>
      <c r="AE526" s="76"/>
      <c r="AF526" s="76"/>
      <c r="AG526" s="76"/>
      <c r="AH526" s="76"/>
      <c r="AI526" s="76"/>
      <c r="AJ526" s="76"/>
      <c r="AK526" s="76"/>
      <c r="AL526" s="77"/>
      <c r="AM526" s="76"/>
      <c r="AN526" s="76"/>
    </row>
    <row r="527" spans="1:40" ht="15">
      <c r="A527" s="83" t="e">
        <f>IF(#REF!&lt;&gt;#REF!,1,A526+1)</f>
        <v>#REF!</v>
      </c>
      <c r="O527" s="79"/>
      <c r="P527" s="79"/>
      <c r="Q527" s="76"/>
      <c r="R527" s="77"/>
      <c r="S527" s="76"/>
      <c r="T527" s="77"/>
      <c r="U527" s="76"/>
      <c r="V527" s="77"/>
      <c r="W527" s="76"/>
      <c r="X527" s="77"/>
      <c r="Y527" s="76"/>
      <c r="Z527" s="76"/>
      <c r="AA527" s="76"/>
      <c r="AB527" s="76"/>
      <c r="AC527" s="76"/>
      <c r="AD527" s="76"/>
      <c r="AE527" s="76"/>
      <c r="AF527" s="76"/>
      <c r="AG527" s="76"/>
      <c r="AH527" s="76"/>
      <c r="AI527" s="76"/>
      <c r="AJ527" s="76"/>
      <c r="AK527" s="76"/>
      <c r="AL527" s="77"/>
      <c r="AM527" s="76"/>
      <c r="AN527" s="76"/>
    </row>
    <row r="528" spans="1:40" ht="15">
      <c r="A528" s="83" t="e">
        <f>IF(#REF!&lt;&gt;#REF!,1,A527+1)</f>
        <v>#REF!</v>
      </c>
      <c r="O528" s="79"/>
      <c r="P528" s="79"/>
      <c r="Q528" s="76"/>
      <c r="R528" s="77"/>
      <c r="S528" s="76"/>
      <c r="T528" s="77"/>
      <c r="U528" s="76"/>
      <c r="V528" s="77"/>
      <c r="W528" s="76"/>
      <c r="X528" s="77"/>
      <c r="Y528" s="76"/>
      <c r="Z528" s="76"/>
      <c r="AA528" s="76"/>
      <c r="AB528" s="76"/>
      <c r="AC528" s="76"/>
      <c r="AD528" s="76"/>
      <c r="AE528" s="76"/>
      <c r="AF528" s="76"/>
      <c r="AG528" s="76"/>
      <c r="AH528" s="76"/>
      <c r="AI528" s="76"/>
      <c r="AJ528" s="76"/>
      <c r="AK528" s="76"/>
      <c r="AL528" s="77"/>
      <c r="AM528" s="76"/>
      <c r="AN528" s="76"/>
    </row>
    <row r="529" spans="1:40" ht="15">
      <c r="A529" s="83" t="e">
        <f>IF(#REF!&lt;&gt;#REF!,1,A528+1)</f>
        <v>#REF!</v>
      </c>
      <c r="O529" s="79"/>
      <c r="P529" s="79"/>
      <c r="Q529" s="76"/>
      <c r="R529" s="77"/>
      <c r="S529" s="76"/>
      <c r="T529" s="77"/>
      <c r="U529" s="76"/>
      <c r="V529" s="77"/>
      <c r="W529" s="76"/>
      <c r="X529" s="77"/>
      <c r="Y529" s="76"/>
      <c r="Z529" s="76"/>
      <c r="AA529" s="76"/>
      <c r="AB529" s="76"/>
      <c r="AC529" s="76"/>
      <c r="AD529" s="76"/>
      <c r="AE529" s="76"/>
      <c r="AF529" s="76"/>
      <c r="AG529" s="76"/>
      <c r="AH529" s="76"/>
      <c r="AI529" s="76"/>
      <c r="AJ529" s="76"/>
      <c r="AK529" s="76"/>
      <c r="AL529" s="77"/>
      <c r="AM529" s="76"/>
      <c r="AN529" s="76"/>
    </row>
    <row r="530" spans="1:40" ht="15">
      <c r="A530" s="83" t="e">
        <f>IF(#REF!&lt;&gt;#REF!,1,A529+1)</f>
        <v>#REF!</v>
      </c>
      <c r="O530" s="79"/>
      <c r="P530" s="79"/>
      <c r="Q530" s="76"/>
      <c r="R530" s="77"/>
      <c r="S530" s="76"/>
      <c r="T530" s="77"/>
      <c r="U530" s="76"/>
      <c r="V530" s="77"/>
      <c r="W530" s="76"/>
      <c r="X530" s="77"/>
      <c r="Y530" s="76"/>
      <c r="Z530" s="76"/>
      <c r="AA530" s="76"/>
      <c r="AB530" s="76"/>
      <c r="AC530" s="76"/>
      <c r="AD530" s="76"/>
      <c r="AE530" s="76"/>
      <c r="AF530" s="76"/>
      <c r="AG530" s="76"/>
      <c r="AH530" s="76"/>
      <c r="AI530" s="76"/>
      <c r="AJ530" s="76"/>
      <c r="AK530" s="76"/>
      <c r="AL530" s="77"/>
      <c r="AM530" s="76"/>
      <c r="AN530" s="76"/>
    </row>
    <row r="531" spans="1:40" ht="15">
      <c r="A531" s="83" t="e">
        <f>IF(#REF!&lt;&gt;#REF!,1,A530+1)</f>
        <v>#REF!</v>
      </c>
      <c r="O531" s="79"/>
      <c r="P531" s="79"/>
      <c r="Q531" s="76"/>
      <c r="R531" s="77"/>
      <c r="S531" s="76"/>
      <c r="T531" s="77"/>
      <c r="U531" s="76"/>
      <c r="V531" s="77"/>
      <c r="W531" s="76"/>
      <c r="X531" s="77"/>
      <c r="Y531" s="76"/>
      <c r="Z531" s="76"/>
      <c r="AA531" s="76"/>
      <c r="AB531" s="76"/>
      <c r="AC531" s="76"/>
      <c r="AD531" s="76"/>
      <c r="AE531" s="76"/>
      <c r="AF531" s="76"/>
      <c r="AG531" s="76"/>
      <c r="AH531" s="76"/>
      <c r="AI531" s="76"/>
      <c r="AJ531" s="76"/>
      <c r="AK531" s="76"/>
      <c r="AL531" s="77"/>
      <c r="AM531" s="76"/>
      <c r="AN531" s="76"/>
    </row>
    <row r="532" spans="1:40" ht="15">
      <c r="A532" s="83" t="e">
        <f>IF(#REF!&lt;&gt;#REF!,1,A531+1)</f>
        <v>#REF!</v>
      </c>
      <c r="O532" s="79"/>
      <c r="P532" s="79"/>
      <c r="Q532" s="76"/>
      <c r="R532" s="77"/>
      <c r="S532" s="76"/>
      <c r="T532" s="77"/>
      <c r="U532" s="76"/>
      <c r="V532" s="77"/>
      <c r="W532" s="76"/>
      <c r="X532" s="77"/>
      <c r="Y532" s="76"/>
      <c r="Z532" s="76"/>
      <c r="AA532" s="76"/>
      <c r="AB532" s="76"/>
      <c r="AC532" s="76"/>
      <c r="AD532" s="76"/>
      <c r="AE532" s="76"/>
      <c r="AF532" s="76"/>
      <c r="AG532" s="76"/>
      <c r="AH532" s="76"/>
      <c r="AI532" s="76"/>
      <c r="AJ532" s="76"/>
      <c r="AK532" s="76"/>
      <c r="AL532" s="77"/>
      <c r="AM532" s="76"/>
      <c r="AN532" s="76"/>
    </row>
    <row r="533" spans="1:40" ht="15">
      <c r="A533" s="83" t="e">
        <f>IF(#REF!&lt;&gt;#REF!,1,A532+1)</f>
        <v>#REF!</v>
      </c>
      <c r="O533" s="79"/>
      <c r="P533" s="79"/>
      <c r="Q533" s="76"/>
      <c r="R533" s="77"/>
      <c r="S533" s="76"/>
      <c r="T533" s="77"/>
      <c r="U533" s="76"/>
      <c r="V533" s="77"/>
      <c r="W533" s="76"/>
      <c r="X533" s="77"/>
      <c r="Y533" s="76"/>
      <c r="Z533" s="76"/>
      <c r="AA533" s="76"/>
      <c r="AB533" s="76"/>
      <c r="AC533" s="76"/>
      <c r="AD533" s="76"/>
      <c r="AE533" s="76"/>
      <c r="AF533" s="76"/>
      <c r="AG533" s="76"/>
      <c r="AH533" s="76"/>
      <c r="AI533" s="76"/>
      <c r="AJ533" s="76"/>
      <c r="AK533" s="76"/>
      <c r="AL533" s="77"/>
      <c r="AM533" s="76"/>
      <c r="AN533" s="76"/>
    </row>
    <row r="534" spans="1:40" ht="15">
      <c r="A534" s="83" t="e">
        <f>IF(#REF!&lt;&gt;#REF!,1,A533+1)</f>
        <v>#REF!</v>
      </c>
      <c r="O534" s="79"/>
      <c r="P534" s="79"/>
      <c r="Q534" s="76"/>
      <c r="R534" s="77"/>
      <c r="S534" s="76"/>
      <c r="T534" s="77"/>
      <c r="U534" s="76"/>
      <c r="V534" s="77"/>
      <c r="W534" s="76"/>
      <c r="X534" s="77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7"/>
      <c r="AM534" s="76"/>
      <c r="AN534" s="76"/>
    </row>
    <row r="535" spans="1:40" ht="15">
      <c r="A535" s="83" t="e">
        <f>IF(#REF!&lt;&gt;#REF!,1,A534+1)</f>
        <v>#REF!</v>
      </c>
      <c r="O535" s="79"/>
      <c r="P535" s="79"/>
      <c r="Q535" s="76"/>
      <c r="R535" s="77"/>
      <c r="S535" s="76"/>
      <c r="T535" s="77"/>
      <c r="U535" s="76"/>
      <c r="V535" s="77"/>
      <c r="W535" s="76"/>
      <c r="X535" s="77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7"/>
      <c r="AM535" s="76"/>
      <c r="AN535" s="76"/>
    </row>
    <row r="536" spans="1:40" ht="15">
      <c r="A536" s="83" t="e">
        <f>IF(#REF!&lt;&gt;#REF!,1,A535+1)</f>
        <v>#REF!</v>
      </c>
      <c r="O536" s="79"/>
      <c r="P536" s="79"/>
      <c r="Q536" s="76"/>
      <c r="R536" s="77"/>
      <c r="S536" s="76"/>
      <c r="T536" s="77"/>
      <c r="U536" s="76"/>
      <c r="V536" s="77"/>
      <c r="W536" s="76"/>
      <c r="X536" s="77"/>
      <c r="Y536" s="76"/>
      <c r="Z536" s="76"/>
      <c r="AA536" s="76"/>
      <c r="AB536" s="76"/>
      <c r="AC536" s="76"/>
      <c r="AD536" s="76"/>
      <c r="AE536" s="76"/>
      <c r="AF536" s="76"/>
      <c r="AG536" s="76"/>
      <c r="AH536" s="76"/>
      <c r="AI536" s="76"/>
      <c r="AJ536" s="76"/>
      <c r="AK536" s="76"/>
      <c r="AL536" s="77"/>
      <c r="AM536" s="76"/>
      <c r="AN536" s="76"/>
    </row>
    <row r="537" spans="1:40" ht="15">
      <c r="A537" s="83" t="e">
        <f>IF(#REF!&lt;&gt;#REF!,1,A536+1)</f>
        <v>#REF!</v>
      </c>
      <c r="O537" s="79"/>
      <c r="P537" s="79"/>
      <c r="Q537" s="76"/>
      <c r="R537" s="77"/>
      <c r="S537" s="76"/>
      <c r="T537" s="77"/>
      <c r="U537" s="76"/>
      <c r="V537" s="77"/>
      <c r="W537" s="76"/>
      <c r="X537" s="77"/>
      <c r="Y537" s="76"/>
      <c r="Z537" s="76"/>
      <c r="AA537" s="76"/>
      <c r="AB537" s="76"/>
      <c r="AC537" s="76"/>
      <c r="AD537" s="76"/>
      <c r="AE537" s="76"/>
      <c r="AF537" s="76"/>
      <c r="AG537" s="76"/>
      <c r="AH537" s="76"/>
      <c r="AI537" s="76"/>
      <c r="AJ537" s="76"/>
      <c r="AK537" s="76"/>
      <c r="AL537" s="77"/>
      <c r="AM537" s="76"/>
      <c r="AN537" s="76"/>
    </row>
    <row r="538" spans="1:40" ht="15">
      <c r="A538" s="83" t="e">
        <f>IF(#REF!&lt;&gt;#REF!,1,A537+1)</f>
        <v>#REF!</v>
      </c>
      <c r="O538" s="79"/>
      <c r="P538" s="79"/>
      <c r="Q538" s="76"/>
      <c r="R538" s="77"/>
      <c r="S538" s="76"/>
      <c r="T538" s="77"/>
      <c r="U538" s="76"/>
      <c r="V538" s="77"/>
      <c r="W538" s="76"/>
      <c r="X538" s="77"/>
      <c r="Y538" s="76"/>
      <c r="Z538" s="76"/>
      <c r="AA538" s="76"/>
      <c r="AB538" s="76"/>
      <c r="AC538" s="76"/>
      <c r="AD538" s="76"/>
      <c r="AE538" s="76"/>
      <c r="AF538" s="76"/>
      <c r="AG538" s="76"/>
      <c r="AH538" s="76"/>
      <c r="AI538" s="76"/>
      <c r="AJ538" s="76"/>
      <c r="AK538" s="76"/>
      <c r="AL538" s="77"/>
      <c r="AM538" s="76"/>
      <c r="AN538" s="76"/>
    </row>
    <row r="539" spans="1:40" ht="15">
      <c r="A539" s="83" t="e">
        <f>IF(#REF!&lt;&gt;#REF!,1,A538+1)</f>
        <v>#REF!</v>
      </c>
      <c r="O539" s="79"/>
      <c r="P539" s="79"/>
      <c r="Q539" s="76"/>
      <c r="R539" s="77"/>
      <c r="S539" s="76"/>
      <c r="T539" s="77"/>
      <c r="U539" s="76"/>
      <c r="V539" s="77"/>
      <c r="W539" s="76"/>
      <c r="X539" s="77"/>
      <c r="Y539" s="76"/>
      <c r="Z539" s="76"/>
      <c r="AA539" s="76"/>
      <c r="AB539" s="76"/>
      <c r="AC539" s="76"/>
      <c r="AD539" s="76"/>
      <c r="AE539" s="76"/>
      <c r="AF539" s="76"/>
      <c r="AG539" s="76"/>
      <c r="AH539" s="76"/>
      <c r="AI539" s="76"/>
      <c r="AJ539" s="76"/>
      <c r="AK539" s="76"/>
      <c r="AL539" s="77"/>
      <c r="AM539" s="76"/>
      <c r="AN539" s="76"/>
    </row>
    <row r="540" spans="1:40" ht="15">
      <c r="A540" s="83" t="e">
        <f>IF(#REF!&lt;&gt;#REF!,1,A539+1)</f>
        <v>#REF!</v>
      </c>
      <c r="O540" s="79"/>
      <c r="P540" s="79"/>
      <c r="Q540" s="76"/>
      <c r="R540" s="77"/>
      <c r="S540" s="76"/>
      <c r="T540" s="77"/>
      <c r="U540" s="76"/>
      <c r="V540" s="77"/>
      <c r="W540" s="76"/>
      <c r="X540" s="77"/>
      <c r="Y540" s="76"/>
      <c r="Z540" s="76"/>
      <c r="AA540" s="76"/>
      <c r="AB540" s="76"/>
      <c r="AC540" s="76"/>
      <c r="AD540" s="76"/>
      <c r="AE540" s="76"/>
      <c r="AF540" s="76"/>
      <c r="AG540" s="76"/>
      <c r="AH540" s="76"/>
      <c r="AI540" s="76"/>
      <c r="AJ540" s="76"/>
      <c r="AK540" s="76"/>
      <c r="AL540" s="77"/>
      <c r="AM540" s="76"/>
      <c r="AN540" s="76"/>
    </row>
    <row r="541" spans="1:40" ht="15">
      <c r="A541" s="83" t="e">
        <f>IF(#REF!&lt;&gt;#REF!,1,A540+1)</f>
        <v>#REF!</v>
      </c>
      <c r="O541" s="79"/>
      <c r="P541" s="79"/>
      <c r="Q541" s="76"/>
      <c r="R541" s="77"/>
      <c r="S541" s="76"/>
      <c r="T541" s="77"/>
      <c r="U541" s="76"/>
      <c r="V541" s="77"/>
      <c r="W541" s="76"/>
      <c r="X541" s="77"/>
      <c r="Y541" s="76"/>
      <c r="Z541" s="76"/>
      <c r="AA541" s="76"/>
      <c r="AB541" s="76"/>
      <c r="AC541" s="76"/>
      <c r="AD541" s="76"/>
      <c r="AE541" s="76"/>
      <c r="AF541" s="76"/>
      <c r="AG541" s="76"/>
      <c r="AH541" s="76"/>
      <c r="AI541" s="76"/>
      <c r="AJ541" s="76"/>
      <c r="AK541" s="76"/>
      <c r="AL541" s="77"/>
      <c r="AM541" s="76"/>
      <c r="AN541" s="76"/>
    </row>
    <row r="542" spans="1:40" ht="15">
      <c r="A542" s="83" t="e">
        <f>IF(#REF!&lt;&gt;#REF!,1,A541+1)</f>
        <v>#REF!</v>
      </c>
      <c r="O542" s="79"/>
      <c r="P542" s="79"/>
      <c r="Q542" s="76"/>
      <c r="R542" s="77"/>
      <c r="S542" s="76"/>
      <c r="T542" s="77"/>
      <c r="U542" s="76"/>
      <c r="V542" s="77"/>
      <c r="W542" s="76"/>
      <c r="X542" s="77"/>
      <c r="Y542" s="76"/>
      <c r="Z542" s="76"/>
      <c r="AA542" s="76"/>
      <c r="AB542" s="76"/>
      <c r="AC542" s="76"/>
      <c r="AD542" s="76"/>
      <c r="AE542" s="76"/>
      <c r="AF542" s="76"/>
      <c r="AG542" s="76"/>
      <c r="AH542" s="76"/>
      <c r="AI542" s="76"/>
      <c r="AJ542" s="76"/>
      <c r="AK542" s="76"/>
      <c r="AL542" s="77"/>
      <c r="AM542" s="76"/>
      <c r="AN542" s="76"/>
    </row>
    <row r="543" spans="1:40" ht="15">
      <c r="A543" s="83" t="e">
        <f>IF(#REF!&lt;&gt;#REF!,1,A542+1)</f>
        <v>#REF!</v>
      </c>
      <c r="O543" s="79"/>
      <c r="P543" s="79"/>
      <c r="Q543" s="76"/>
      <c r="R543" s="77"/>
      <c r="S543" s="76"/>
      <c r="T543" s="77"/>
      <c r="U543" s="76"/>
      <c r="V543" s="77"/>
      <c r="W543" s="76"/>
      <c r="X543" s="77"/>
      <c r="Y543" s="76"/>
      <c r="Z543" s="76"/>
      <c r="AA543" s="76"/>
      <c r="AB543" s="76"/>
      <c r="AC543" s="76"/>
      <c r="AD543" s="76"/>
      <c r="AE543" s="76"/>
      <c r="AF543" s="76"/>
      <c r="AG543" s="76"/>
      <c r="AH543" s="76"/>
      <c r="AI543" s="76"/>
      <c r="AJ543" s="76"/>
      <c r="AK543" s="76"/>
      <c r="AL543" s="77"/>
      <c r="AM543" s="76"/>
      <c r="AN543" s="76"/>
    </row>
    <row r="544" spans="1:40" ht="15">
      <c r="A544" s="83" t="e">
        <f>IF(#REF!&lt;&gt;#REF!,1,A543+1)</f>
        <v>#REF!</v>
      </c>
      <c r="O544" s="79"/>
      <c r="P544" s="79"/>
      <c r="Q544" s="76"/>
      <c r="R544" s="77"/>
      <c r="S544" s="76"/>
      <c r="T544" s="77"/>
      <c r="U544" s="76"/>
      <c r="V544" s="77"/>
      <c r="W544" s="76"/>
      <c r="X544" s="77"/>
      <c r="Y544" s="76"/>
      <c r="Z544" s="76"/>
      <c r="AA544" s="76"/>
      <c r="AB544" s="76"/>
      <c r="AC544" s="76"/>
      <c r="AD544" s="76"/>
      <c r="AE544" s="76"/>
      <c r="AF544" s="76"/>
      <c r="AG544" s="76"/>
      <c r="AH544" s="76"/>
      <c r="AI544" s="76"/>
      <c r="AJ544" s="76"/>
      <c r="AK544" s="76"/>
      <c r="AL544" s="77"/>
      <c r="AM544" s="76"/>
      <c r="AN544" s="76"/>
    </row>
    <row r="545" spans="1:40" ht="15">
      <c r="A545" s="83" t="e">
        <f>IF(#REF!&lt;&gt;#REF!,1,A544+1)</f>
        <v>#REF!</v>
      </c>
      <c r="O545" s="79"/>
      <c r="P545" s="79"/>
      <c r="Q545" s="76"/>
      <c r="R545" s="77"/>
      <c r="S545" s="76"/>
      <c r="T545" s="77"/>
      <c r="U545" s="76"/>
      <c r="V545" s="77"/>
      <c r="W545" s="76"/>
      <c r="X545" s="77"/>
      <c r="Y545" s="76"/>
      <c r="Z545" s="76"/>
      <c r="AA545" s="76"/>
      <c r="AB545" s="76"/>
      <c r="AC545" s="76"/>
      <c r="AD545" s="76"/>
      <c r="AE545" s="76"/>
      <c r="AF545" s="76"/>
      <c r="AG545" s="76"/>
      <c r="AH545" s="76"/>
      <c r="AI545" s="76"/>
      <c r="AJ545" s="76"/>
      <c r="AK545" s="76"/>
      <c r="AL545" s="77"/>
      <c r="AM545" s="76"/>
      <c r="AN545" s="76"/>
    </row>
    <row r="546" spans="1:40" ht="15">
      <c r="A546" s="83" t="e">
        <f>IF(#REF!&lt;&gt;#REF!,1,A545+1)</f>
        <v>#REF!</v>
      </c>
      <c r="O546" s="79"/>
      <c r="P546" s="79"/>
      <c r="Q546" s="76"/>
      <c r="R546" s="77"/>
      <c r="S546" s="76"/>
      <c r="T546" s="77"/>
      <c r="U546" s="76"/>
      <c r="V546" s="77"/>
      <c r="W546" s="76"/>
      <c r="X546" s="77"/>
      <c r="Y546" s="76"/>
      <c r="Z546" s="76"/>
      <c r="AA546" s="76"/>
      <c r="AB546" s="76"/>
      <c r="AC546" s="76"/>
      <c r="AD546" s="76"/>
      <c r="AE546" s="76"/>
      <c r="AF546" s="76"/>
      <c r="AG546" s="76"/>
      <c r="AH546" s="76"/>
      <c r="AI546" s="76"/>
      <c r="AJ546" s="76"/>
      <c r="AK546" s="76"/>
      <c r="AL546" s="77"/>
      <c r="AM546" s="76"/>
      <c r="AN546" s="76"/>
    </row>
    <row r="547" spans="1:40" ht="15">
      <c r="A547" s="83" t="e">
        <f>IF(#REF!&lt;&gt;#REF!,1,A546+1)</f>
        <v>#REF!</v>
      </c>
      <c r="O547" s="79"/>
      <c r="P547" s="79"/>
      <c r="Q547" s="76"/>
      <c r="R547" s="77"/>
      <c r="S547" s="76"/>
      <c r="T547" s="77"/>
      <c r="U547" s="76"/>
      <c r="V547" s="77"/>
      <c r="W547" s="76"/>
      <c r="X547" s="77"/>
      <c r="Y547" s="76"/>
      <c r="Z547" s="76"/>
      <c r="AA547" s="76"/>
      <c r="AB547" s="76"/>
      <c r="AC547" s="76"/>
      <c r="AD547" s="76"/>
      <c r="AE547" s="76"/>
      <c r="AF547" s="76"/>
      <c r="AG547" s="76"/>
      <c r="AH547" s="76"/>
      <c r="AI547" s="76"/>
      <c r="AJ547" s="76"/>
      <c r="AK547" s="76"/>
      <c r="AL547" s="77"/>
      <c r="AM547" s="76"/>
      <c r="AN547" s="76"/>
    </row>
    <row r="548" spans="1:40" ht="15">
      <c r="A548" s="83" t="e">
        <f>IF(#REF!&lt;&gt;#REF!,1,A547+1)</f>
        <v>#REF!</v>
      </c>
      <c r="O548" s="79"/>
      <c r="P548" s="79"/>
      <c r="Q548" s="76"/>
      <c r="R548" s="77"/>
      <c r="S548" s="76"/>
      <c r="T548" s="77"/>
      <c r="U548" s="76"/>
      <c r="V548" s="77"/>
      <c r="W548" s="76"/>
      <c r="X548" s="77"/>
      <c r="Y548" s="76"/>
      <c r="Z548" s="76"/>
      <c r="AA548" s="76"/>
      <c r="AB548" s="76"/>
      <c r="AC548" s="76"/>
      <c r="AD548" s="76"/>
      <c r="AE548" s="76"/>
      <c r="AF548" s="76"/>
      <c r="AG548" s="76"/>
      <c r="AH548" s="76"/>
      <c r="AI548" s="76"/>
      <c r="AJ548" s="76"/>
      <c r="AK548" s="76"/>
      <c r="AL548" s="77"/>
      <c r="AM548" s="76"/>
      <c r="AN548" s="76"/>
    </row>
    <row r="549" spans="1:40" ht="15">
      <c r="A549" s="83" t="e">
        <f>IF(#REF!&lt;&gt;#REF!,1,A548+1)</f>
        <v>#REF!</v>
      </c>
      <c r="O549" s="79"/>
      <c r="P549" s="79"/>
      <c r="Q549" s="76"/>
      <c r="R549" s="77"/>
      <c r="S549" s="76"/>
      <c r="T549" s="77"/>
      <c r="U549" s="76"/>
      <c r="V549" s="77"/>
      <c r="W549" s="76"/>
      <c r="X549" s="77"/>
      <c r="Y549" s="76"/>
      <c r="Z549" s="76"/>
      <c r="AA549" s="76"/>
      <c r="AB549" s="76"/>
      <c r="AC549" s="76"/>
      <c r="AD549" s="76"/>
      <c r="AE549" s="76"/>
      <c r="AF549" s="76"/>
      <c r="AG549" s="76"/>
      <c r="AH549" s="76"/>
      <c r="AI549" s="76"/>
      <c r="AJ549" s="76"/>
      <c r="AK549" s="76"/>
      <c r="AL549" s="77"/>
      <c r="AM549" s="76"/>
      <c r="AN549" s="76"/>
    </row>
    <row r="550" spans="1:40" ht="15">
      <c r="A550" s="83" t="e">
        <f>IF(#REF!&lt;&gt;#REF!,1,A549+1)</f>
        <v>#REF!</v>
      </c>
      <c r="O550" s="79"/>
      <c r="P550" s="79"/>
      <c r="Q550" s="76"/>
      <c r="R550" s="77"/>
      <c r="S550" s="76"/>
      <c r="T550" s="77"/>
      <c r="U550" s="76"/>
      <c r="V550" s="77"/>
      <c r="W550" s="76"/>
      <c r="X550" s="77"/>
      <c r="Y550" s="76"/>
      <c r="Z550" s="76"/>
      <c r="AA550" s="76"/>
      <c r="AB550" s="76"/>
      <c r="AC550" s="76"/>
      <c r="AD550" s="76"/>
      <c r="AE550" s="76"/>
      <c r="AF550" s="76"/>
      <c r="AG550" s="76"/>
      <c r="AH550" s="76"/>
      <c r="AI550" s="76"/>
      <c r="AJ550" s="76"/>
      <c r="AK550" s="76"/>
      <c r="AL550" s="77"/>
      <c r="AM550" s="76"/>
      <c r="AN550" s="76"/>
    </row>
    <row r="551" spans="1:40" ht="15">
      <c r="A551" s="83" t="e">
        <f>IF(#REF!&lt;&gt;#REF!,1,A550+1)</f>
        <v>#REF!</v>
      </c>
      <c r="O551" s="79"/>
      <c r="P551" s="79"/>
      <c r="Q551" s="76"/>
      <c r="R551" s="77"/>
      <c r="S551" s="76"/>
      <c r="T551" s="77"/>
      <c r="U551" s="76"/>
      <c r="V551" s="77"/>
      <c r="W551" s="76"/>
      <c r="X551" s="77"/>
      <c r="Y551" s="76"/>
      <c r="Z551" s="76"/>
      <c r="AA551" s="76"/>
      <c r="AB551" s="76"/>
      <c r="AC551" s="76"/>
      <c r="AD551" s="76"/>
      <c r="AE551" s="76"/>
      <c r="AF551" s="76"/>
      <c r="AG551" s="76"/>
      <c r="AH551" s="76"/>
      <c r="AI551" s="76"/>
      <c r="AJ551" s="76"/>
      <c r="AK551" s="76"/>
      <c r="AL551" s="77"/>
      <c r="AM551" s="76"/>
      <c r="AN551" s="76"/>
    </row>
    <row r="552" spans="1:40" ht="15">
      <c r="A552" s="83" t="e">
        <f>IF(#REF!&lt;&gt;#REF!,1,A551+1)</f>
        <v>#REF!</v>
      </c>
      <c r="O552" s="79"/>
      <c r="P552" s="79"/>
      <c r="Q552" s="76"/>
      <c r="R552" s="77"/>
      <c r="S552" s="76"/>
      <c r="T552" s="77"/>
      <c r="U552" s="76"/>
      <c r="V552" s="77"/>
      <c r="W552" s="76"/>
      <c r="X552" s="77"/>
      <c r="Y552" s="76"/>
      <c r="Z552" s="76"/>
      <c r="AA552" s="76"/>
      <c r="AB552" s="76"/>
      <c r="AC552" s="76"/>
      <c r="AD552" s="76"/>
      <c r="AE552" s="76"/>
      <c r="AF552" s="76"/>
      <c r="AG552" s="76"/>
      <c r="AH552" s="76"/>
      <c r="AI552" s="76"/>
      <c r="AJ552" s="76"/>
      <c r="AK552" s="76"/>
      <c r="AL552" s="77"/>
      <c r="AM552" s="76"/>
      <c r="AN552" s="76"/>
    </row>
    <row r="553" spans="1:40" ht="15">
      <c r="A553" s="83" t="e">
        <f>IF(#REF!&lt;&gt;#REF!,1,A552+1)</f>
        <v>#REF!</v>
      </c>
      <c r="O553" s="79"/>
      <c r="P553" s="79"/>
      <c r="Q553" s="76"/>
      <c r="R553" s="77"/>
      <c r="S553" s="76"/>
      <c r="T553" s="77"/>
      <c r="U553" s="76"/>
      <c r="V553" s="77"/>
      <c r="W553" s="76"/>
      <c r="X553" s="77"/>
      <c r="Y553" s="76"/>
      <c r="Z553" s="76"/>
      <c r="AA553" s="76"/>
      <c r="AB553" s="76"/>
      <c r="AC553" s="76"/>
      <c r="AD553" s="76"/>
      <c r="AE553" s="76"/>
      <c r="AF553" s="76"/>
      <c r="AG553" s="76"/>
      <c r="AH553" s="76"/>
      <c r="AI553" s="76"/>
      <c r="AJ553" s="76"/>
      <c r="AK553" s="76"/>
      <c r="AL553" s="77"/>
      <c r="AM553" s="76"/>
      <c r="AN553" s="76"/>
    </row>
    <row r="554" spans="1:40" ht="15">
      <c r="A554" s="83" t="e">
        <f>IF(#REF!&lt;&gt;#REF!,1,A553+1)</f>
        <v>#REF!</v>
      </c>
      <c r="O554" s="79"/>
      <c r="P554" s="79"/>
      <c r="Q554" s="76"/>
      <c r="R554" s="77"/>
      <c r="S554" s="76"/>
      <c r="T554" s="77"/>
      <c r="U554" s="76"/>
      <c r="V554" s="77"/>
      <c r="W554" s="76"/>
      <c r="X554" s="77"/>
      <c r="Y554" s="76"/>
      <c r="Z554" s="76"/>
      <c r="AA554" s="76"/>
      <c r="AB554" s="76"/>
      <c r="AC554" s="76"/>
      <c r="AD554" s="76"/>
      <c r="AE554" s="76"/>
      <c r="AF554" s="76"/>
      <c r="AG554" s="76"/>
      <c r="AH554" s="76"/>
      <c r="AI554" s="76"/>
      <c r="AJ554" s="76"/>
      <c r="AK554" s="76"/>
      <c r="AL554" s="77"/>
      <c r="AM554" s="76"/>
      <c r="AN554" s="76"/>
    </row>
    <row r="555" spans="1:40" ht="15">
      <c r="A555" s="83" t="e">
        <f>IF(#REF!&lt;&gt;#REF!,1,A554+1)</f>
        <v>#REF!</v>
      </c>
      <c r="O555" s="79"/>
      <c r="P555" s="79"/>
      <c r="Q555" s="76"/>
      <c r="R555" s="77"/>
      <c r="S555" s="76"/>
      <c r="T555" s="77"/>
      <c r="U555" s="76"/>
      <c r="V555" s="77"/>
      <c r="W555" s="76"/>
      <c r="X555" s="77"/>
      <c r="Y555" s="76"/>
      <c r="Z555" s="76"/>
      <c r="AA555" s="76"/>
      <c r="AB555" s="76"/>
      <c r="AC555" s="76"/>
      <c r="AD555" s="76"/>
      <c r="AE555" s="76"/>
      <c r="AF555" s="76"/>
      <c r="AG555" s="76"/>
      <c r="AH555" s="76"/>
      <c r="AI555" s="76"/>
      <c r="AJ555" s="76"/>
      <c r="AK555" s="76"/>
      <c r="AL555" s="77"/>
      <c r="AM555" s="76"/>
      <c r="AN555" s="76"/>
    </row>
    <row r="556" spans="1:40" ht="15">
      <c r="A556" s="83" t="e">
        <f>IF(#REF!&lt;&gt;#REF!,1,A555+1)</f>
        <v>#REF!</v>
      </c>
      <c r="O556" s="79"/>
      <c r="P556" s="79"/>
      <c r="Q556" s="76"/>
      <c r="R556" s="77"/>
      <c r="S556" s="76"/>
      <c r="T556" s="77"/>
      <c r="U556" s="76"/>
      <c r="V556" s="77"/>
      <c r="W556" s="76"/>
      <c r="X556" s="77"/>
      <c r="Y556" s="76"/>
      <c r="Z556" s="76"/>
      <c r="AA556" s="76"/>
      <c r="AB556" s="76"/>
      <c r="AC556" s="76"/>
      <c r="AD556" s="76"/>
      <c r="AE556" s="76"/>
      <c r="AF556" s="76"/>
      <c r="AG556" s="76"/>
      <c r="AH556" s="76"/>
      <c r="AI556" s="76"/>
      <c r="AJ556" s="76"/>
      <c r="AK556" s="76"/>
      <c r="AL556" s="77"/>
      <c r="AM556" s="76"/>
      <c r="AN556" s="76"/>
    </row>
    <row r="557" spans="1:40" ht="15">
      <c r="A557" s="83" t="e">
        <f>IF(#REF!&lt;&gt;#REF!,1,A556+1)</f>
        <v>#REF!</v>
      </c>
      <c r="O557" s="79"/>
      <c r="P557" s="79"/>
      <c r="Q557" s="76"/>
      <c r="R557" s="77"/>
      <c r="S557" s="76"/>
      <c r="T557" s="77"/>
      <c r="U557" s="76"/>
      <c r="V557" s="77"/>
      <c r="W557" s="76"/>
      <c r="X557" s="77"/>
      <c r="Y557" s="76"/>
      <c r="Z557" s="76"/>
      <c r="AA557" s="76"/>
      <c r="AB557" s="76"/>
      <c r="AC557" s="76"/>
      <c r="AD557" s="76"/>
      <c r="AE557" s="76"/>
      <c r="AF557" s="76"/>
      <c r="AG557" s="76"/>
      <c r="AH557" s="76"/>
      <c r="AI557" s="76"/>
      <c r="AJ557" s="76"/>
      <c r="AK557" s="76"/>
      <c r="AL557" s="77"/>
      <c r="AM557" s="76"/>
      <c r="AN557" s="76"/>
    </row>
    <row r="558" spans="1:40" ht="15">
      <c r="A558" s="83" t="e">
        <f>IF(#REF!&lt;&gt;#REF!,1,A557+1)</f>
        <v>#REF!</v>
      </c>
      <c r="O558" s="79"/>
      <c r="P558" s="79"/>
      <c r="Q558" s="76"/>
      <c r="R558" s="77"/>
      <c r="S558" s="76"/>
      <c r="T558" s="77"/>
      <c r="U558" s="76"/>
      <c r="V558" s="77"/>
      <c r="W558" s="76"/>
      <c r="X558" s="77"/>
      <c r="Y558" s="76"/>
      <c r="Z558" s="76"/>
      <c r="AA558" s="76"/>
      <c r="AB558" s="76"/>
      <c r="AC558" s="76"/>
      <c r="AD558" s="76"/>
      <c r="AE558" s="76"/>
      <c r="AF558" s="76"/>
      <c r="AG558" s="76"/>
      <c r="AH558" s="76"/>
      <c r="AI558" s="76"/>
      <c r="AJ558" s="76"/>
      <c r="AK558" s="76"/>
      <c r="AL558" s="77"/>
      <c r="AM558" s="76"/>
      <c r="AN558" s="76"/>
    </row>
    <row r="559" spans="1:40" ht="15">
      <c r="A559" s="83" t="e">
        <f>IF(#REF!&lt;&gt;#REF!,1,A558+1)</f>
        <v>#REF!</v>
      </c>
      <c r="O559" s="79"/>
      <c r="P559" s="79"/>
      <c r="Q559" s="76"/>
      <c r="R559" s="77"/>
      <c r="S559" s="76"/>
      <c r="T559" s="77"/>
      <c r="U559" s="76"/>
      <c r="V559" s="77"/>
      <c r="W559" s="76"/>
      <c r="X559" s="77"/>
      <c r="Y559" s="76"/>
      <c r="Z559" s="76"/>
      <c r="AA559" s="76"/>
      <c r="AB559" s="76"/>
      <c r="AC559" s="76"/>
      <c r="AD559" s="76"/>
      <c r="AE559" s="76"/>
      <c r="AF559" s="76"/>
      <c r="AG559" s="76"/>
      <c r="AH559" s="76"/>
      <c r="AI559" s="76"/>
      <c r="AJ559" s="76"/>
      <c r="AK559" s="76"/>
      <c r="AL559" s="77"/>
      <c r="AM559" s="76"/>
      <c r="AN559" s="76"/>
    </row>
    <row r="560" spans="1:40" ht="15">
      <c r="A560" s="83" t="e">
        <f>IF(#REF!&lt;&gt;#REF!,1,A559+1)</f>
        <v>#REF!</v>
      </c>
      <c r="O560" s="79"/>
      <c r="P560" s="79"/>
      <c r="Q560" s="76"/>
      <c r="R560" s="77"/>
      <c r="S560" s="76"/>
      <c r="T560" s="77"/>
      <c r="U560" s="76"/>
      <c r="V560" s="77"/>
      <c r="W560" s="76"/>
      <c r="X560" s="77"/>
      <c r="Y560" s="76"/>
      <c r="Z560" s="76"/>
      <c r="AA560" s="76"/>
      <c r="AB560" s="76"/>
      <c r="AC560" s="76"/>
      <c r="AD560" s="76"/>
      <c r="AE560" s="76"/>
      <c r="AF560" s="76"/>
      <c r="AG560" s="76"/>
      <c r="AH560" s="76"/>
      <c r="AI560" s="76"/>
      <c r="AJ560" s="76"/>
      <c r="AK560" s="76"/>
      <c r="AL560" s="77"/>
      <c r="AM560" s="76"/>
      <c r="AN560" s="76"/>
    </row>
    <row r="561" spans="1:40" ht="15">
      <c r="A561" s="83" t="e">
        <f>IF(#REF!&lt;&gt;#REF!,1,A560+1)</f>
        <v>#REF!</v>
      </c>
      <c r="O561" s="79"/>
      <c r="P561" s="79"/>
      <c r="Q561" s="76"/>
      <c r="R561" s="77"/>
      <c r="S561" s="76"/>
      <c r="T561" s="77"/>
      <c r="U561" s="76"/>
      <c r="V561" s="77"/>
      <c r="W561" s="76"/>
      <c r="X561" s="77"/>
      <c r="Y561" s="76"/>
      <c r="Z561" s="76"/>
      <c r="AA561" s="76"/>
      <c r="AB561" s="76"/>
      <c r="AC561" s="76"/>
      <c r="AD561" s="76"/>
      <c r="AE561" s="76"/>
      <c r="AF561" s="76"/>
      <c r="AG561" s="76"/>
      <c r="AH561" s="76"/>
      <c r="AI561" s="76"/>
      <c r="AJ561" s="76"/>
      <c r="AK561" s="76"/>
      <c r="AL561" s="77"/>
      <c r="AM561" s="76"/>
      <c r="AN561" s="76"/>
    </row>
    <row r="562" spans="1:40" ht="15">
      <c r="A562" s="83" t="e">
        <f>IF(#REF!&lt;&gt;#REF!,1,A561+1)</f>
        <v>#REF!</v>
      </c>
      <c r="O562" s="79"/>
      <c r="P562" s="79"/>
      <c r="Q562" s="76"/>
      <c r="R562" s="77"/>
      <c r="S562" s="76"/>
      <c r="T562" s="77"/>
      <c r="U562" s="76"/>
      <c r="V562" s="77"/>
      <c r="W562" s="76"/>
      <c r="X562" s="77"/>
      <c r="Y562" s="76"/>
      <c r="Z562" s="76"/>
      <c r="AA562" s="76"/>
      <c r="AB562" s="76"/>
      <c r="AC562" s="76"/>
      <c r="AD562" s="76"/>
      <c r="AE562" s="76"/>
      <c r="AF562" s="76"/>
      <c r="AG562" s="76"/>
      <c r="AH562" s="76"/>
      <c r="AI562" s="76"/>
      <c r="AJ562" s="76"/>
      <c r="AK562" s="76"/>
      <c r="AL562" s="77"/>
      <c r="AM562" s="76"/>
      <c r="AN562" s="76"/>
    </row>
    <row r="563" spans="1:40" ht="15">
      <c r="A563" s="83" t="e">
        <f>IF(#REF!&lt;&gt;#REF!,1,A562+1)</f>
        <v>#REF!</v>
      </c>
      <c r="O563" s="79"/>
      <c r="P563" s="79"/>
      <c r="Q563" s="76"/>
      <c r="R563" s="77"/>
      <c r="S563" s="76"/>
      <c r="T563" s="77"/>
      <c r="U563" s="76"/>
      <c r="V563" s="77"/>
      <c r="W563" s="76"/>
      <c r="X563" s="77"/>
      <c r="Y563" s="76"/>
      <c r="Z563" s="76"/>
      <c r="AA563" s="76"/>
      <c r="AB563" s="76"/>
      <c r="AC563" s="76"/>
      <c r="AD563" s="76"/>
      <c r="AE563" s="76"/>
      <c r="AF563" s="76"/>
      <c r="AG563" s="76"/>
      <c r="AH563" s="76"/>
      <c r="AI563" s="76"/>
      <c r="AJ563" s="76"/>
      <c r="AK563" s="76"/>
      <c r="AL563" s="77"/>
      <c r="AM563" s="76"/>
      <c r="AN563" s="76"/>
    </row>
    <row r="564" spans="1:40" ht="15">
      <c r="A564" s="83" t="e">
        <f>IF(#REF!&lt;&gt;#REF!,1,A563+1)</f>
        <v>#REF!</v>
      </c>
      <c r="O564" s="79"/>
      <c r="P564" s="79"/>
      <c r="Q564" s="76"/>
      <c r="R564" s="77"/>
      <c r="S564" s="76"/>
      <c r="T564" s="77"/>
      <c r="U564" s="76"/>
      <c r="V564" s="77"/>
      <c r="W564" s="76"/>
      <c r="X564" s="77"/>
      <c r="Y564" s="76"/>
      <c r="Z564" s="76"/>
      <c r="AA564" s="76"/>
      <c r="AB564" s="76"/>
      <c r="AC564" s="76"/>
      <c r="AD564" s="76"/>
      <c r="AE564" s="76"/>
      <c r="AF564" s="76"/>
      <c r="AG564" s="76"/>
      <c r="AH564" s="76"/>
      <c r="AI564" s="76"/>
      <c r="AJ564" s="76"/>
      <c r="AK564" s="76"/>
      <c r="AL564" s="77"/>
      <c r="AM564" s="76"/>
      <c r="AN564" s="76"/>
    </row>
    <row r="565" spans="1:40" ht="15">
      <c r="A565" s="83" t="e">
        <f>IF(#REF!&lt;&gt;#REF!,1,A564+1)</f>
        <v>#REF!</v>
      </c>
      <c r="O565" s="79"/>
      <c r="P565" s="79"/>
      <c r="Q565" s="76"/>
      <c r="R565" s="77"/>
      <c r="S565" s="76"/>
      <c r="T565" s="77"/>
      <c r="U565" s="76"/>
      <c r="V565" s="77"/>
      <c r="W565" s="76"/>
      <c r="X565" s="77"/>
      <c r="Y565" s="76"/>
      <c r="Z565" s="76"/>
      <c r="AA565" s="76"/>
      <c r="AB565" s="76"/>
      <c r="AC565" s="76"/>
      <c r="AD565" s="76"/>
      <c r="AE565" s="76"/>
      <c r="AF565" s="76"/>
      <c r="AG565" s="76"/>
      <c r="AH565" s="76"/>
      <c r="AI565" s="76"/>
      <c r="AJ565" s="76"/>
      <c r="AK565" s="76"/>
      <c r="AL565" s="77"/>
      <c r="AM565" s="76"/>
      <c r="AN565" s="76"/>
    </row>
    <row r="566" spans="1:40" ht="15">
      <c r="A566" s="83" t="e">
        <f>IF(#REF!&lt;&gt;#REF!,1,A565+1)</f>
        <v>#REF!</v>
      </c>
      <c r="O566" s="79"/>
      <c r="P566" s="79"/>
      <c r="Q566" s="76"/>
      <c r="R566" s="77"/>
      <c r="S566" s="76"/>
      <c r="T566" s="77"/>
      <c r="U566" s="76"/>
      <c r="V566" s="77"/>
      <c r="W566" s="76"/>
      <c r="X566" s="77"/>
      <c r="Y566" s="76"/>
      <c r="Z566" s="76"/>
      <c r="AA566" s="76"/>
      <c r="AB566" s="76"/>
      <c r="AC566" s="76"/>
      <c r="AD566" s="76"/>
      <c r="AE566" s="76"/>
      <c r="AF566" s="76"/>
      <c r="AG566" s="76"/>
      <c r="AH566" s="76"/>
      <c r="AI566" s="76"/>
      <c r="AJ566" s="76"/>
      <c r="AK566" s="76"/>
      <c r="AL566" s="77"/>
      <c r="AM566" s="76"/>
      <c r="AN566" s="76"/>
    </row>
    <row r="567" spans="1:40" ht="15">
      <c r="A567" s="83" t="e">
        <f>IF(#REF!&lt;&gt;#REF!,1,A566+1)</f>
        <v>#REF!</v>
      </c>
      <c r="O567" s="79"/>
      <c r="P567" s="79"/>
      <c r="Q567" s="76"/>
      <c r="R567" s="77"/>
      <c r="S567" s="76"/>
      <c r="T567" s="77"/>
      <c r="U567" s="76"/>
      <c r="V567" s="77"/>
      <c r="W567" s="76"/>
      <c r="X567" s="77"/>
      <c r="Y567" s="76"/>
      <c r="Z567" s="76"/>
      <c r="AA567" s="76"/>
      <c r="AB567" s="76"/>
      <c r="AC567" s="76"/>
      <c r="AD567" s="76"/>
      <c r="AE567" s="76"/>
      <c r="AF567" s="76"/>
      <c r="AG567" s="76"/>
      <c r="AH567" s="76"/>
      <c r="AI567" s="76"/>
      <c r="AJ567" s="76"/>
      <c r="AK567" s="76"/>
      <c r="AL567" s="77"/>
      <c r="AM567" s="76"/>
      <c r="AN567" s="76"/>
    </row>
    <row r="568" spans="1:40" ht="15">
      <c r="A568" s="83" t="e">
        <f>IF(#REF!&lt;&gt;#REF!,1,A567+1)</f>
        <v>#REF!</v>
      </c>
      <c r="O568" s="79"/>
      <c r="P568" s="79"/>
      <c r="Q568" s="76"/>
      <c r="R568" s="77"/>
      <c r="S568" s="76"/>
      <c r="T568" s="77"/>
      <c r="U568" s="76"/>
      <c r="V568" s="77"/>
      <c r="W568" s="76"/>
      <c r="X568" s="77"/>
      <c r="Y568" s="76"/>
      <c r="Z568" s="76"/>
      <c r="AA568" s="76"/>
      <c r="AB568" s="76"/>
      <c r="AC568" s="76"/>
      <c r="AD568" s="76"/>
      <c r="AE568" s="76"/>
      <c r="AF568" s="76"/>
      <c r="AG568" s="76"/>
      <c r="AH568" s="76"/>
      <c r="AI568" s="76"/>
      <c r="AJ568" s="76"/>
      <c r="AK568" s="76"/>
      <c r="AL568" s="77"/>
      <c r="AM568" s="76"/>
      <c r="AN568" s="76"/>
    </row>
    <row r="569" spans="1:40" ht="15">
      <c r="A569" s="83" t="e">
        <f>IF(#REF!&lt;&gt;#REF!,1,A568+1)</f>
        <v>#REF!</v>
      </c>
      <c r="O569" s="79"/>
      <c r="P569" s="79"/>
      <c r="Q569" s="76"/>
      <c r="R569" s="77"/>
      <c r="S569" s="76"/>
      <c r="T569" s="77"/>
      <c r="U569" s="76"/>
      <c r="V569" s="77"/>
      <c r="W569" s="76"/>
      <c r="X569" s="77"/>
      <c r="Y569" s="76"/>
      <c r="Z569" s="76"/>
      <c r="AA569" s="76"/>
      <c r="AB569" s="76"/>
      <c r="AC569" s="76"/>
      <c r="AD569" s="76"/>
      <c r="AE569" s="76"/>
      <c r="AF569" s="76"/>
      <c r="AG569" s="76"/>
      <c r="AH569" s="76"/>
      <c r="AI569" s="76"/>
      <c r="AJ569" s="76"/>
      <c r="AK569" s="76"/>
      <c r="AL569" s="77"/>
      <c r="AM569" s="76"/>
      <c r="AN569" s="76"/>
    </row>
    <row r="570" spans="1:40" ht="15">
      <c r="A570" s="83" t="e">
        <f>IF(#REF!&lt;&gt;#REF!,1,A569+1)</f>
        <v>#REF!</v>
      </c>
      <c r="O570" s="79"/>
      <c r="P570" s="79"/>
      <c r="Q570" s="76"/>
      <c r="R570" s="77"/>
      <c r="S570" s="76"/>
      <c r="T570" s="77"/>
      <c r="U570" s="76"/>
      <c r="V570" s="77"/>
      <c r="W570" s="76"/>
      <c r="X570" s="77"/>
      <c r="Y570" s="76"/>
      <c r="Z570" s="76"/>
      <c r="AA570" s="76"/>
      <c r="AB570" s="76"/>
      <c r="AC570" s="76"/>
      <c r="AD570" s="76"/>
      <c r="AE570" s="76"/>
      <c r="AF570" s="76"/>
      <c r="AG570" s="76"/>
      <c r="AH570" s="76"/>
      <c r="AI570" s="76"/>
      <c r="AJ570" s="76"/>
      <c r="AK570" s="76"/>
      <c r="AL570" s="77"/>
      <c r="AM570" s="76"/>
      <c r="AN570" s="76"/>
    </row>
    <row r="571" spans="1:40" ht="15">
      <c r="A571" s="83" t="e">
        <f>IF(#REF!&lt;&gt;#REF!,1,A570+1)</f>
        <v>#REF!</v>
      </c>
      <c r="O571" s="79"/>
      <c r="P571" s="79"/>
      <c r="Q571" s="76"/>
      <c r="R571" s="77"/>
      <c r="S571" s="76"/>
      <c r="T571" s="77"/>
      <c r="U571" s="76"/>
      <c r="V571" s="77"/>
      <c r="W571" s="76"/>
      <c r="X571" s="77"/>
      <c r="Y571" s="76"/>
      <c r="Z571" s="76"/>
      <c r="AA571" s="76"/>
      <c r="AB571" s="76"/>
      <c r="AC571" s="76"/>
      <c r="AD571" s="76"/>
      <c r="AE571" s="76"/>
      <c r="AF571" s="76"/>
      <c r="AG571" s="76"/>
      <c r="AH571" s="76"/>
      <c r="AI571" s="76"/>
      <c r="AJ571" s="76"/>
      <c r="AK571" s="76"/>
      <c r="AL571" s="77"/>
      <c r="AM571" s="76"/>
      <c r="AN571" s="76"/>
    </row>
    <row r="572" spans="1:40" ht="15">
      <c r="A572" s="83" t="e">
        <f>IF(#REF!&lt;&gt;#REF!,1,A571+1)</f>
        <v>#REF!</v>
      </c>
      <c r="O572" s="79"/>
      <c r="P572" s="79"/>
      <c r="Q572" s="76"/>
      <c r="R572" s="77"/>
      <c r="S572" s="76"/>
      <c r="T572" s="77"/>
      <c r="U572" s="76"/>
      <c r="V572" s="77"/>
      <c r="W572" s="76"/>
      <c r="X572" s="77"/>
      <c r="Y572" s="76"/>
      <c r="Z572" s="76"/>
      <c r="AA572" s="76"/>
      <c r="AB572" s="76"/>
      <c r="AC572" s="76"/>
      <c r="AD572" s="76"/>
      <c r="AE572" s="76"/>
      <c r="AF572" s="76"/>
      <c r="AG572" s="76"/>
      <c r="AH572" s="76"/>
      <c r="AI572" s="76"/>
      <c r="AJ572" s="76"/>
      <c r="AK572" s="76"/>
      <c r="AL572" s="77"/>
      <c r="AM572" s="76"/>
      <c r="AN572" s="76"/>
    </row>
    <row r="573" spans="1:40" ht="15">
      <c r="A573" s="83" t="e">
        <f>IF(#REF!&lt;&gt;#REF!,1,A572+1)</f>
        <v>#REF!</v>
      </c>
      <c r="O573" s="79"/>
      <c r="P573" s="79"/>
      <c r="Q573" s="76"/>
      <c r="R573" s="77"/>
      <c r="S573" s="76"/>
      <c r="T573" s="77"/>
      <c r="U573" s="76"/>
      <c r="V573" s="77"/>
      <c r="W573" s="76"/>
      <c r="X573" s="77"/>
      <c r="Y573" s="76"/>
      <c r="Z573" s="76"/>
      <c r="AA573" s="76"/>
      <c r="AB573" s="76"/>
      <c r="AC573" s="76"/>
      <c r="AD573" s="76"/>
      <c r="AE573" s="76"/>
      <c r="AF573" s="76"/>
      <c r="AG573" s="76"/>
      <c r="AH573" s="76"/>
      <c r="AI573" s="76"/>
      <c r="AJ573" s="76"/>
      <c r="AK573" s="76"/>
      <c r="AL573" s="77"/>
      <c r="AM573" s="76"/>
      <c r="AN573" s="76"/>
    </row>
    <row r="574" spans="1:40" ht="15">
      <c r="A574" s="83" t="e">
        <f>IF(#REF!&lt;&gt;#REF!,1,A573+1)</f>
        <v>#REF!</v>
      </c>
      <c r="O574" s="79"/>
      <c r="P574" s="79"/>
      <c r="Q574" s="76"/>
      <c r="R574" s="77"/>
      <c r="S574" s="76"/>
      <c r="T574" s="77"/>
      <c r="U574" s="76"/>
      <c r="V574" s="77"/>
      <c r="W574" s="76"/>
      <c r="X574" s="77"/>
      <c r="Y574" s="76"/>
      <c r="Z574" s="76"/>
      <c r="AA574" s="76"/>
      <c r="AB574" s="76"/>
      <c r="AC574" s="76"/>
      <c r="AD574" s="76"/>
      <c r="AE574" s="76"/>
      <c r="AF574" s="76"/>
      <c r="AG574" s="76"/>
      <c r="AH574" s="76"/>
      <c r="AI574" s="76"/>
      <c r="AJ574" s="76"/>
      <c r="AK574" s="76"/>
      <c r="AL574" s="77"/>
      <c r="AM574" s="76"/>
      <c r="AN574" s="76"/>
    </row>
    <row r="575" spans="1:40" ht="15">
      <c r="A575" s="83" t="e">
        <f>IF(#REF!&lt;&gt;#REF!,1,A574+1)</f>
        <v>#REF!</v>
      </c>
      <c r="O575" s="79"/>
      <c r="P575" s="79"/>
      <c r="Q575" s="76"/>
      <c r="R575" s="77"/>
      <c r="S575" s="76"/>
      <c r="T575" s="77"/>
      <c r="U575" s="76"/>
      <c r="V575" s="77"/>
      <c r="W575" s="76"/>
      <c r="X575" s="77"/>
      <c r="Y575" s="76"/>
      <c r="Z575" s="76"/>
      <c r="AA575" s="76"/>
      <c r="AB575" s="76"/>
      <c r="AC575" s="76"/>
      <c r="AD575" s="76"/>
      <c r="AE575" s="76"/>
      <c r="AF575" s="76"/>
      <c r="AG575" s="76"/>
      <c r="AH575" s="76"/>
      <c r="AI575" s="76"/>
      <c r="AJ575" s="76"/>
      <c r="AK575" s="76"/>
      <c r="AL575" s="77"/>
      <c r="AM575" s="76"/>
      <c r="AN575" s="76"/>
    </row>
    <row r="576" spans="1:40" ht="15">
      <c r="A576" s="83" t="e">
        <f>IF(#REF!&lt;&gt;#REF!,1,A575+1)</f>
        <v>#REF!</v>
      </c>
      <c r="O576" s="79"/>
      <c r="P576" s="79"/>
      <c r="Q576" s="76"/>
      <c r="R576" s="77"/>
      <c r="S576" s="76"/>
      <c r="T576" s="77"/>
      <c r="U576" s="76"/>
      <c r="V576" s="77"/>
      <c r="W576" s="76"/>
      <c r="X576" s="77"/>
      <c r="Y576" s="76"/>
      <c r="Z576" s="76"/>
      <c r="AA576" s="76"/>
      <c r="AB576" s="76"/>
      <c r="AC576" s="76"/>
      <c r="AD576" s="76"/>
      <c r="AE576" s="76"/>
      <c r="AF576" s="76"/>
      <c r="AG576" s="76"/>
      <c r="AH576" s="76"/>
      <c r="AI576" s="76"/>
      <c r="AJ576" s="76"/>
      <c r="AK576" s="76"/>
      <c r="AL576" s="77"/>
      <c r="AM576" s="76"/>
      <c r="AN576" s="76"/>
    </row>
    <row r="577" spans="1:40" ht="15">
      <c r="A577" s="83" t="e">
        <f>IF(#REF!&lt;&gt;#REF!,1,A576+1)</f>
        <v>#REF!</v>
      </c>
      <c r="O577" s="79"/>
      <c r="P577" s="79"/>
      <c r="Q577" s="76"/>
      <c r="R577" s="77"/>
      <c r="S577" s="76"/>
      <c r="T577" s="77"/>
      <c r="U577" s="76"/>
      <c r="V577" s="77"/>
      <c r="W577" s="76"/>
      <c r="X577" s="77"/>
      <c r="Y577" s="76"/>
      <c r="Z577" s="76"/>
      <c r="AA577" s="76"/>
      <c r="AB577" s="76"/>
      <c r="AC577" s="76"/>
      <c r="AD577" s="76"/>
      <c r="AE577" s="76"/>
      <c r="AF577" s="76"/>
      <c r="AG577" s="76"/>
      <c r="AH577" s="76"/>
      <c r="AI577" s="76"/>
      <c r="AJ577" s="76"/>
      <c r="AK577" s="76"/>
      <c r="AL577" s="77"/>
      <c r="AM577" s="76"/>
      <c r="AN577" s="76"/>
    </row>
    <row r="578" spans="1:40" ht="15">
      <c r="A578" s="83" t="e">
        <f>IF(#REF!&lt;&gt;#REF!,1,A577+1)</f>
        <v>#REF!</v>
      </c>
      <c r="O578" s="79"/>
      <c r="P578" s="79"/>
      <c r="Q578" s="76"/>
      <c r="R578" s="77"/>
      <c r="S578" s="76"/>
      <c r="T578" s="77"/>
      <c r="U578" s="76"/>
      <c r="V578" s="77"/>
      <c r="W578" s="76"/>
      <c r="X578" s="77"/>
      <c r="Y578" s="76"/>
      <c r="Z578" s="76"/>
      <c r="AA578" s="76"/>
      <c r="AB578" s="76"/>
      <c r="AC578" s="76"/>
      <c r="AD578" s="76"/>
      <c r="AE578" s="76"/>
      <c r="AF578" s="76"/>
      <c r="AG578" s="76"/>
      <c r="AH578" s="76"/>
      <c r="AI578" s="76"/>
      <c r="AJ578" s="76"/>
      <c r="AK578" s="76"/>
      <c r="AL578" s="77"/>
      <c r="AM578" s="76"/>
      <c r="AN578" s="76"/>
    </row>
    <row r="579" spans="1:40" ht="15">
      <c r="A579" s="83" t="e">
        <f>IF(#REF!&lt;&gt;#REF!,1,A578+1)</f>
        <v>#REF!</v>
      </c>
      <c r="O579" s="79"/>
      <c r="P579" s="79"/>
      <c r="Q579" s="76"/>
      <c r="R579" s="77"/>
      <c r="S579" s="76"/>
      <c r="T579" s="77"/>
      <c r="U579" s="76"/>
      <c r="V579" s="77"/>
      <c r="W579" s="76"/>
      <c r="X579" s="77"/>
      <c r="Y579" s="76"/>
      <c r="Z579" s="76"/>
      <c r="AA579" s="76"/>
      <c r="AB579" s="76"/>
      <c r="AC579" s="76"/>
      <c r="AD579" s="76"/>
      <c r="AE579" s="76"/>
      <c r="AF579" s="76"/>
      <c r="AG579" s="76"/>
      <c r="AH579" s="76"/>
      <c r="AI579" s="76"/>
      <c r="AJ579" s="76"/>
      <c r="AK579" s="76"/>
      <c r="AL579" s="77"/>
      <c r="AM579" s="76"/>
      <c r="AN579" s="76"/>
    </row>
    <row r="580" spans="1:40" ht="15">
      <c r="A580" s="83" t="e">
        <f>IF(#REF!&lt;&gt;#REF!,1,A579+1)</f>
        <v>#REF!</v>
      </c>
      <c r="O580" s="79"/>
      <c r="P580" s="79"/>
      <c r="Q580" s="76"/>
      <c r="R580" s="77"/>
      <c r="S580" s="76"/>
      <c r="T580" s="77"/>
      <c r="U580" s="76"/>
      <c r="V580" s="77"/>
      <c r="W580" s="76"/>
      <c r="X580" s="77"/>
      <c r="Y580" s="76"/>
      <c r="Z580" s="76"/>
      <c r="AA580" s="76"/>
      <c r="AB580" s="76"/>
      <c r="AC580" s="76"/>
      <c r="AD580" s="76"/>
      <c r="AE580" s="76"/>
      <c r="AF580" s="76"/>
      <c r="AG580" s="76"/>
      <c r="AH580" s="76"/>
      <c r="AI580" s="76"/>
      <c r="AJ580" s="76"/>
      <c r="AK580" s="76"/>
      <c r="AL580" s="77"/>
      <c r="AM580" s="76"/>
      <c r="AN580" s="76"/>
    </row>
    <row r="581" spans="1:40" ht="15">
      <c r="A581" s="83" t="e">
        <f>IF(#REF!&lt;&gt;#REF!,1,A580+1)</f>
        <v>#REF!</v>
      </c>
      <c r="O581" s="79"/>
      <c r="P581" s="79"/>
      <c r="Q581" s="76"/>
      <c r="R581" s="77"/>
      <c r="S581" s="76"/>
      <c r="T581" s="77"/>
      <c r="U581" s="76"/>
      <c r="V581" s="77"/>
      <c r="W581" s="76"/>
      <c r="X581" s="77"/>
      <c r="Y581" s="76"/>
      <c r="Z581" s="76"/>
      <c r="AA581" s="76"/>
      <c r="AB581" s="76"/>
      <c r="AC581" s="76"/>
      <c r="AD581" s="76"/>
      <c r="AE581" s="76"/>
      <c r="AF581" s="76"/>
      <c r="AG581" s="76"/>
      <c r="AH581" s="76"/>
      <c r="AI581" s="76"/>
      <c r="AJ581" s="76"/>
      <c r="AK581" s="76"/>
      <c r="AL581" s="77"/>
      <c r="AM581" s="76"/>
      <c r="AN581" s="76"/>
    </row>
    <row r="582" spans="1:40" ht="15">
      <c r="A582" s="83" t="e">
        <f>IF(#REF!&lt;&gt;#REF!,1,A581+1)</f>
        <v>#REF!</v>
      </c>
      <c r="O582" s="79"/>
      <c r="P582" s="79"/>
      <c r="Q582" s="76"/>
      <c r="R582" s="77"/>
      <c r="S582" s="76"/>
      <c r="T582" s="77"/>
      <c r="U582" s="76"/>
      <c r="V582" s="77"/>
      <c r="W582" s="76"/>
      <c r="X582" s="77"/>
      <c r="Y582" s="76"/>
      <c r="Z582" s="76"/>
      <c r="AA582" s="76"/>
      <c r="AB582" s="76"/>
      <c r="AC582" s="76"/>
      <c r="AD582" s="76"/>
      <c r="AE582" s="76"/>
      <c r="AF582" s="76"/>
      <c r="AG582" s="76"/>
      <c r="AH582" s="76"/>
      <c r="AI582" s="76"/>
      <c r="AJ582" s="76"/>
      <c r="AK582" s="76"/>
      <c r="AL582" s="77"/>
      <c r="AM582" s="76"/>
      <c r="AN582" s="76"/>
    </row>
    <row r="583" spans="1:40" ht="15">
      <c r="A583" s="83" t="e">
        <f>IF(#REF!&lt;&gt;#REF!,1,A582+1)</f>
        <v>#REF!</v>
      </c>
      <c r="O583" s="79"/>
      <c r="P583" s="79"/>
      <c r="Q583" s="76"/>
      <c r="R583" s="77"/>
      <c r="S583" s="76"/>
      <c r="T583" s="77"/>
      <c r="U583" s="76"/>
      <c r="V583" s="77"/>
      <c r="W583" s="76"/>
      <c r="X583" s="77"/>
      <c r="Y583" s="76"/>
      <c r="Z583" s="76"/>
      <c r="AA583" s="76"/>
      <c r="AB583" s="76"/>
      <c r="AC583" s="76"/>
      <c r="AD583" s="76"/>
      <c r="AE583" s="76"/>
      <c r="AF583" s="76"/>
      <c r="AG583" s="76"/>
      <c r="AH583" s="76"/>
      <c r="AI583" s="76"/>
      <c r="AJ583" s="76"/>
      <c r="AK583" s="76"/>
      <c r="AL583" s="77"/>
      <c r="AM583" s="76"/>
      <c r="AN583" s="76"/>
    </row>
    <row r="584" spans="1:40" ht="15">
      <c r="A584" s="83" t="e">
        <f>IF(#REF!&lt;&gt;#REF!,1,A583+1)</f>
        <v>#REF!</v>
      </c>
      <c r="O584" s="79"/>
      <c r="P584" s="79"/>
      <c r="Q584" s="76"/>
      <c r="R584" s="77"/>
      <c r="S584" s="76"/>
      <c r="T584" s="77"/>
      <c r="U584" s="76"/>
      <c r="V584" s="77"/>
      <c r="W584" s="76"/>
      <c r="X584" s="77"/>
      <c r="Y584" s="76"/>
      <c r="Z584" s="76"/>
      <c r="AA584" s="76"/>
      <c r="AB584" s="76"/>
      <c r="AC584" s="76"/>
      <c r="AD584" s="76"/>
      <c r="AE584" s="76"/>
      <c r="AF584" s="76"/>
      <c r="AG584" s="76"/>
      <c r="AH584" s="76"/>
      <c r="AI584" s="76"/>
      <c r="AJ584" s="76"/>
      <c r="AK584" s="76"/>
      <c r="AL584" s="77"/>
      <c r="AM584" s="76"/>
      <c r="AN584" s="76"/>
    </row>
    <row r="585" spans="1:40" ht="15">
      <c r="A585" s="83" t="e">
        <f>IF(#REF!&lt;&gt;#REF!,1,A584+1)</f>
        <v>#REF!</v>
      </c>
      <c r="O585" s="79"/>
      <c r="P585" s="79"/>
      <c r="Q585" s="76"/>
      <c r="R585" s="77"/>
      <c r="S585" s="76"/>
      <c r="T585" s="77"/>
      <c r="U585" s="76"/>
      <c r="V585" s="77"/>
      <c r="W585" s="76"/>
      <c r="X585" s="77"/>
      <c r="Y585" s="76"/>
      <c r="Z585" s="76"/>
      <c r="AA585" s="76"/>
      <c r="AB585" s="76"/>
      <c r="AC585" s="76"/>
      <c r="AD585" s="76"/>
      <c r="AE585" s="76"/>
      <c r="AF585" s="76"/>
      <c r="AG585" s="76"/>
      <c r="AH585" s="76"/>
      <c r="AI585" s="76"/>
      <c r="AJ585" s="76"/>
      <c r="AK585" s="76"/>
      <c r="AL585" s="77"/>
      <c r="AM585" s="76"/>
      <c r="AN585" s="76"/>
    </row>
    <row r="586" spans="1:40" ht="15">
      <c r="A586" s="83" t="e">
        <f>IF(#REF!&lt;&gt;#REF!,1,A585+1)</f>
        <v>#REF!</v>
      </c>
      <c r="O586" s="79"/>
      <c r="P586" s="79"/>
      <c r="Q586" s="76"/>
      <c r="R586" s="77"/>
      <c r="S586" s="76"/>
      <c r="T586" s="77"/>
      <c r="U586" s="76"/>
      <c r="V586" s="77"/>
      <c r="W586" s="76"/>
      <c r="X586" s="77"/>
      <c r="Y586" s="76"/>
      <c r="Z586" s="76"/>
      <c r="AA586" s="76"/>
      <c r="AB586" s="76"/>
      <c r="AC586" s="76"/>
      <c r="AD586" s="76"/>
      <c r="AE586" s="76"/>
      <c r="AF586" s="76"/>
      <c r="AG586" s="76"/>
      <c r="AH586" s="76"/>
      <c r="AI586" s="76"/>
      <c r="AJ586" s="76"/>
      <c r="AK586" s="76"/>
      <c r="AL586" s="77"/>
      <c r="AM586" s="76"/>
      <c r="AN586" s="76"/>
    </row>
    <row r="587" spans="1:40" ht="15">
      <c r="A587" s="83" t="e">
        <f>IF(#REF!&lt;&gt;#REF!,1,A586+1)</f>
        <v>#REF!</v>
      </c>
      <c r="O587" s="79"/>
      <c r="P587" s="79"/>
      <c r="Q587" s="76"/>
      <c r="R587" s="77"/>
      <c r="S587" s="76"/>
      <c r="T587" s="77"/>
      <c r="U587" s="76"/>
      <c r="V587" s="77"/>
      <c r="W587" s="76"/>
      <c r="X587" s="77"/>
      <c r="Y587" s="76"/>
      <c r="Z587" s="76"/>
      <c r="AA587" s="76"/>
      <c r="AB587" s="76"/>
      <c r="AC587" s="76"/>
      <c r="AD587" s="76"/>
      <c r="AE587" s="76"/>
      <c r="AF587" s="76"/>
      <c r="AG587" s="76"/>
      <c r="AH587" s="76"/>
      <c r="AI587" s="76"/>
      <c r="AJ587" s="76"/>
      <c r="AK587" s="76"/>
      <c r="AL587" s="77"/>
      <c r="AM587" s="76"/>
      <c r="AN587" s="76"/>
    </row>
    <row r="588" spans="1:40" ht="15">
      <c r="A588" s="83" t="e">
        <f>IF(#REF!&lt;&gt;#REF!,1,A587+1)</f>
        <v>#REF!</v>
      </c>
      <c r="O588" s="79"/>
      <c r="P588" s="79"/>
      <c r="Q588" s="76"/>
      <c r="R588" s="77"/>
      <c r="S588" s="76"/>
      <c r="T588" s="77"/>
      <c r="U588" s="76"/>
      <c r="V588" s="77"/>
      <c r="W588" s="76"/>
      <c r="X588" s="77"/>
      <c r="Y588" s="76"/>
      <c r="Z588" s="76"/>
      <c r="AA588" s="76"/>
      <c r="AB588" s="76"/>
      <c r="AC588" s="76"/>
      <c r="AD588" s="76"/>
      <c r="AE588" s="76"/>
      <c r="AF588" s="76"/>
      <c r="AG588" s="76"/>
      <c r="AH588" s="76"/>
      <c r="AI588" s="76"/>
      <c r="AJ588" s="76"/>
      <c r="AK588" s="76"/>
      <c r="AL588" s="77"/>
      <c r="AM588" s="76"/>
      <c r="AN588" s="76"/>
    </row>
    <row r="589" spans="1:40" ht="15">
      <c r="A589" s="83" t="e">
        <f>IF(#REF!&lt;&gt;#REF!,1,A588+1)</f>
        <v>#REF!</v>
      </c>
      <c r="O589" s="79"/>
      <c r="P589" s="79"/>
      <c r="Q589" s="76"/>
      <c r="R589" s="77"/>
      <c r="S589" s="76"/>
      <c r="T589" s="77"/>
      <c r="U589" s="76"/>
      <c r="V589" s="77"/>
      <c r="W589" s="76"/>
      <c r="X589" s="77"/>
      <c r="Y589" s="76"/>
      <c r="Z589" s="76"/>
      <c r="AA589" s="76"/>
      <c r="AB589" s="76"/>
      <c r="AC589" s="76"/>
      <c r="AD589" s="76"/>
      <c r="AE589" s="76"/>
      <c r="AF589" s="76"/>
      <c r="AG589" s="76"/>
      <c r="AH589" s="76"/>
      <c r="AI589" s="76"/>
      <c r="AJ589" s="76"/>
      <c r="AK589" s="76"/>
      <c r="AL589" s="77"/>
      <c r="AM589" s="76"/>
      <c r="AN589" s="76"/>
    </row>
    <row r="590" spans="1:40" ht="15">
      <c r="A590" s="83" t="e">
        <f>IF(#REF!&lt;&gt;#REF!,1,A589+1)</f>
        <v>#REF!</v>
      </c>
      <c r="O590" s="79"/>
      <c r="P590" s="79"/>
      <c r="Q590" s="76"/>
      <c r="R590" s="77"/>
      <c r="S590" s="76"/>
      <c r="T590" s="77"/>
      <c r="U590" s="76"/>
      <c r="V590" s="77"/>
      <c r="W590" s="76"/>
      <c r="X590" s="77"/>
      <c r="Y590" s="76"/>
      <c r="Z590" s="76"/>
      <c r="AA590" s="76"/>
      <c r="AB590" s="76"/>
      <c r="AC590" s="76"/>
      <c r="AD590" s="76"/>
      <c r="AE590" s="76"/>
      <c r="AF590" s="76"/>
      <c r="AG590" s="76"/>
      <c r="AH590" s="76"/>
      <c r="AI590" s="76"/>
      <c r="AJ590" s="76"/>
      <c r="AK590" s="76"/>
      <c r="AL590" s="77"/>
      <c r="AM590" s="76"/>
      <c r="AN590" s="76"/>
    </row>
    <row r="591" spans="1:40" ht="15">
      <c r="A591" s="83" t="e">
        <f>IF(#REF!&lt;&gt;#REF!,1,A590+1)</f>
        <v>#REF!</v>
      </c>
      <c r="O591" s="79"/>
      <c r="P591" s="79"/>
      <c r="Q591" s="76"/>
      <c r="R591" s="77"/>
      <c r="S591" s="76"/>
      <c r="T591" s="77"/>
      <c r="U591" s="76"/>
      <c r="V591" s="77"/>
      <c r="W591" s="76"/>
      <c r="X591" s="77"/>
      <c r="Y591" s="76"/>
      <c r="Z591" s="76"/>
      <c r="AA591" s="76"/>
      <c r="AB591" s="76"/>
      <c r="AC591" s="76"/>
      <c r="AD591" s="76"/>
      <c r="AE591" s="76"/>
      <c r="AF591" s="76"/>
      <c r="AG591" s="76"/>
      <c r="AH591" s="76"/>
      <c r="AI591" s="76"/>
      <c r="AJ591" s="76"/>
      <c r="AK591" s="76"/>
      <c r="AL591" s="77"/>
      <c r="AM591" s="76"/>
      <c r="AN591" s="76"/>
    </row>
    <row r="592" spans="1:40" ht="15">
      <c r="A592" s="83" t="e">
        <f>IF(#REF!&lt;&gt;#REF!,1,A591+1)</f>
        <v>#REF!</v>
      </c>
      <c r="O592" s="79"/>
      <c r="P592" s="79"/>
      <c r="Q592" s="76"/>
      <c r="R592" s="77"/>
      <c r="S592" s="76"/>
      <c r="T592" s="77"/>
      <c r="U592" s="76"/>
      <c r="V592" s="77"/>
      <c r="W592" s="76"/>
      <c r="X592" s="77"/>
      <c r="Y592" s="76"/>
      <c r="Z592" s="76"/>
      <c r="AA592" s="76"/>
      <c r="AB592" s="76"/>
      <c r="AC592" s="76"/>
      <c r="AD592" s="76"/>
      <c r="AE592" s="76"/>
      <c r="AF592" s="76"/>
      <c r="AG592" s="76"/>
      <c r="AH592" s="76"/>
      <c r="AI592" s="76"/>
      <c r="AJ592" s="76"/>
      <c r="AK592" s="76"/>
      <c r="AL592" s="77"/>
      <c r="AM592" s="76"/>
      <c r="AN592" s="76"/>
    </row>
    <row r="593" spans="1:40" ht="15">
      <c r="A593" s="83" t="e">
        <f>IF(#REF!&lt;&gt;#REF!,1,A592+1)</f>
        <v>#REF!</v>
      </c>
      <c r="O593" s="79"/>
      <c r="P593" s="79"/>
      <c r="Q593" s="76"/>
      <c r="R593" s="77"/>
      <c r="S593" s="76"/>
      <c r="T593" s="77"/>
      <c r="U593" s="76"/>
      <c r="V593" s="77"/>
      <c r="W593" s="76"/>
      <c r="X593" s="77"/>
      <c r="Y593" s="76"/>
      <c r="Z593" s="76"/>
      <c r="AA593" s="76"/>
      <c r="AB593" s="76"/>
      <c r="AC593" s="76"/>
      <c r="AD593" s="76"/>
      <c r="AE593" s="76"/>
      <c r="AF593" s="76"/>
      <c r="AG593" s="76"/>
      <c r="AH593" s="76"/>
      <c r="AI593" s="76"/>
      <c r="AJ593" s="76"/>
      <c r="AK593" s="76"/>
      <c r="AL593" s="77"/>
      <c r="AM593" s="76"/>
      <c r="AN593" s="76"/>
    </row>
    <row r="594" spans="1:40" ht="15">
      <c r="A594" s="83" t="e">
        <f>IF(#REF!&lt;&gt;#REF!,1,A593+1)</f>
        <v>#REF!</v>
      </c>
      <c r="O594" s="79"/>
      <c r="P594" s="79"/>
      <c r="Q594" s="76"/>
      <c r="R594" s="77"/>
      <c r="S594" s="76"/>
      <c r="T594" s="77"/>
      <c r="U594" s="76"/>
      <c r="V594" s="77"/>
      <c r="W594" s="76"/>
      <c r="X594" s="77"/>
      <c r="Y594" s="76"/>
      <c r="Z594" s="76"/>
      <c r="AA594" s="76"/>
      <c r="AB594" s="76"/>
      <c r="AC594" s="76"/>
      <c r="AD594" s="76"/>
      <c r="AE594" s="76"/>
      <c r="AF594" s="76"/>
      <c r="AG594" s="76"/>
      <c r="AH594" s="76"/>
      <c r="AI594" s="76"/>
      <c r="AJ594" s="76"/>
      <c r="AK594" s="76"/>
      <c r="AL594" s="77"/>
      <c r="AM594" s="76"/>
      <c r="AN594" s="76"/>
    </row>
    <row r="595" spans="1:40" ht="15">
      <c r="A595" s="83" t="e">
        <f>IF(#REF!&lt;&gt;#REF!,1,A594+1)</f>
        <v>#REF!</v>
      </c>
      <c r="O595" s="79"/>
      <c r="P595" s="79"/>
      <c r="Q595" s="76"/>
      <c r="R595" s="77"/>
      <c r="S595" s="76"/>
      <c r="T595" s="77"/>
      <c r="U595" s="76"/>
      <c r="V595" s="77"/>
      <c r="W595" s="76"/>
      <c r="X595" s="77"/>
      <c r="Y595" s="76"/>
      <c r="Z595" s="76"/>
      <c r="AA595" s="76"/>
      <c r="AB595" s="76"/>
      <c r="AC595" s="76"/>
      <c r="AD595" s="76"/>
      <c r="AE595" s="76"/>
      <c r="AF595" s="76"/>
      <c r="AG595" s="76"/>
      <c r="AH595" s="76"/>
      <c r="AI595" s="76"/>
      <c r="AJ595" s="76"/>
      <c r="AK595" s="76"/>
      <c r="AL595" s="77"/>
      <c r="AM595" s="76"/>
      <c r="AN595" s="76"/>
    </row>
    <row r="596" spans="1:40" ht="15">
      <c r="A596" s="83" t="e">
        <f>IF(#REF!&lt;&gt;#REF!,1,A595+1)</f>
        <v>#REF!</v>
      </c>
      <c r="O596" s="79"/>
      <c r="P596" s="79"/>
      <c r="Q596" s="76"/>
      <c r="R596" s="77"/>
      <c r="S596" s="76"/>
      <c r="T596" s="77"/>
      <c r="U596" s="76"/>
      <c r="V596" s="77"/>
      <c r="W596" s="76"/>
      <c r="X596" s="77"/>
      <c r="Y596" s="76"/>
      <c r="Z596" s="76"/>
      <c r="AA596" s="76"/>
      <c r="AB596" s="76"/>
      <c r="AC596" s="76"/>
      <c r="AD596" s="76"/>
      <c r="AE596" s="76"/>
      <c r="AF596" s="76"/>
      <c r="AG596" s="76"/>
      <c r="AH596" s="76"/>
      <c r="AI596" s="76"/>
      <c r="AJ596" s="76"/>
      <c r="AK596" s="76"/>
      <c r="AL596" s="77"/>
      <c r="AM596" s="76"/>
      <c r="AN596" s="76"/>
    </row>
    <row r="597" spans="1:40" ht="15">
      <c r="A597" s="83" t="e">
        <f>IF(#REF!&lt;&gt;#REF!,1,A596+1)</f>
        <v>#REF!</v>
      </c>
      <c r="O597" s="79"/>
      <c r="P597" s="79"/>
      <c r="Q597" s="76"/>
      <c r="R597" s="77"/>
      <c r="S597" s="76"/>
      <c r="T597" s="77"/>
      <c r="U597" s="76"/>
      <c r="V597" s="77"/>
      <c r="W597" s="76"/>
      <c r="X597" s="77"/>
      <c r="Y597" s="76"/>
      <c r="Z597" s="76"/>
      <c r="AA597" s="76"/>
      <c r="AB597" s="76"/>
      <c r="AC597" s="76"/>
      <c r="AD597" s="76"/>
      <c r="AE597" s="76"/>
      <c r="AF597" s="76"/>
      <c r="AG597" s="76"/>
      <c r="AH597" s="76"/>
      <c r="AI597" s="76"/>
      <c r="AJ597" s="76"/>
      <c r="AK597" s="76"/>
      <c r="AL597" s="77"/>
      <c r="AM597" s="76"/>
      <c r="AN597" s="76"/>
    </row>
    <row r="598" spans="1:40" ht="15">
      <c r="A598" s="83" t="e">
        <f>IF(#REF!&lt;&gt;#REF!,1,A597+1)</f>
        <v>#REF!</v>
      </c>
      <c r="O598" s="79"/>
      <c r="P598" s="79"/>
      <c r="Q598" s="76"/>
      <c r="R598" s="77"/>
      <c r="S598" s="76"/>
      <c r="T598" s="77"/>
      <c r="U598" s="76"/>
      <c r="V598" s="77"/>
      <c r="W598" s="76"/>
      <c r="X598" s="77"/>
      <c r="Y598" s="76"/>
      <c r="Z598" s="76"/>
      <c r="AA598" s="76"/>
      <c r="AB598" s="76"/>
      <c r="AC598" s="76"/>
      <c r="AD598" s="76"/>
      <c r="AE598" s="76"/>
      <c r="AF598" s="76"/>
      <c r="AG598" s="76"/>
      <c r="AH598" s="76"/>
      <c r="AI598" s="76"/>
      <c r="AJ598" s="76"/>
      <c r="AK598" s="76"/>
      <c r="AL598" s="77"/>
      <c r="AM598" s="76"/>
      <c r="AN598" s="76"/>
    </row>
    <row r="599" spans="1:40" ht="15">
      <c r="A599" s="83" t="e">
        <f>IF(#REF!&lt;&gt;#REF!,1,A598+1)</f>
        <v>#REF!</v>
      </c>
      <c r="O599" s="79"/>
      <c r="P599" s="79"/>
      <c r="Q599" s="76"/>
      <c r="R599" s="77"/>
      <c r="S599" s="76"/>
      <c r="T599" s="77"/>
      <c r="U599" s="76"/>
      <c r="V599" s="77"/>
      <c r="W599" s="76"/>
      <c r="X599" s="77"/>
      <c r="Y599" s="76"/>
      <c r="Z599" s="76"/>
      <c r="AA599" s="76"/>
      <c r="AB599" s="76"/>
      <c r="AC599" s="76"/>
      <c r="AD599" s="76"/>
      <c r="AE599" s="76"/>
      <c r="AF599" s="76"/>
      <c r="AG599" s="76"/>
      <c r="AH599" s="76"/>
      <c r="AI599" s="76"/>
      <c r="AJ599" s="76"/>
      <c r="AK599" s="76"/>
      <c r="AL599" s="77"/>
      <c r="AM599" s="76"/>
      <c r="AN599" s="76"/>
    </row>
    <row r="600" spans="1:40" ht="15">
      <c r="A600" s="83" t="e">
        <f>IF(#REF!&lt;&gt;#REF!,1,A599+1)</f>
        <v>#REF!</v>
      </c>
      <c r="O600" s="79"/>
      <c r="P600" s="79"/>
      <c r="Q600" s="76"/>
      <c r="R600" s="77"/>
      <c r="S600" s="76"/>
      <c r="T600" s="77"/>
      <c r="U600" s="76"/>
      <c r="V600" s="77"/>
      <c r="W600" s="76"/>
      <c r="X600" s="77"/>
      <c r="Y600" s="76"/>
      <c r="Z600" s="76"/>
      <c r="AA600" s="76"/>
      <c r="AB600" s="76"/>
      <c r="AC600" s="76"/>
      <c r="AD600" s="76"/>
      <c r="AE600" s="76"/>
      <c r="AF600" s="76"/>
      <c r="AG600" s="76"/>
      <c r="AH600" s="76"/>
      <c r="AI600" s="76"/>
      <c r="AJ600" s="76"/>
      <c r="AK600" s="76"/>
      <c r="AL600" s="77"/>
      <c r="AM600" s="76"/>
      <c r="AN600" s="76"/>
    </row>
    <row r="601" spans="1:40" ht="15">
      <c r="A601" s="83" t="e">
        <f>IF(#REF!&lt;&gt;#REF!,1,A600+1)</f>
        <v>#REF!</v>
      </c>
      <c r="O601" s="79"/>
      <c r="P601" s="79"/>
      <c r="Q601" s="76"/>
      <c r="R601" s="77"/>
      <c r="S601" s="76"/>
      <c r="T601" s="77"/>
      <c r="U601" s="76"/>
      <c r="V601" s="77"/>
      <c r="W601" s="76"/>
      <c r="X601" s="77"/>
      <c r="Y601" s="76"/>
      <c r="Z601" s="76"/>
      <c r="AA601" s="76"/>
      <c r="AB601" s="76"/>
      <c r="AC601" s="76"/>
      <c r="AD601" s="76"/>
      <c r="AE601" s="76"/>
      <c r="AF601" s="76"/>
      <c r="AG601" s="76"/>
      <c r="AH601" s="76"/>
      <c r="AI601" s="76"/>
      <c r="AJ601" s="76"/>
      <c r="AK601" s="76"/>
      <c r="AL601" s="77"/>
      <c r="AM601" s="76"/>
      <c r="AN601" s="76"/>
    </row>
    <row r="602" spans="1:40" ht="15">
      <c r="A602" s="83" t="e">
        <f>IF(#REF!&lt;&gt;#REF!,1,A601+1)</f>
        <v>#REF!</v>
      </c>
      <c r="O602" s="79"/>
      <c r="P602" s="79"/>
      <c r="Q602" s="76"/>
      <c r="R602" s="77"/>
      <c r="S602" s="76"/>
      <c r="T602" s="77"/>
      <c r="U602" s="76"/>
      <c r="V602" s="77"/>
      <c r="W602" s="76"/>
      <c r="X602" s="77"/>
      <c r="Y602" s="76"/>
      <c r="Z602" s="76"/>
      <c r="AA602" s="76"/>
      <c r="AB602" s="76"/>
      <c r="AC602" s="76"/>
      <c r="AD602" s="76"/>
      <c r="AE602" s="76"/>
      <c r="AF602" s="76"/>
      <c r="AG602" s="76"/>
      <c r="AH602" s="76"/>
      <c r="AI602" s="76"/>
      <c r="AJ602" s="76"/>
      <c r="AK602" s="76"/>
      <c r="AL602" s="77"/>
      <c r="AM602" s="76"/>
      <c r="AN602" s="76"/>
    </row>
    <row r="603" spans="1:40" ht="15">
      <c r="A603" s="83" t="e">
        <f>IF(#REF!&lt;&gt;#REF!,1,A602+1)</f>
        <v>#REF!</v>
      </c>
      <c r="O603" s="79"/>
      <c r="P603" s="79"/>
      <c r="Q603" s="76"/>
      <c r="R603" s="77"/>
      <c r="S603" s="76"/>
      <c r="T603" s="77"/>
      <c r="U603" s="76"/>
      <c r="V603" s="77"/>
      <c r="W603" s="76"/>
      <c r="X603" s="77"/>
      <c r="Y603" s="76"/>
      <c r="Z603" s="76"/>
      <c r="AA603" s="76"/>
      <c r="AB603" s="76"/>
      <c r="AC603" s="76"/>
      <c r="AD603" s="76"/>
      <c r="AE603" s="76"/>
      <c r="AF603" s="76"/>
      <c r="AG603" s="76"/>
      <c r="AH603" s="76"/>
      <c r="AI603" s="76"/>
      <c r="AJ603" s="76"/>
      <c r="AK603" s="76"/>
      <c r="AL603" s="77"/>
      <c r="AM603" s="76"/>
      <c r="AN603" s="76"/>
    </row>
    <row r="604" spans="1:40" ht="15">
      <c r="A604" s="83" t="e">
        <f>IF(#REF!&lt;&gt;#REF!,1,A603+1)</f>
        <v>#REF!</v>
      </c>
      <c r="O604" s="79"/>
      <c r="P604" s="79"/>
      <c r="Q604" s="76"/>
      <c r="R604" s="77"/>
      <c r="S604" s="76"/>
      <c r="T604" s="77"/>
      <c r="U604" s="76"/>
      <c r="V604" s="77"/>
      <c r="W604" s="76"/>
      <c r="X604" s="77"/>
      <c r="Y604" s="76"/>
      <c r="Z604" s="76"/>
      <c r="AA604" s="76"/>
      <c r="AB604" s="76"/>
      <c r="AC604" s="76"/>
      <c r="AD604" s="76"/>
      <c r="AE604" s="76"/>
      <c r="AF604" s="76"/>
      <c r="AG604" s="76"/>
      <c r="AH604" s="76"/>
      <c r="AI604" s="76"/>
      <c r="AJ604" s="76"/>
      <c r="AK604" s="76"/>
      <c r="AL604" s="77"/>
      <c r="AM604" s="76"/>
      <c r="AN604" s="76"/>
    </row>
    <row r="605" spans="1:40" ht="15">
      <c r="A605" s="83" t="e">
        <f>IF(#REF!&lt;&gt;#REF!,1,A604+1)</f>
        <v>#REF!</v>
      </c>
      <c r="O605" s="79"/>
      <c r="P605" s="79"/>
      <c r="Q605" s="76"/>
      <c r="R605" s="77"/>
      <c r="S605" s="76"/>
      <c r="T605" s="77"/>
      <c r="U605" s="76"/>
      <c r="V605" s="77"/>
      <c r="W605" s="76"/>
      <c r="X605" s="77"/>
      <c r="Y605" s="76"/>
      <c r="Z605" s="76"/>
      <c r="AA605" s="76"/>
      <c r="AB605" s="76"/>
      <c r="AC605" s="76"/>
      <c r="AD605" s="76"/>
      <c r="AE605" s="76"/>
      <c r="AF605" s="76"/>
      <c r="AG605" s="76"/>
      <c r="AH605" s="76"/>
      <c r="AI605" s="76"/>
      <c r="AJ605" s="76"/>
      <c r="AK605" s="76"/>
      <c r="AL605" s="77"/>
      <c r="AM605" s="76"/>
      <c r="AN605" s="76"/>
    </row>
    <row r="606" spans="1:40" ht="15">
      <c r="A606" s="83" t="e">
        <f>IF(#REF!&lt;&gt;#REF!,1,A605+1)</f>
        <v>#REF!</v>
      </c>
      <c r="O606" s="79"/>
      <c r="P606" s="79"/>
      <c r="Q606" s="76"/>
      <c r="R606" s="77"/>
      <c r="S606" s="76"/>
      <c r="T606" s="77"/>
      <c r="U606" s="76"/>
      <c r="V606" s="77"/>
      <c r="W606" s="76"/>
      <c r="X606" s="77"/>
      <c r="Y606" s="76"/>
      <c r="Z606" s="76"/>
      <c r="AA606" s="76"/>
      <c r="AB606" s="76"/>
      <c r="AC606" s="76"/>
      <c r="AD606" s="76"/>
      <c r="AE606" s="76"/>
      <c r="AF606" s="76"/>
      <c r="AG606" s="76"/>
      <c r="AH606" s="76"/>
      <c r="AI606" s="76"/>
      <c r="AJ606" s="76"/>
      <c r="AK606" s="76"/>
      <c r="AL606" s="77"/>
      <c r="AM606" s="76"/>
      <c r="AN606" s="76"/>
    </row>
    <row r="607" spans="1:40" ht="15">
      <c r="A607" s="83" t="e">
        <f>IF(#REF!&lt;&gt;#REF!,1,A606+1)</f>
        <v>#REF!</v>
      </c>
      <c r="O607" s="79"/>
      <c r="P607" s="79"/>
      <c r="Q607" s="76"/>
      <c r="R607" s="77"/>
      <c r="S607" s="76"/>
      <c r="T607" s="77"/>
      <c r="U607" s="76"/>
      <c r="V607" s="77"/>
      <c r="W607" s="76"/>
      <c r="X607" s="77"/>
      <c r="Y607" s="76"/>
      <c r="Z607" s="76"/>
      <c r="AA607" s="76"/>
      <c r="AB607" s="76"/>
      <c r="AC607" s="76"/>
      <c r="AD607" s="76"/>
      <c r="AE607" s="76"/>
      <c r="AF607" s="76"/>
      <c r="AG607" s="76"/>
      <c r="AH607" s="76"/>
      <c r="AI607" s="76"/>
      <c r="AJ607" s="76"/>
      <c r="AK607" s="76"/>
      <c r="AL607" s="77"/>
      <c r="AM607" s="76"/>
      <c r="AN607" s="76"/>
    </row>
    <row r="608" spans="1:40" ht="15">
      <c r="A608" s="83" t="e">
        <f>IF(#REF!&lt;&gt;#REF!,1,A607+1)</f>
        <v>#REF!</v>
      </c>
      <c r="O608" s="79"/>
      <c r="P608" s="79"/>
      <c r="Q608" s="76"/>
      <c r="R608" s="77"/>
      <c r="S608" s="76"/>
      <c r="T608" s="77"/>
      <c r="U608" s="76"/>
      <c r="V608" s="77"/>
      <c r="W608" s="76"/>
      <c r="X608" s="77"/>
      <c r="Y608" s="76"/>
      <c r="Z608" s="76"/>
      <c r="AA608" s="76"/>
      <c r="AB608" s="76"/>
      <c r="AC608" s="76"/>
      <c r="AD608" s="76"/>
      <c r="AE608" s="76"/>
      <c r="AF608" s="76"/>
      <c r="AG608" s="76"/>
      <c r="AH608" s="76"/>
      <c r="AI608" s="76"/>
      <c r="AJ608" s="76"/>
      <c r="AK608" s="76"/>
      <c r="AL608" s="77"/>
      <c r="AM608" s="76"/>
      <c r="AN608" s="76"/>
    </row>
    <row r="609" spans="1:40" ht="15">
      <c r="A609" s="83" t="e">
        <f>IF(#REF!&lt;&gt;#REF!,1,A608+1)</f>
        <v>#REF!</v>
      </c>
      <c r="O609" s="79"/>
      <c r="P609" s="79"/>
      <c r="Q609" s="76"/>
      <c r="R609" s="77"/>
      <c r="S609" s="76"/>
      <c r="T609" s="77"/>
      <c r="U609" s="76"/>
      <c r="V609" s="77"/>
      <c r="W609" s="76"/>
      <c r="X609" s="77"/>
      <c r="Y609" s="76"/>
      <c r="Z609" s="76"/>
      <c r="AA609" s="76"/>
      <c r="AB609" s="76"/>
      <c r="AC609" s="76"/>
      <c r="AD609" s="76"/>
      <c r="AE609" s="76"/>
      <c r="AF609" s="76"/>
      <c r="AG609" s="76"/>
      <c r="AH609" s="76"/>
      <c r="AI609" s="76"/>
      <c r="AJ609" s="76"/>
      <c r="AK609" s="76"/>
      <c r="AL609" s="77"/>
      <c r="AM609" s="76"/>
      <c r="AN609" s="76"/>
    </row>
    <row r="610" spans="1:40" ht="15">
      <c r="A610" s="83" t="e">
        <f>IF(#REF!&lt;&gt;#REF!,1,A609+1)</f>
        <v>#REF!</v>
      </c>
      <c r="O610" s="79"/>
      <c r="P610" s="79"/>
      <c r="Q610" s="76"/>
      <c r="R610" s="77"/>
      <c r="S610" s="76"/>
      <c r="T610" s="77"/>
      <c r="U610" s="76"/>
      <c r="V610" s="77"/>
      <c r="W610" s="76"/>
      <c r="X610" s="77"/>
      <c r="Y610" s="76"/>
      <c r="Z610" s="76"/>
      <c r="AA610" s="76"/>
      <c r="AB610" s="76"/>
      <c r="AC610" s="76"/>
      <c r="AD610" s="76"/>
      <c r="AE610" s="76"/>
      <c r="AF610" s="76"/>
      <c r="AG610" s="76"/>
      <c r="AH610" s="76"/>
      <c r="AI610" s="76"/>
      <c r="AJ610" s="76"/>
      <c r="AK610" s="76"/>
      <c r="AL610" s="77"/>
      <c r="AM610" s="76"/>
      <c r="AN610" s="76"/>
    </row>
    <row r="611" spans="1:40" ht="15">
      <c r="A611" s="83" t="e">
        <f>IF(#REF!&lt;&gt;#REF!,1,A610+1)</f>
        <v>#REF!</v>
      </c>
      <c r="O611" s="79"/>
      <c r="P611" s="79"/>
      <c r="Q611" s="76"/>
      <c r="R611" s="77"/>
      <c r="S611" s="76"/>
      <c r="T611" s="77"/>
      <c r="U611" s="76"/>
      <c r="V611" s="77"/>
      <c r="W611" s="76"/>
      <c r="X611" s="77"/>
      <c r="Y611" s="76"/>
      <c r="Z611" s="76"/>
      <c r="AA611" s="76"/>
      <c r="AB611" s="76"/>
      <c r="AC611" s="76"/>
      <c r="AD611" s="76"/>
      <c r="AE611" s="76"/>
      <c r="AF611" s="76"/>
      <c r="AG611" s="76"/>
      <c r="AH611" s="76"/>
      <c r="AI611" s="76"/>
      <c r="AJ611" s="76"/>
      <c r="AK611" s="76"/>
      <c r="AL611" s="77"/>
      <c r="AM611" s="76"/>
      <c r="AN611" s="76"/>
    </row>
    <row r="612" spans="1:40" ht="15">
      <c r="A612" s="83" t="e">
        <f>IF(#REF!&lt;&gt;#REF!,1,A611+1)</f>
        <v>#REF!</v>
      </c>
      <c r="O612" s="79"/>
      <c r="P612" s="79"/>
      <c r="Q612" s="76"/>
      <c r="R612" s="77"/>
      <c r="S612" s="76"/>
      <c r="T612" s="77"/>
      <c r="U612" s="76"/>
      <c r="V612" s="77"/>
      <c r="W612" s="76"/>
      <c r="X612" s="77"/>
      <c r="Y612" s="76"/>
      <c r="Z612" s="76"/>
      <c r="AA612" s="76"/>
      <c r="AB612" s="76"/>
      <c r="AC612" s="76"/>
      <c r="AD612" s="76"/>
      <c r="AE612" s="76"/>
      <c r="AF612" s="76"/>
      <c r="AG612" s="76"/>
      <c r="AH612" s="76"/>
      <c r="AI612" s="76"/>
      <c r="AJ612" s="76"/>
      <c r="AK612" s="76"/>
      <c r="AL612" s="77"/>
      <c r="AM612" s="76"/>
      <c r="AN612" s="76"/>
    </row>
    <row r="613" spans="1:40" ht="15">
      <c r="A613" s="83" t="e">
        <f>IF(#REF!&lt;&gt;#REF!,1,A612+1)</f>
        <v>#REF!</v>
      </c>
      <c r="O613" s="79"/>
      <c r="P613" s="79"/>
      <c r="Q613" s="76"/>
      <c r="R613" s="77"/>
      <c r="S613" s="76"/>
      <c r="T613" s="77"/>
      <c r="U613" s="76"/>
      <c r="V613" s="77"/>
      <c r="W613" s="76"/>
      <c r="X613" s="77"/>
      <c r="Y613" s="76"/>
      <c r="Z613" s="76"/>
      <c r="AA613" s="76"/>
      <c r="AB613" s="76"/>
      <c r="AC613" s="76"/>
      <c r="AD613" s="76"/>
      <c r="AE613" s="76"/>
      <c r="AF613" s="76"/>
      <c r="AG613" s="76"/>
      <c r="AH613" s="76"/>
      <c r="AI613" s="76"/>
      <c r="AJ613" s="76"/>
      <c r="AK613" s="76"/>
      <c r="AL613" s="77"/>
      <c r="AM613" s="76"/>
      <c r="AN613" s="76"/>
    </row>
    <row r="614" spans="1:40" ht="15">
      <c r="A614" s="83" t="e">
        <f>IF(#REF!&lt;&gt;#REF!,1,A613+1)</f>
        <v>#REF!</v>
      </c>
      <c r="O614" s="79"/>
      <c r="P614" s="79"/>
      <c r="Q614" s="76"/>
      <c r="R614" s="77"/>
      <c r="S614" s="76"/>
      <c r="T614" s="77"/>
      <c r="U614" s="76"/>
      <c r="V614" s="77"/>
      <c r="W614" s="76"/>
      <c r="X614" s="77"/>
      <c r="Y614" s="76"/>
      <c r="Z614" s="76"/>
      <c r="AA614" s="76"/>
      <c r="AB614" s="76"/>
      <c r="AC614" s="76"/>
      <c r="AD614" s="76"/>
      <c r="AE614" s="76"/>
      <c r="AF614" s="76"/>
      <c r="AG614" s="76"/>
      <c r="AH614" s="76"/>
      <c r="AI614" s="76"/>
      <c r="AJ614" s="76"/>
      <c r="AK614" s="76"/>
      <c r="AL614" s="77"/>
      <c r="AM614" s="76"/>
      <c r="AN614" s="76"/>
    </row>
    <row r="615" spans="1:40" ht="15">
      <c r="A615" s="83" t="e">
        <f>IF(#REF!&lt;&gt;#REF!,1,A614+1)</f>
        <v>#REF!</v>
      </c>
      <c r="O615" s="79"/>
      <c r="P615" s="79"/>
      <c r="Q615" s="76"/>
      <c r="R615" s="77"/>
      <c r="S615" s="76"/>
      <c r="T615" s="77"/>
      <c r="U615" s="76"/>
      <c r="V615" s="77"/>
      <c r="W615" s="76"/>
      <c r="X615" s="77"/>
      <c r="Y615" s="76"/>
      <c r="Z615" s="76"/>
      <c r="AA615" s="76"/>
      <c r="AB615" s="76"/>
      <c r="AC615" s="76"/>
      <c r="AD615" s="76"/>
      <c r="AE615" s="76"/>
      <c r="AF615" s="76"/>
      <c r="AG615" s="76"/>
      <c r="AH615" s="76"/>
      <c r="AI615" s="76"/>
      <c r="AJ615" s="76"/>
      <c r="AK615" s="76"/>
      <c r="AL615" s="77"/>
      <c r="AM615" s="76"/>
      <c r="AN615" s="76"/>
    </row>
    <row r="616" spans="1:40" ht="15">
      <c r="A616" s="83" t="e">
        <f>IF(#REF!&lt;&gt;#REF!,1,A615+1)</f>
        <v>#REF!</v>
      </c>
      <c r="O616" s="79"/>
      <c r="P616" s="79"/>
      <c r="Q616" s="76"/>
      <c r="R616" s="77"/>
      <c r="S616" s="76"/>
      <c r="T616" s="77"/>
      <c r="U616" s="76"/>
      <c r="V616" s="77"/>
      <c r="W616" s="76"/>
      <c r="X616" s="77"/>
      <c r="Y616" s="76"/>
      <c r="Z616" s="76"/>
      <c r="AA616" s="76"/>
      <c r="AB616" s="76"/>
      <c r="AC616" s="76"/>
      <c r="AD616" s="76"/>
      <c r="AE616" s="76"/>
      <c r="AF616" s="76"/>
      <c r="AG616" s="76"/>
      <c r="AH616" s="76"/>
      <c r="AI616" s="76"/>
      <c r="AJ616" s="76"/>
      <c r="AK616" s="76"/>
      <c r="AL616" s="77"/>
      <c r="AM616" s="76"/>
      <c r="AN616" s="76"/>
    </row>
    <row r="617" spans="1:40" ht="15">
      <c r="A617" s="83" t="e">
        <f>IF(#REF!&lt;&gt;#REF!,1,A616+1)</f>
        <v>#REF!</v>
      </c>
      <c r="O617" s="79"/>
      <c r="P617" s="79"/>
      <c r="Q617" s="76"/>
      <c r="R617" s="77"/>
      <c r="S617" s="76"/>
      <c r="T617" s="77"/>
      <c r="U617" s="76"/>
      <c r="V617" s="77"/>
      <c r="W617" s="76"/>
      <c r="X617" s="77"/>
      <c r="Y617" s="76"/>
      <c r="Z617" s="76"/>
      <c r="AA617" s="76"/>
      <c r="AB617" s="76"/>
      <c r="AC617" s="76"/>
      <c r="AD617" s="76"/>
      <c r="AE617" s="76"/>
      <c r="AF617" s="76"/>
      <c r="AG617" s="76"/>
      <c r="AH617" s="76"/>
      <c r="AI617" s="76"/>
      <c r="AJ617" s="76"/>
      <c r="AK617" s="76"/>
      <c r="AL617" s="77"/>
      <c r="AM617" s="76"/>
      <c r="AN617" s="76"/>
    </row>
    <row r="618" spans="1:40" ht="15">
      <c r="A618" s="83" t="e">
        <f>IF(#REF!&lt;&gt;#REF!,1,A617+1)</f>
        <v>#REF!</v>
      </c>
      <c r="O618" s="79"/>
      <c r="P618" s="79"/>
      <c r="Q618" s="76"/>
      <c r="R618" s="77"/>
      <c r="S618" s="76"/>
      <c r="T618" s="77"/>
      <c r="U618" s="76"/>
      <c r="V618" s="77"/>
      <c r="W618" s="76"/>
      <c r="X618" s="77"/>
      <c r="Y618" s="76"/>
      <c r="Z618" s="76"/>
      <c r="AA618" s="76"/>
      <c r="AB618" s="76"/>
      <c r="AC618" s="76"/>
      <c r="AD618" s="76"/>
      <c r="AE618" s="76"/>
      <c r="AF618" s="76"/>
      <c r="AG618" s="76"/>
      <c r="AH618" s="76"/>
      <c r="AI618" s="76"/>
      <c r="AJ618" s="76"/>
      <c r="AK618" s="76"/>
      <c r="AL618" s="77"/>
      <c r="AM618" s="76"/>
      <c r="AN618" s="76"/>
    </row>
    <row r="619" spans="1:40" ht="15">
      <c r="A619" s="83" t="e">
        <f>IF(#REF!&lt;&gt;#REF!,1,A618+1)</f>
        <v>#REF!</v>
      </c>
      <c r="O619" s="79"/>
      <c r="P619" s="79"/>
      <c r="Q619" s="76"/>
      <c r="R619" s="77"/>
      <c r="S619" s="76"/>
      <c r="T619" s="77"/>
      <c r="U619" s="76"/>
      <c r="V619" s="77"/>
      <c r="W619" s="76"/>
      <c r="X619" s="77"/>
      <c r="Y619" s="76"/>
      <c r="Z619" s="76"/>
      <c r="AA619" s="76"/>
      <c r="AB619" s="76"/>
      <c r="AC619" s="76"/>
      <c r="AD619" s="76"/>
      <c r="AE619" s="76"/>
      <c r="AF619" s="76"/>
      <c r="AG619" s="76"/>
      <c r="AH619" s="76"/>
      <c r="AI619" s="76"/>
      <c r="AJ619" s="76"/>
      <c r="AK619" s="76"/>
      <c r="AL619" s="77"/>
      <c r="AM619" s="76"/>
      <c r="AN619" s="76"/>
    </row>
    <row r="620" spans="1:40" ht="15">
      <c r="A620" s="83" t="e">
        <f>IF(#REF!&lt;&gt;#REF!,1,A619+1)</f>
        <v>#REF!</v>
      </c>
      <c r="O620" s="79"/>
      <c r="P620" s="79"/>
      <c r="Q620" s="76"/>
      <c r="R620" s="77"/>
      <c r="S620" s="76"/>
      <c r="T620" s="77"/>
      <c r="U620" s="76"/>
      <c r="V620" s="77"/>
      <c r="W620" s="76"/>
      <c r="X620" s="77"/>
      <c r="Y620" s="76"/>
      <c r="Z620" s="76"/>
      <c r="AA620" s="76"/>
      <c r="AB620" s="76"/>
      <c r="AC620" s="76"/>
      <c r="AD620" s="76"/>
      <c r="AE620" s="76"/>
      <c r="AF620" s="76"/>
      <c r="AG620" s="76"/>
      <c r="AH620" s="76"/>
      <c r="AI620" s="76"/>
      <c r="AJ620" s="76"/>
      <c r="AK620" s="76"/>
      <c r="AL620" s="77"/>
      <c r="AM620" s="76"/>
      <c r="AN620" s="76"/>
    </row>
    <row r="621" spans="1:40" ht="15">
      <c r="A621" s="83" t="e">
        <f>IF(#REF!&lt;&gt;#REF!,1,A620+1)</f>
        <v>#REF!</v>
      </c>
      <c r="O621" s="79"/>
      <c r="P621" s="79"/>
      <c r="Q621" s="76"/>
      <c r="R621" s="77"/>
      <c r="S621" s="76"/>
      <c r="T621" s="77"/>
      <c r="U621" s="76"/>
      <c r="V621" s="77"/>
      <c r="W621" s="76"/>
      <c r="X621" s="77"/>
      <c r="Y621" s="76"/>
      <c r="Z621" s="76"/>
      <c r="AA621" s="76"/>
      <c r="AB621" s="76"/>
      <c r="AC621" s="76"/>
      <c r="AD621" s="76"/>
      <c r="AE621" s="76"/>
      <c r="AF621" s="76"/>
      <c r="AG621" s="76"/>
      <c r="AH621" s="76"/>
      <c r="AI621" s="76"/>
      <c r="AJ621" s="76"/>
      <c r="AK621" s="76"/>
      <c r="AL621" s="77"/>
      <c r="AM621" s="76"/>
      <c r="AN621" s="76"/>
    </row>
    <row r="622" spans="1:40" ht="15">
      <c r="A622" s="83" t="e">
        <f>IF(#REF!&lt;&gt;#REF!,1,A621+1)</f>
        <v>#REF!</v>
      </c>
      <c r="O622" s="79"/>
      <c r="P622" s="79"/>
      <c r="Q622" s="76"/>
      <c r="R622" s="77"/>
      <c r="S622" s="76"/>
      <c r="T622" s="77"/>
      <c r="U622" s="76"/>
      <c r="V622" s="77"/>
      <c r="W622" s="76"/>
      <c r="X622" s="77"/>
      <c r="Y622" s="76"/>
      <c r="Z622" s="76"/>
      <c r="AA622" s="76"/>
      <c r="AB622" s="76"/>
      <c r="AC622" s="76"/>
      <c r="AD622" s="76"/>
      <c r="AE622" s="76"/>
      <c r="AF622" s="76"/>
      <c r="AG622" s="76"/>
      <c r="AH622" s="76"/>
      <c r="AI622" s="76"/>
      <c r="AJ622" s="76"/>
      <c r="AK622" s="76"/>
      <c r="AL622" s="77"/>
      <c r="AM622" s="76"/>
      <c r="AN622" s="76"/>
    </row>
    <row r="623" spans="1:40" ht="15">
      <c r="A623" s="83" t="e">
        <f>IF(#REF!&lt;&gt;#REF!,1,A622+1)</f>
        <v>#REF!</v>
      </c>
      <c r="O623" s="79"/>
      <c r="P623" s="79"/>
      <c r="Q623" s="76"/>
      <c r="R623" s="77"/>
      <c r="S623" s="76"/>
      <c r="T623" s="77"/>
      <c r="U623" s="76"/>
      <c r="V623" s="77"/>
      <c r="W623" s="76"/>
      <c r="X623" s="77"/>
      <c r="Y623" s="76"/>
      <c r="Z623" s="76"/>
      <c r="AA623" s="76"/>
      <c r="AB623" s="76"/>
      <c r="AC623" s="76"/>
      <c r="AD623" s="76"/>
      <c r="AE623" s="76"/>
      <c r="AF623" s="76"/>
      <c r="AG623" s="76"/>
      <c r="AH623" s="76"/>
      <c r="AI623" s="76"/>
      <c r="AJ623" s="76"/>
      <c r="AK623" s="76"/>
      <c r="AL623" s="77"/>
      <c r="AM623" s="76"/>
      <c r="AN623" s="76"/>
    </row>
    <row r="624" spans="1:40" ht="15">
      <c r="A624" s="83" t="e">
        <f>IF(#REF!&lt;&gt;#REF!,1,A623+1)</f>
        <v>#REF!</v>
      </c>
      <c r="O624" s="79"/>
      <c r="P624" s="79"/>
      <c r="Q624" s="76"/>
      <c r="R624" s="77"/>
      <c r="S624" s="76"/>
      <c r="T624" s="77"/>
      <c r="U624" s="76"/>
      <c r="V624" s="77"/>
      <c r="W624" s="76"/>
      <c r="X624" s="77"/>
      <c r="Y624" s="76"/>
      <c r="Z624" s="76"/>
      <c r="AA624" s="76"/>
      <c r="AB624" s="76"/>
      <c r="AC624" s="76"/>
      <c r="AD624" s="76"/>
      <c r="AE624" s="76"/>
      <c r="AF624" s="76"/>
      <c r="AG624" s="76"/>
      <c r="AH624" s="76"/>
      <c r="AI624" s="76"/>
      <c r="AJ624" s="76"/>
      <c r="AK624" s="76"/>
      <c r="AL624" s="77"/>
      <c r="AM624" s="76"/>
      <c r="AN624" s="76"/>
    </row>
    <row r="625" spans="1:40" ht="15">
      <c r="A625" s="83" t="e">
        <f>IF(#REF!&lt;&gt;#REF!,1,A624+1)</f>
        <v>#REF!</v>
      </c>
      <c r="O625" s="79"/>
      <c r="P625" s="79"/>
      <c r="Q625" s="76"/>
      <c r="R625" s="77"/>
      <c r="S625" s="76"/>
      <c r="T625" s="77"/>
      <c r="U625" s="76"/>
      <c r="V625" s="77"/>
      <c r="W625" s="76"/>
      <c r="X625" s="77"/>
      <c r="Y625" s="76"/>
      <c r="Z625" s="76"/>
      <c r="AA625" s="76"/>
      <c r="AB625" s="76"/>
      <c r="AC625" s="76"/>
      <c r="AD625" s="76"/>
      <c r="AE625" s="76"/>
      <c r="AF625" s="76"/>
      <c r="AG625" s="76"/>
      <c r="AH625" s="76"/>
      <c r="AI625" s="76"/>
      <c r="AJ625" s="76"/>
      <c r="AK625" s="76"/>
      <c r="AL625" s="77"/>
      <c r="AM625" s="76"/>
      <c r="AN625" s="76"/>
    </row>
    <row r="626" spans="1:40" ht="15">
      <c r="A626" s="83" t="e">
        <f>IF(#REF!&lt;&gt;#REF!,1,A625+1)</f>
        <v>#REF!</v>
      </c>
      <c r="O626" s="79"/>
      <c r="P626" s="79"/>
      <c r="Q626" s="76"/>
      <c r="R626" s="77"/>
      <c r="S626" s="76"/>
      <c r="T626" s="77"/>
      <c r="U626" s="76"/>
      <c r="V626" s="77"/>
      <c r="W626" s="76"/>
      <c r="X626" s="77"/>
      <c r="Y626" s="76"/>
      <c r="Z626" s="76"/>
      <c r="AA626" s="76"/>
      <c r="AB626" s="76"/>
      <c r="AC626" s="76"/>
      <c r="AD626" s="76"/>
      <c r="AE626" s="76"/>
      <c r="AF626" s="76"/>
      <c r="AG626" s="76"/>
      <c r="AH626" s="76"/>
      <c r="AI626" s="76"/>
      <c r="AJ626" s="76"/>
      <c r="AK626" s="76"/>
      <c r="AL626" s="77"/>
      <c r="AM626" s="76"/>
      <c r="AN626" s="76"/>
    </row>
    <row r="627" spans="1:40" ht="15">
      <c r="A627" s="83" t="e">
        <f>IF(#REF!&lt;&gt;#REF!,1,A626+1)</f>
        <v>#REF!</v>
      </c>
      <c r="O627" s="79"/>
      <c r="P627" s="79"/>
      <c r="Q627" s="76"/>
      <c r="R627" s="77"/>
      <c r="S627" s="76"/>
      <c r="T627" s="77"/>
      <c r="U627" s="76"/>
      <c r="V627" s="77"/>
      <c r="W627" s="76"/>
      <c r="X627" s="77"/>
      <c r="Y627" s="76"/>
      <c r="Z627" s="76"/>
      <c r="AA627" s="76"/>
      <c r="AB627" s="76"/>
      <c r="AC627" s="76"/>
      <c r="AD627" s="76"/>
      <c r="AE627" s="76"/>
      <c r="AF627" s="76"/>
      <c r="AG627" s="76"/>
      <c r="AH627" s="76"/>
      <c r="AI627" s="76"/>
      <c r="AJ627" s="76"/>
      <c r="AK627" s="76"/>
      <c r="AL627" s="77"/>
      <c r="AM627" s="76"/>
      <c r="AN627" s="76"/>
    </row>
    <row r="628" spans="1:40" ht="15">
      <c r="A628" s="83" t="e">
        <f>IF(#REF!&lt;&gt;#REF!,1,A627+1)</f>
        <v>#REF!</v>
      </c>
      <c r="O628" s="79"/>
      <c r="P628" s="79"/>
      <c r="Q628" s="76"/>
      <c r="R628" s="77"/>
      <c r="S628" s="76"/>
      <c r="T628" s="77"/>
      <c r="U628" s="76"/>
      <c r="V628" s="77"/>
      <c r="W628" s="76"/>
      <c r="X628" s="77"/>
      <c r="Y628" s="76"/>
      <c r="Z628" s="76"/>
      <c r="AA628" s="76"/>
      <c r="AB628" s="76"/>
      <c r="AC628" s="76"/>
      <c r="AD628" s="76"/>
      <c r="AE628" s="76"/>
      <c r="AF628" s="76"/>
      <c r="AG628" s="76"/>
      <c r="AH628" s="76"/>
      <c r="AI628" s="76"/>
      <c r="AJ628" s="76"/>
      <c r="AK628" s="76"/>
      <c r="AL628" s="77"/>
      <c r="AM628" s="76"/>
      <c r="AN628" s="76"/>
    </row>
    <row r="629" spans="1:40" ht="15">
      <c r="A629" s="83" t="e">
        <f>IF(#REF!&lt;&gt;#REF!,1,A628+1)</f>
        <v>#REF!</v>
      </c>
      <c r="O629" s="79"/>
      <c r="P629" s="79"/>
      <c r="Q629" s="76"/>
      <c r="R629" s="77"/>
      <c r="S629" s="76"/>
      <c r="T629" s="77"/>
      <c r="U629" s="76"/>
      <c r="V629" s="77"/>
      <c r="W629" s="76"/>
      <c r="X629" s="77"/>
      <c r="Y629" s="76"/>
      <c r="Z629" s="76"/>
      <c r="AA629" s="76"/>
      <c r="AB629" s="76"/>
      <c r="AC629" s="76"/>
      <c r="AD629" s="76"/>
      <c r="AE629" s="76"/>
      <c r="AF629" s="76"/>
      <c r="AG629" s="76"/>
      <c r="AH629" s="76"/>
      <c r="AI629" s="76"/>
      <c r="AJ629" s="76"/>
      <c r="AK629" s="76"/>
      <c r="AL629" s="77"/>
      <c r="AM629" s="76"/>
      <c r="AN629" s="76"/>
    </row>
    <row r="630" spans="1:40" ht="15">
      <c r="A630" s="83" t="e">
        <f>IF(#REF!&lt;&gt;#REF!,1,A629+1)</f>
        <v>#REF!</v>
      </c>
      <c r="O630" s="79"/>
      <c r="P630" s="79"/>
      <c r="Q630" s="76"/>
      <c r="R630" s="77"/>
      <c r="S630" s="76"/>
      <c r="T630" s="77"/>
      <c r="U630" s="76"/>
      <c r="V630" s="77"/>
      <c r="W630" s="76"/>
      <c r="X630" s="77"/>
      <c r="Y630" s="76"/>
      <c r="Z630" s="76"/>
      <c r="AA630" s="76"/>
      <c r="AB630" s="76"/>
      <c r="AC630" s="76"/>
      <c r="AD630" s="76"/>
      <c r="AE630" s="76"/>
      <c r="AF630" s="76"/>
      <c r="AG630" s="76"/>
      <c r="AH630" s="76"/>
      <c r="AI630" s="76"/>
      <c r="AJ630" s="76"/>
      <c r="AK630" s="76"/>
      <c r="AL630" s="77"/>
      <c r="AM630" s="76"/>
      <c r="AN630" s="76"/>
    </row>
    <row r="631" spans="1:40" ht="15">
      <c r="A631" s="83" t="e">
        <f>IF(#REF!&lt;&gt;#REF!,1,A630+1)</f>
        <v>#REF!</v>
      </c>
      <c r="O631" s="79"/>
      <c r="P631" s="79"/>
      <c r="Q631" s="76"/>
      <c r="R631" s="77"/>
      <c r="S631" s="76"/>
      <c r="T631" s="77"/>
      <c r="U631" s="76"/>
      <c r="V631" s="77"/>
      <c r="W631" s="76"/>
      <c r="X631" s="77"/>
      <c r="Y631" s="76"/>
      <c r="Z631" s="76"/>
      <c r="AA631" s="76"/>
      <c r="AB631" s="76"/>
      <c r="AC631" s="76"/>
      <c r="AD631" s="76"/>
      <c r="AE631" s="76"/>
      <c r="AF631" s="76"/>
      <c r="AG631" s="76"/>
      <c r="AH631" s="76"/>
      <c r="AI631" s="76"/>
      <c r="AJ631" s="76"/>
      <c r="AK631" s="76"/>
      <c r="AL631" s="77"/>
      <c r="AM631" s="76"/>
      <c r="AN631" s="76"/>
    </row>
    <row r="632" spans="1:40" ht="15">
      <c r="A632" s="83" t="e">
        <f>IF(#REF!&lt;&gt;#REF!,1,A631+1)</f>
        <v>#REF!</v>
      </c>
      <c r="O632" s="79"/>
      <c r="P632" s="79"/>
      <c r="Q632" s="76"/>
      <c r="R632" s="77"/>
      <c r="S632" s="76"/>
      <c r="T632" s="77"/>
      <c r="U632" s="76"/>
      <c r="V632" s="77"/>
      <c r="W632" s="76"/>
      <c r="X632" s="77"/>
      <c r="Y632" s="76"/>
      <c r="Z632" s="76"/>
      <c r="AA632" s="76"/>
      <c r="AB632" s="76"/>
      <c r="AC632" s="76"/>
      <c r="AD632" s="76"/>
      <c r="AE632" s="76"/>
      <c r="AF632" s="76"/>
      <c r="AG632" s="76"/>
      <c r="AH632" s="76"/>
      <c r="AI632" s="76"/>
      <c r="AJ632" s="76"/>
      <c r="AK632" s="76"/>
      <c r="AL632" s="77"/>
      <c r="AM632" s="76"/>
      <c r="AN632" s="76"/>
    </row>
    <row r="633" spans="1:40" ht="15">
      <c r="A633" s="83" t="e">
        <f>IF(#REF!&lt;&gt;#REF!,1,A632+1)</f>
        <v>#REF!</v>
      </c>
      <c r="O633" s="79"/>
      <c r="P633" s="79"/>
      <c r="Q633" s="76"/>
      <c r="R633" s="77"/>
      <c r="S633" s="76"/>
      <c r="T633" s="77"/>
      <c r="U633" s="76"/>
      <c r="V633" s="77"/>
      <c r="W633" s="76"/>
      <c r="X633" s="77"/>
      <c r="Y633" s="76"/>
      <c r="Z633" s="76"/>
      <c r="AA633" s="76"/>
      <c r="AB633" s="76"/>
      <c r="AC633" s="76"/>
      <c r="AD633" s="76"/>
      <c r="AE633" s="76"/>
      <c r="AF633" s="76"/>
      <c r="AG633" s="76"/>
      <c r="AH633" s="76"/>
      <c r="AI633" s="76"/>
      <c r="AJ633" s="76"/>
      <c r="AK633" s="76"/>
      <c r="AL633" s="77"/>
      <c r="AM633" s="76"/>
      <c r="AN633" s="76"/>
    </row>
    <row r="634" spans="1:40" ht="15">
      <c r="A634" s="83" t="e">
        <f>IF(#REF!&lt;&gt;#REF!,1,A633+1)</f>
        <v>#REF!</v>
      </c>
      <c r="O634" s="79"/>
      <c r="P634" s="79"/>
      <c r="Q634" s="76"/>
      <c r="R634" s="77"/>
      <c r="S634" s="76"/>
      <c r="T634" s="77"/>
      <c r="U634" s="76"/>
      <c r="V634" s="77"/>
      <c r="W634" s="76"/>
      <c r="X634" s="77"/>
      <c r="Y634" s="76"/>
      <c r="Z634" s="76"/>
      <c r="AA634" s="76"/>
      <c r="AB634" s="76"/>
      <c r="AC634" s="76"/>
      <c r="AD634" s="76"/>
      <c r="AE634" s="76"/>
      <c r="AF634" s="76"/>
      <c r="AG634" s="76"/>
      <c r="AH634" s="76"/>
      <c r="AI634" s="76"/>
      <c r="AJ634" s="76"/>
      <c r="AK634" s="76"/>
      <c r="AL634" s="77"/>
      <c r="AM634" s="76"/>
      <c r="AN634" s="76"/>
    </row>
    <row r="635" spans="1:40" ht="15">
      <c r="A635" s="83" t="e">
        <f>IF(#REF!&lt;&gt;#REF!,1,A634+1)</f>
        <v>#REF!</v>
      </c>
      <c r="O635" s="79"/>
      <c r="P635" s="79"/>
      <c r="Q635" s="76"/>
      <c r="R635" s="77"/>
      <c r="S635" s="76"/>
      <c r="T635" s="77"/>
      <c r="U635" s="76"/>
      <c r="V635" s="77"/>
      <c r="W635" s="76"/>
      <c r="X635" s="77"/>
      <c r="Y635" s="76"/>
      <c r="Z635" s="76"/>
      <c r="AA635" s="76"/>
      <c r="AB635" s="76"/>
      <c r="AC635" s="76"/>
      <c r="AD635" s="76"/>
      <c r="AE635" s="76"/>
      <c r="AF635" s="76"/>
      <c r="AG635" s="76"/>
      <c r="AH635" s="76"/>
      <c r="AI635" s="76"/>
      <c r="AJ635" s="76"/>
      <c r="AK635" s="76"/>
      <c r="AL635" s="77"/>
      <c r="AM635" s="76"/>
      <c r="AN635" s="76"/>
    </row>
    <row r="636" spans="1:40" ht="15">
      <c r="A636" s="83" t="e">
        <f>IF(#REF!&lt;&gt;#REF!,1,A635+1)</f>
        <v>#REF!</v>
      </c>
      <c r="O636" s="79"/>
      <c r="P636" s="79"/>
      <c r="Q636" s="76"/>
      <c r="R636" s="77"/>
      <c r="S636" s="76"/>
      <c r="T636" s="77"/>
      <c r="U636" s="76"/>
      <c r="V636" s="77"/>
      <c r="W636" s="76"/>
      <c r="X636" s="77"/>
      <c r="Y636" s="76"/>
      <c r="Z636" s="76"/>
      <c r="AA636" s="76"/>
      <c r="AB636" s="76"/>
      <c r="AC636" s="76"/>
      <c r="AD636" s="76"/>
      <c r="AE636" s="76"/>
      <c r="AF636" s="76"/>
      <c r="AG636" s="76"/>
      <c r="AH636" s="76"/>
      <c r="AI636" s="76"/>
      <c r="AJ636" s="76"/>
      <c r="AK636" s="76"/>
      <c r="AL636" s="77"/>
      <c r="AM636" s="76"/>
      <c r="AN636" s="76"/>
    </row>
    <row r="637" spans="1:40" ht="15">
      <c r="A637" s="83" t="e">
        <f>IF(#REF!&lt;&gt;#REF!,1,A636+1)</f>
        <v>#REF!</v>
      </c>
      <c r="O637" s="79"/>
      <c r="P637" s="79"/>
      <c r="Q637" s="76"/>
      <c r="R637" s="77"/>
      <c r="S637" s="76"/>
      <c r="T637" s="77"/>
      <c r="U637" s="76"/>
      <c r="V637" s="77"/>
      <c r="W637" s="76"/>
      <c r="X637" s="77"/>
      <c r="Y637" s="76"/>
      <c r="Z637" s="76"/>
      <c r="AA637" s="76"/>
      <c r="AB637" s="76"/>
      <c r="AC637" s="76"/>
      <c r="AD637" s="76"/>
      <c r="AE637" s="76"/>
      <c r="AF637" s="76"/>
      <c r="AG637" s="76"/>
      <c r="AH637" s="76"/>
      <c r="AI637" s="76"/>
      <c r="AJ637" s="76"/>
      <c r="AK637" s="76"/>
      <c r="AL637" s="77"/>
      <c r="AM637" s="76"/>
      <c r="AN637" s="76"/>
    </row>
    <row r="638" spans="1:40" ht="15">
      <c r="A638" s="83" t="e">
        <f>IF(#REF!&lt;&gt;#REF!,1,A637+1)</f>
        <v>#REF!</v>
      </c>
      <c r="O638" s="79"/>
      <c r="P638" s="79"/>
      <c r="Q638" s="76"/>
      <c r="R638" s="77"/>
      <c r="S638" s="76"/>
      <c r="T638" s="77"/>
      <c r="U638" s="76"/>
      <c r="V638" s="77"/>
      <c r="W638" s="76"/>
      <c r="X638" s="77"/>
      <c r="Y638" s="76"/>
      <c r="Z638" s="76"/>
      <c r="AA638" s="76"/>
      <c r="AB638" s="76"/>
      <c r="AC638" s="76"/>
      <c r="AD638" s="76"/>
      <c r="AE638" s="76"/>
      <c r="AF638" s="76"/>
      <c r="AG638" s="76"/>
      <c r="AH638" s="76"/>
      <c r="AI638" s="76"/>
      <c r="AJ638" s="76"/>
      <c r="AK638" s="76"/>
      <c r="AL638" s="77"/>
      <c r="AM638" s="76"/>
      <c r="AN638" s="76"/>
    </row>
    <row r="639" spans="1:40" ht="15">
      <c r="A639" s="83" t="e">
        <f>IF(#REF!&lt;&gt;#REF!,1,A638+1)</f>
        <v>#REF!</v>
      </c>
      <c r="O639" s="79"/>
      <c r="P639" s="79"/>
      <c r="Q639" s="76"/>
      <c r="R639" s="77"/>
      <c r="S639" s="76"/>
      <c r="T639" s="77"/>
      <c r="U639" s="76"/>
      <c r="V639" s="77"/>
      <c r="W639" s="76"/>
      <c r="X639" s="77"/>
      <c r="Y639" s="76"/>
      <c r="Z639" s="76"/>
      <c r="AA639" s="76"/>
      <c r="AB639" s="76"/>
      <c r="AC639" s="76"/>
      <c r="AD639" s="76"/>
      <c r="AE639" s="76"/>
      <c r="AF639" s="76"/>
      <c r="AG639" s="76"/>
      <c r="AH639" s="76"/>
      <c r="AI639" s="76"/>
      <c r="AJ639" s="76"/>
      <c r="AK639" s="76"/>
      <c r="AL639" s="77"/>
      <c r="AM639" s="76"/>
      <c r="AN639" s="76"/>
    </row>
    <row r="640" spans="1:40" ht="15">
      <c r="A640" s="83" t="e">
        <f>IF(#REF!&lt;&gt;#REF!,1,A639+1)</f>
        <v>#REF!</v>
      </c>
      <c r="O640" s="79"/>
      <c r="P640" s="79"/>
      <c r="Q640" s="76"/>
      <c r="R640" s="77"/>
      <c r="S640" s="76"/>
      <c r="T640" s="77"/>
      <c r="U640" s="76"/>
      <c r="V640" s="77"/>
      <c r="W640" s="76"/>
      <c r="X640" s="77"/>
      <c r="Y640" s="76"/>
      <c r="Z640" s="76"/>
      <c r="AA640" s="76"/>
      <c r="AB640" s="76"/>
      <c r="AC640" s="76"/>
      <c r="AD640" s="76"/>
      <c r="AE640" s="76"/>
      <c r="AF640" s="76"/>
      <c r="AG640" s="76"/>
      <c r="AH640" s="76"/>
      <c r="AI640" s="76"/>
      <c r="AJ640" s="76"/>
      <c r="AK640" s="76"/>
      <c r="AL640" s="77"/>
      <c r="AM640" s="76"/>
      <c r="AN640" s="76"/>
    </row>
    <row r="641" spans="1:40" ht="15">
      <c r="A641" s="83" t="e">
        <f>IF(#REF!&lt;&gt;#REF!,1,A640+1)</f>
        <v>#REF!</v>
      </c>
      <c r="O641" s="79"/>
      <c r="P641" s="79"/>
      <c r="Q641" s="76"/>
      <c r="R641" s="77"/>
      <c r="S641" s="76"/>
      <c r="T641" s="77"/>
      <c r="U641" s="76"/>
      <c r="V641" s="77"/>
      <c r="W641" s="76"/>
      <c r="X641" s="77"/>
      <c r="Y641" s="76"/>
      <c r="Z641" s="76"/>
      <c r="AA641" s="76"/>
      <c r="AB641" s="76"/>
      <c r="AC641" s="76"/>
      <c r="AD641" s="76"/>
      <c r="AE641" s="76"/>
      <c r="AF641" s="76"/>
      <c r="AG641" s="76"/>
      <c r="AH641" s="76"/>
      <c r="AI641" s="76"/>
      <c r="AJ641" s="76"/>
      <c r="AK641" s="76"/>
      <c r="AL641" s="77"/>
      <c r="AM641" s="76"/>
      <c r="AN641" s="76"/>
    </row>
    <row r="642" spans="1:40" ht="15">
      <c r="A642" s="83" t="e">
        <f>IF(#REF!&lt;&gt;#REF!,1,A641+1)</f>
        <v>#REF!</v>
      </c>
      <c r="O642" s="79"/>
      <c r="P642" s="79"/>
      <c r="Q642" s="76"/>
      <c r="R642" s="77"/>
      <c r="S642" s="76"/>
      <c r="T642" s="77"/>
      <c r="U642" s="76"/>
      <c r="V642" s="77"/>
      <c r="W642" s="76"/>
      <c r="X642" s="77"/>
      <c r="Y642" s="76"/>
      <c r="Z642" s="76"/>
      <c r="AA642" s="76"/>
      <c r="AB642" s="76"/>
      <c r="AC642" s="76"/>
      <c r="AD642" s="76"/>
      <c r="AE642" s="76"/>
      <c r="AF642" s="76"/>
      <c r="AG642" s="76"/>
      <c r="AH642" s="76"/>
      <c r="AI642" s="76"/>
      <c r="AJ642" s="76"/>
      <c r="AK642" s="76"/>
      <c r="AL642" s="77"/>
      <c r="AM642" s="76"/>
      <c r="AN642" s="76"/>
    </row>
    <row r="643" spans="1:40" ht="15">
      <c r="A643" s="83" t="e">
        <f>IF(#REF!&lt;&gt;#REF!,1,A642+1)</f>
        <v>#REF!</v>
      </c>
      <c r="O643" s="79"/>
      <c r="P643" s="79"/>
      <c r="Q643" s="76"/>
      <c r="R643" s="77"/>
      <c r="S643" s="76"/>
      <c r="T643" s="77"/>
      <c r="U643" s="76"/>
      <c r="V643" s="77"/>
      <c r="W643" s="76"/>
      <c r="X643" s="77"/>
      <c r="Y643" s="76"/>
      <c r="Z643" s="76"/>
      <c r="AA643" s="76"/>
      <c r="AB643" s="76"/>
      <c r="AC643" s="76"/>
      <c r="AD643" s="76"/>
      <c r="AE643" s="76"/>
      <c r="AF643" s="76"/>
      <c r="AG643" s="76"/>
      <c r="AH643" s="76"/>
      <c r="AI643" s="76"/>
      <c r="AJ643" s="76"/>
      <c r="AK643" s="76"/>
      <c r="AL643" s="77"/>
      <c r="AM643" s="76"/>
      <c r="AN643" s="76"/>
    </row>
    <row r="644" spans="1:40" ht="15">
      <c r="A644" s="83" t="e">
        <f>IF(#REF!&lt;&gt;#REF!,1,A643+1)</f>
        <v>#REF!</v>
      </c>
      <c r="O644" s="79"/>
      <c r="P644" s="79"/>
      <c r="Q644" s="76"/>
      <c r="R644" s="77"/>
      <c r="S644" s="76"/>
      <c r="T644" s="77"/>
      <c r="U644" s="76"/>
      <c r="V644" s="77"/>
      <c r="W644" s="76"/>
      <c r="X644" s="77"/>
      <c r="Y644" s="76"/>
      <c r="Z644" s="76"/>
      <c r="AA644" s="76"/>
      <c r="AB644" s="76"/>
      <c r="AC644" s="76"/>
      <c r="AD644" s="76"/>
      <c r="AE644" s="76"/>
      <c r="AF644" s="76"/>
      <c r="AG644" s="76"/>
      <c r="AH644" s="76"/>
      <c r="AI644" s="76"/>
      <c r="AJ644" s="76"/>
      <c r="AK644" s="76"/>
      <c r="AL644" s="77"/>
      <c r="AM644" s="76"/>
      <c r="AN644" s="76"/>
    </row>
    <row r="645" spans="1:40" ht="15">
      <c r="A645" s="83" t="e">
        <f>IF(#REF!&lt;&gt;#REF!,1,A644+1)</f>
        <v>#REF!</v>
      </c>
      <c r="O645" s="79"/>
      <c r="P645" s="79"/>
      <c r="Q645" s="76"/>
      <c r="R645" s="77"/>
      <c r="S645" s="76"/>
      <c r="T645" s="77"/>
      <c r="U645" s="76"/>
      <c r="V645" s="77"/>
      <c r="W645" s="76"/>
      <c r="X645" s="77"/>
      <c r="Y645" s="76"/>
      <c r="Z645" s="76"/>
      <c r="AA645" s="76"/>
      <c r="AB645" s="76"/>
      <c r="AC645" s="76"/>
      <c r="AD645" s="76"/>
      <c r="AE645" s="76"/>
      <c r="AF645" s="76"/>
      <c r="AG645" s="76"/>
      <c r="AH645" s="76"/>
      <c r="AI645" s="76"/>
      <c r="AJ645" s="76"/>
      <c r="AK645" s="76"/>
      <c r="AL645" s="77"/>
      <c r="AM645" s="76"/>
      <c r="AN645" s="76"/>
    </row>
    <row r="646" spans="1:40" ht="15">
      <c r="A646" s="83" t="e">
        <f>IF(#REF!&lt;&gt;#REF!,1,A645+1)</f>
        <v>#REF!</v>
      </c>
      <c r="O646" s="79"/>
      <c r="P646" s="79"/>
      <c r="Q646" s="76"/>
      <c r="R646" s="77"/>
      <c r="S646" s="76"/>
      <c r="T646" s="77"/>
      <c r="U646" s="76"/>
      <c r="V646" s="77"/>
      <c r="W646" s="76"/>
      <c r="X646" s="77"/>
      <c r="Y646" s="76"/>
      <c r="Z646" s="76"/>
      <c r="AA646" s="76"/>
      <c r="AB646" s="76"/>
      <c r="AC646" s="76"/>
      <c r="AD646" s="76"/>
      <c r="AE646" s="76"/>
      <c r="AF646" s="76"/>
      <c r="AG646" s="76"/>
      <c r="AH646" s="76"/>
      <c r="AI646" s="76"/>
      <c r="AJ646" s="76"/>
      <c r="AK646" s="76"/>
      <c r="AL646" s="77"/>
      <c r="AM646" s="76"/>
      <c r="AN646" s="76"/>
    </row>
    <row r="647" spans="1:40" ht="15">
      <c r="A647" s="83" t="e">
        <f>IF(#REF!&lt;&gt;#REF!,1,A646+1)</f>
        <v>#REF!</v>
      </c>
      <c r="O647" s="79"/>
      <c r="P647" s="79"/>
      <c r="Q647" s="76"/>
      <c r="R647" s="77"/>
      <c r="S647" s="76"/>
      <c r="T647" s="77"/>
      <c r="U647" s="76"/>
      <c r="V647" s="77"/>
      <c r="W647" s="76"/>
      <c r="X647" s="77"/>
      <c r="Y647" s="76"/>
      <c r="Z647" s="76"/>
      <c r="AA647" s="76"/>
      <c r="AB647" s="76"/>
      <c r="AC647" s="76"/>
      <c r="AD647" s="76"/>
      <c r="AE647" s="76"/>
      <c r="AF647" s="76"/>
      <c r="AG647" s="76"/>
      <c r="AH647" s="76"/>
      <c r="AI647" s="76"/>
      <c r="AJ647" s="76"/>
      <c r="AK647" s="76"/>
      <c r="AL647" s="77"/>
      <c r="AM647" s="76"/>
      <c r="AN647" s="76"/>
    </row>
    <row r="648" spans="1:40" ht="15">
      <c r="A648" s="83" t="e">
        <f>IF(#REF!&lt;&gt;#REF!,1,A647+1)</f>
        <v>#REF!</v>
      </c>
      <c r="O648" s="79"/>
      <c r="P648" s="79"/>
      <c r="Q648" s="76"/>
      <c r="R648" s="77"/>
      <c r="S648" s="76"/>
      <c r="T648" s="77"/>
      <c r="U648" s="76"/>
      <c r="V648" s="77"/>
      <c r="W648" s="76"/>
      <c r="X648" s="77"/>
      <c r="Y648" s="76"/>
      <c r="Z648" s="76"/>
      <c r="AA648" s="76"/>
      <c r="AB648" s="76"/>
      <c r="AC648" s="76"/>
      <c r="AD648" s="76"/>
      <c r="AE648" s="76"/>
      <c r="AF648" s="76"/>
      <c r="AG648" s="76"/>
      <c r="AH648" s="76"/>
      <c r="AI648" s="76"/>
      <c r="AJ648" s="76"/>
      <c r="AK648" s="76"/>
      <c r="AL648" s="77"/>
      <c r="AM648" s="76"/>
      <c r="AN648" s="76"/>
    </row>
    <row r="649" spans="1:40" ht="15">
      <c r="A649" s="83" t="e">
        <f>IF(#REF!&lt;&gt;#REF!,1,A648+1)</f>
        <v>#REF!</v>
      </c>
      <c r="O649" s="79"/>
      <c r="P649" s="79"/>
      <c r="Q649" s="76"/>
      <c r="R649" s="77"/>
      <c r="S649" s="76"/>
      <c r="T649" s="77"/>
      <c r="U649" s="76"/>
      <c r="V649" s="77"/>
      <c r="W649" s="76"/>
      <c r="X649" s="77"/>
      <c r="Y649" s="76"/>
      <c r="Z649" s="76"/>
      <c r="AA649" s="76"/>
      <c r="AB649" s="76"/>
      <c r="AC649" s="76"/>
      <c r="AD649" s="76"/>
      <c r="AE649" s="76"/>
      <c r="AF649" s="76"/>
      <c r="AG649" s="76"/>
      <c r="AH649" s="76"/>
      <c r="AI649" s="76"/>
      <c r="AJ649" s="76"/>
      <c r="AK649" s="76"/>
      <c r="AL649" s="77"/>
      <c r="AM649" s="76"/>
      <c r="AN649" s="76"/>
    </row>
    <row r="650" spans="1:40" ht="15">
      <c r="A650" s="83" t="e">
        <f>IF(#REF!&lt;&gt;#REF!,1,A649+1)</f>
        <v>#REF!</v>
      </c>
      <c r="O650" s="79"/>
      <c r="P650" s="79"/>
      <c r="Q650" s="76"/>
      <c r="R650" s="77"/>
      <c r="S650" s="76"/>
      <c r="T650" s="77"/>
      <c r="U650" s="76"/>
      <c r="V650" s="77"/>
      <c r="W650" s="76"/>
      <c r="X650" s="77"/>
      <c r="Y650" s="76"/>
      <c r="Z650" s="76"/>
      <c r="AA650" s="76"/>
      <c r="AB650" s="76"/>
      <c r="AC650" s="76"/>
      <c r="AD650" s="76"/>
      <c r="AE650" s="76"/>
      <c r="AF650" s="76"/>
      <c r="AG650" s="76"/>
      <c r="AH650" s="76"/>
      <c r="AI650" s="76"/>
      <c r="AJ650" s="76"/>
      <c r="AK650" s="76"/>
      <c r="AL650" s="77"/>
      <c r="AM650" s="76"/>
      <c r="AN650" s="76"/>
    </row>
    <row r="651" spans="1:40" ht="15">
      <c r="A651" s="83" t="e">
        <f>IF(#REF!&lt;&gt;#REF!,1,A650+1)</f>
        <v>#REF!</v>
      </c>
      <c r="O651" s="79"/>
      <c r="P651" s="79"/>
      <c r="Q651" s="76"/>
      <c r="R651" s="77"/>
      <c r="S651" s="76"/>
      <c r="T651" s="77"/>
      <c r="U651" s="76"/>
      <c r="V651" s="77"/>
      <c r="W651" s="76"/>
      <c r="X651" s="77"/>
      <c r="Y651" s="76"/>
      <c r="Z651" s="76"/>
      <c r="AA651" s="76"/>
      <c r="AB651" s="76"/>
      <c r="AC651" s="76"/>
      <c r="AD651" s="76"/>
      <c r="AE651" s="76"/>
      <c r="AF651" s="76"/>
      <c r="AG651" s="76"/>
      <c r="AH651" s="76"/>
      <c r="AI651" s="76"/>
      <c r="AJ651" s="76"/>
      <c r="AK651" s="76"/>
      <c r="AL651" s="77"/>
      <c r="AM651" s="76"/>
      <c r="AN651" s="76"/>
    </row>
    <row r="652" spans="1:40" ht="15">
      <c r="A652" s="83" t="e">
        <f>IF(#REF!&lt;&gt;#REF!,1,A651+1)</f>
        <v>#REF!</v>
      </c>
      <c r="O652" s="79"/>
      <c r="P652" s="79"/>
      <c r="Q652" s="76"/>
      <c r="R652" s="77"/>
      <c r="S652" s="76"/>
      <c r="T652" s="77"/>
      <c r="U652" s="76"/>
      <c r="V652" s="77"/>
      <c r="W652" s="76"/>
      <c r="X652" s="77"/>
      <c r="Y652" s="76"/>
      <c r="Z652" s="76"/>
      <c r="AA652" s="76"/>
      <c r="AB652" s="76"/>
      <c r="AC652" s="76"/>
      <c r="AD652" s="76"/>
      <c r="AE652" s="76"/>
      <c r="AF652" s="76"/>
      <c r="AG652" s="76"/>
      <c r="AH652" s="76"/>
      <c r="AI652" s="76"/>
      <c r="AJ652" s="76"/>
      <c r="AK652" s="76"/>
      <c r="AL652" s="77"/>
      <c r="AM652" s="76"/>
      <c r="AN652" s="76"/>
    </row>
    <row r="653" spans="1:40" ht="15">
      <c r="A653" s="83" t="e">
        <f>IF(#REF!&lt;&gt;#REF!,1,A652+1)</f>
        <v>#REF!</v>
      </c>
      <c r="O653" s="79"/>
      <c r="P653" s="79"/>
      <c r="Q653" s="76"/>
      <c r="R653" s="77"/>
      <c r="S653" s="76"/>
      <c r="T653" s="77"/>
      <c r="U653" s="76"/>
      <c r="V653" s="77"/>
      <c r="W653" s="76"/>
      <c r="X653" s="77"/>
      <c r="Y653" s="76"/>
      <c r="Z653" s="76"/>
      <c r="AA653" s="76"/>
      <c r="AB653" s="76"/>
      <c r="AC653" s="76"/>
      <c r="AD653" s="76"/>
      <c r="AE653" s="76"/>
      <c r="AF653" s="76"/>
      <c r="AG653" s="76"/>
      <c r="AH653" s="76"/>
      <c r="AI653" s="76"/>
      <c r="AJ653" s="76"/>
      <c r="AK653" s="76"/>
      <c r="AL653" s="77"/>
      <c r="AM653" s="76"/>
      <c r="AN653" s="76"/>
    </row>
    <row r="654" spans="1:40" ht="15">
      <c r="A654" s="83" t="e">
        <f>IF(#REF!&lt;&gt;#REF!,1,A653+1)</f>
        <v>#REF!</v>
      </c>
      <c r="O654" s="79"/>
      <c r="P654" s="79"/>
      <c r="Q654" s="76"/>
      <c r="R654" s="77"/>
      <c r="S654" s="76"/>
      <c r="T654" s="77"/>
      <c r="U654" s="76"/>
      <c r="V654" s="77"/>
      <c r="W654" s="76"/>
      <c r="X654" s="77"/>
      <c r="Y654" s="76"/>
      <c r="Z654" s="76"/>
      <c r="AA654" s="76"/>
      <c r="AB654" s="76"/>
      <c r="AC654" s="76"/>
      <c r="AD654" s="76"/>
      <c r="AE654" s="76"/>
      <c r="AF654" s="76"/>
      <c r="AG654" s="76"/>
      <c r="AH654" s="76"/>
      <c r="AI654" s="76"/>
      <c r="AJ654" s="76"/>
      <c r="AK654" s="76"/>
      <c r="AL654" s="77"/>
      <c r="AM654" s="76"/>
      <c r="AN654" s="76"/>
    </row>
    <row r="655" spans="1:40" ht="15">
      <c r="A655" s="83" t="e">
        <f>IF(#REF!&lt;&gt;#REF!,1,A654+1)</f>
        <v>#REF!</v>
      </c>
      <c r="O655" s="79"/>
      <c r="P655" s="79"/>
      <c r="Q655" s="76"/>
      <c r="R655" s="77"/>
      <c r="S655" s="76"/>
      <c r="T655" s="77"/>
      <c r="U655" s="76"/>
      <c r="V655" s="77"/>
      <c r="W655" s="76"/>
      <c r="X655" s="77"/>
      <c r="Y655" s="76"/>
      <c r="Z655" s="76"/>
      <c r="AA655" s="76"/>
      <c r="AB655" s="76"/>
      <c r="AC655" s="76"/>
      <c r="AD655" s="76"/>
      <c r="AE655" s="76"/>
      <c r="AF655" s="76"/>
      <c r="AG655" s="76"/>
      <c r="AH655" s="76"/>
      <c r="AI655" s="76"/>
      <c r="AJ655" s="76"/>
      <c r="AK655" s="76"/>
      <c r="AL655" s="77"/>
      <c r="AM655" s="76"/>
      <c r="AN655" s="76"/>
    </row>
    <row r="656" spans="1:40" ht="15">
      <c r="A656" s="83" t="e">
        <f>IF(#REF!&lt;&gt;#REF!,1,A655+1)</f>
        <v>#REF!</v>
      </c>
      <c r="O656" s="79"/>
      <c r="P656" s="79"/>
      <c r="Q656" s="76"/>
      <c r="R656" s="77"/>
      <c r="S656" s="76"/>
      <c r="T656" s="77"/>
      <c r="U656" s="76"/>
      <c r="V656" s="77"/>
      <c r="W656" s="76"/>
      <c r="X656" s="77"/>
      <c r="Y656" s="76"/>
      <c r="Z656" s="76"/>
      <c r="AA656" s="76"/>
      <c r="AB656" s="76"/>
      <c r="AC656" s="76"/>
      <c r="AD656" s="76"/>
      <c r="AE656" s="76"/>
      <c r="AF656" s="76"/>
      <c r="AG656" s="76"/>
      <c r="AH656" s="76"/>
      <c r="AI656" s="76"/>
      <c r="AJ656" s="76"/>
      <c r="AK656" s="76"/>
      <c r="AL656" s="77"/>
      <c r="AM656" s="76"/>
      <c r="AN656" s="76"/>
    </row>
    <row r="657" spans="1:40" ht="15">
      <c r="A657" s="83" t="e">
        <f>IF(#REF!&lt;&gt;#REF!,1,A656+1)</f>
        <v>#REF!</v>
      </c>
      <c r="O657" s="79"/>
      <c r="P657" s="79"/>
      <c r="Q657" s="76"/>
      <c r="R657" s="77"/>
      <c r="S657" s="76"/>
      <c r="T657" s="77"/>
      <c r="U657" s="76"/>
      <c r="V657" s="77"/>
      <c r="W657" s="76"/>
      <c r="X657" s="77"/>
      <c r="Y657" s="76"/>
      <c r="Z657" s="76"/>
      <c r="AA657" s="76"/>
      <c r="AB657" s="76"/>
      <c r="AC657" s="76"/>
      <c r="AD657" s="76"/>
      <c r="AE657" s="76"/>
      <c r="AF657" s="76"/>
      <c r="AG657" s="76"/>
      <c r="AH657" s="76"/>
      <c r="AI657" s="76"/>
      <c r="AJ657" s="76"/>
      <c r="AK657" s="76"/>
      <c r="AL657" s="77"/>
      <c r="AM657" s="76"/>
      <c r="AN657" s="76"/>
    </row>
    <row r="658" spans="1:40" ht="15">
      <c r="A658" s="83" t="e">
        <f>IF(#REF!&lt;&gt;#REF!,1,A657+1)</f>
        <v>#REF!</v>
      </c>
      <c r="O658" s="79"/>
      <c r="P658" s="79"/>
      <c r="Q658" s="76"/>
      <c r="R658" s="77"/>
      <c r="S658" s="76"/>
      <c r="T658" s="77"/>
      <c r="U658" s="76"/>
      <c r="V658" s="77"/>
      <c r="W658" s="76"/>
      <c r="X658" s="77"/>
      <c r="Y658" s="76"/>
      <c r="Z658" s="76"/>
      <c r="AA658" s="76"/>
      <c r="AB658" s="76"/>
      <c r="AC658" s="76"/>
      <c r="AD658" s="76"/>
      <c r="AE658" s="76"/>
      <c r="AF658" s="76"/>
      <c r="AG658" s="76"/>
      <c r="AH658" s="76"/>
      <c r="AI658" s="76"/>
      <c r="AJ658" s="76"/>
      <c r="AK658" s="76"/>
      <c r="AL658" s="77"/>
      <c r="AM658" s="76"/>
      <c r="AN658" s="76"/>
    </row>
    <row r="659" spans="1:40" ht="15">
      <c r="A659" s="83" t="e">
        <f>IF(#REF!&lt;&gt;#REF!,1,A658+1)</f>
        <v>#REF!</v>
      </c>
      <c r="O659" s="79"/>
      <c r="P659" s="79"/>
      <c r="Q659" s="76"/>
      <c r="R659" s="77"/>
      <c r="S659" s="76"/>
      <c r="T659" s="77"/>
      <c r="U659" s="76"/>
      <c r="V659" s="77"/>
      <c r="W659" s="76"/>
      <c r="X659" s="77"/>
      <c r="Y659" s="76"/>
      <c r="Z659" s="76"/>
      <c r="AA659" s="76"/>
      <c r="AB659" s="76"/>
      <c r="AC659" s="76"/>
      <c r="AD659" s="76"/>
      <c r="AE659" s="76"/>
      <c r="AF659" s="76"/>
      <c r="AG659" s="76"/>
      <c r="AH659" s="76"/>
      <c r="AI659" s="76"/>
      <c r="AJ659" s="76"/>
      <c r="AK659" s="76"/>
      <c r="AL659" s="77"/>
      <c r="AM659" s="76"/>
      <c r="AN659" s="76"/>
    </row>
    <row r="660" spans="1:40" ht="15">
      <c r="A660" s="83" t="e">
        <f>IF(#REF!&lt;&gt;#REF!,1,A659+1)</f>
        <v>#REF!</v>
      </c>
      <c r="O660" s="79"/>
      <c r="P660" s="79"/>
      <c r="Q660" s="76"/>
      <c r="R660" s="77"/>
      <c r="S660" s="76"/>
      <c r="T660" s="77"/>
      <c r="U660" s="76"/>
      <c r="V660" s="77"/>
      <c r="W660" s="76"/>
      <c r="X660" s="77"/>
      <c r="Y660" s="76"/>
      <c r="Z660" s="76"/>
      <c r="AA660" s="76"/>
      <c r="AB660" s="76"/>
      <c r="AC660" s="76"/>
      <c r="AD660" s="76"/>
      <c r="AE660" s="76"/>
      <c r="AF660" s="76"/>
      <c r="AG660" s="76"/>
      <c r="AH660" s="76"/>
      <c r="AI660" s="76"/>
      <c r="AJ660" s="76"/>
      <c r="AK660" s="76"/>
      <c r="AL660" s="77"/>
      <c r="AM660" s="76"/>
      <c r="AN660" s="76"/>
    </row>
    <row r="661" spans="1:40" ht="15">
      <c r="A661" s="83" t="e">
        <f>IF(#REF!&lt;&gt;#REF!,1,A660+1)</f>
        <v>#REF!</v>
      </c>
      <c r="O661" s="79"/>
      <c r="P661" s="79"/>
      <c r="Q661" s="76"/>
      <c r="R661" s="77"/>
      <c r="S661" s="76"/>
      <c r="T661" s="77"/>
      <c r="U661" s="76"/>
      <c r="V661" s="77"/>
      <c r="W661" s="76"/>
      <c r="X661" s="77"/>
      <c r="Y661" s="76"/>
      <c r="Z661" s="76"/>
      <c r="AA661" s="76"/>
      <c r="AB661" s="76"/>
      <c r="AC661" s="76"/>
      <c r="AD661" s="76"/>
      <c r="AE661" s="76"/>
      <c r="AF661" s="76"/>
      <c r="AG661" s="76"/>
      <c r="AH661" s="76"/>
      <c r="AI661" s="76"/>
      <c r="AJ661" s="76"/>
      <c r="AK661" s="76"/>
      <c r="AL661" s="77"/>
      <c r="AM661" s="76"/>
      <c r="AN661" s="76"/>
    </row>
    <row r="662" spans="1:40" ht="15">
      <c r="A662" s="83" t="e">
        <f>IF(#REF!&lt;&gt;#REF!,1,A661+1)</f>
        <v>#REF!</v>
      </c>
      <c r="O662" s="79"/>
      <c r="P662" s="79"/>
      <c r="Q662" s="76"/>
      <c r="R662" s="77"/>
      <c r="S662" s="76"/>
      <c r="T662" s="77"/>
      <c r="U662" s="76"/>
      <c r="V662" s="77"/>
      <c r="W662" s="76"/>
      <c r="X662" s="77"/>
      <c r="Y662" s="76"/>
      <c r="Z662" s="76"/>
      <c r="AA662" s="76"/>
      <c r="AB662" s="76"/>
      <c r="AC662" s="76"/>
      <c r="AD662" s="76"/>
      <c r="AE662" s="76"/>
      <c r="AF662" s="76"/>
      <c r="AG662" s="76"/>
      <c r="AH662" s="76"/>
      <c r="AI662" s="76"/>
      <c r="AJ662" s="76"/>
      <c r="AK662" s="76"/>
      <c r="AL662" s="77"/>
      <c r="AM662" s="76"/>
      <c r="AN662" s="76"/>
    </row>
    <row r="663" spans="1:40" ht="15">
      <c r="A663" s="83" t="e">
        <f>IF(#REF!&lt;&gt;#REF!,1,A662+1)</f>
        <v>#REF!</v>
      </c>
      <c r="O663" s="79"/>
      <c r="P663" s="79"/>
      <c r="Q663" s="76"/>
      <c r="R663" s="77"/>
      <c r="S663" s="76"/>
      <c r="T663" s="77"/>
      <c r="U663" s="76"/>
      <c r="V663" s="77"/>
      <c r="W663" s="76"/>
      <c r="X663" s="77"/>
      <c r="Y663" s="76"/>
      <c r="Z663" s="76"/>
      <c r="AA663" s="76"/>
      <c r="AB663" s="76"/>
      <c r="AC663" s="76"/>
      <c r="AD663" s="76"/>
      <c r="AE663" s="76"/>
      <c r="AF663" s="76"/>
      <c r="AG663" s="76"/>
      <c r="AH663" s="76"/>
      <c r="AI663" s="76"/>
      <c r="AJ663" s="76"/>
      <c r="AK663" s="76"/>
      <c r="AL663" s="77"/>
      <c r="AM663" s="76"/>
      <c r="AN663" s="76"/>
    </row>
    <row r="664" spans="1:40" ht="15">
      <c r="A664" s="83" t="e">
        <f>IF(#REF!&lt;&gt;#REF!,1,A663+1)</f>
        <v>#REF!</v>
      </c>
      <c r="O664" s="79"/>
      <c r="P664" s="79"/>
      <c r="Q664" s="76"/>
      <c r="R664" s="77"/>
      <c r="S664" s="76"/>
      <c r="T664" s="77"/>
      <c r="U664" s="76"/>
      <c r="V664" s="77"/>
      <c r="W664" s="76"/>
      <c r="X664" s="77"/>
      <c r="Y664" s="76"/>
      <c r="Z664" s="76"/>
      <c r="AA664" s="76"/>
      <c r="AB664" s="76"/>
      <c r="AC664" s="76"/>
      <c r="AD664" s="76"/>
      <c r="AE664" s="76"/>
      <c r="AF664" s="76"/>
      <c r="AG664" s="76"/>
      <c r="AH664" s="76"/>
      <c r="AI664" s="76"/>
      <c r="AJ664" s="76"/>
      <c r="AK664" s="76"/>
      <c r="AL664" s="77"/>
      <c r="AM664" s="76"/>
      <c r="AN664" s="76"/>
    </row>
    <row r="665" spans="1:40" ht="15">
      <c r="A665" s="83" t="e">
        <f>IF(#REF!&lt;&gt;#REF!,1,A664+1)</f>
        <v>#REF!</v>
      </c>
      <c r="O665" s="79"/>
      <c r="P665" s="79"/>
      <c r="Q665" s="76"/>
      <c r="R665" s="77"/>
      <c r="S665" s="76"/>
      <c r="T665" s="77"/>
      <c r="U665" s="76"/>
      <c r="V665" s="77"/>
      <c r="W665" s="76"/>
      <c r="X665" s="77"/>
      <c r="Y665" s="76"/>
      <c r="Z665" s="76"/>
      <c r="AA665" s="76"/>
      <c r="AB665" s="76"/>
      <c r="AC665" s="76"/>
      <c r="AD665" s="76"/>
      <c r="AE665" s="76"/>
      <c r="AF665" s="76"/>
      <c r="AG665" s="76"/>
      <c r="AH665" s="76"/>
      <c r="AI665" s="76"/>
      <c r="AJ665" s="76"/>
      <c r="AK665" s="76"/>
      <c r="AL665" s="77"/>
      <c r="AM665" s="76"/>
      <c r="AN665" s="76"/>
    </row>
    <row r="666" spans="1:40" ht="15">
      <c r="A666" s="83" t="e">
        <f>IF(#REF!&lt;&gt;#REF!,1,A665+1)</f>
        <v>#REF!</v>
      </c>
      <c r="O666" s="79"/>
      <c r="P666" s="79"/>
      <c r="Q666" s="76"/>
      <c r="R666" s="77"/>
      <c r="S666" s="76"/>
      <c r="T666" s="77"/>
      <c r="U666" s="76"/>
      <c r="V666" s="77"/>
      <c r="W666" s="76"/>
      <c r="X666" s="77"/>
      <c r="Y666" s="76"/>
      <c r="Z666" s="76"/>
      <c r="AA666" s="76"/>
      <c r="AB666" s="76"/>
      <c r="AC666" s="76"/>
      <c r="AD666" s="76"/>
      <c r="AE666" s="76"/>
      <c r="AF666" s="76"/>
      <c r="AG666" s="76"/>
      <c r="AH666" s="76"/>
      <c r="AI666" s="76"/>
      <c r="AJ666" s="76"/>
      <c r="AK666" s="76"/>
      <c r="AL666" s="77"/>
      <c r="AM666" s="76"/>
      <c r="AN666" s="76"/>
    </row>
    <row r="667" spans="1:40" ht="15">
      <c r="A667" s="83" t="e">
        <f>IF(#REF!&lt;&gt;#REF!,1,A666+1)</f>
        <v>#REF!</v>
      </c>
      <c r="O667" s="79"/>
      <c r="P667" s="79"/>
      <c r="Q667" s="76"/>
      <c r="R667" s="77"/>
      <c r="S667" s="76"/>
      <c r="T667" s="77"/>
      <c r="U667" s="76"/>
      <c r="V667" s="77"/>
      <c r="W667" s="76"/>
      <c r="X667" s="77"/>
      <c r="Y667" s="76"/>
      <c r="Z667" s="76"/>
      <c r="AA667" s="76"/>
      <c r="AB667" s="76"/>
      <c r="AC667" s="76"/>
      <c r="AD667" s="76"/>
      <c r="AE667" s="76"/>
      <c r="AF667" s="76"/>
      <c r="AG667" s="76"/>
      <c r="AH667" s="76"/>
      <c r="AI667" s="76"/>
      <c r="AJ667" s="76"/>
      <c r="AK667" s="76"/>
      <c r="AL667" s="77"/>
      <c r="AM667" s="76"/>
      <c r="AN667" s="76"/>
    </row>
    <row r="668" spans="1:40" ht="15">
      <c r="A668" s="83" t="e">
        <f>IF(#REF!&lt;&gt;#REF!,1,A667+1)</f>
        <v>#REF!</v>
      </c>
      <c r="O668" s="79"/>
      <c r="P668" s="79"/>
      <c r="Q668" s="76"/>
      <c r="R668" s="77"/>
      <c r="S668" s="76"/>
      <c r="T668" s="77"/>
      <c r="U668" s="76"/>
      <c r="V668" s="77"/>
      <c r="W668" s="76"/>
      <c r="X668" s="77"/>
      <c r="Y668" s="76"/>
      <c r="Z668" s="76"/>
      <c r="AA668" s="76"/>
      <c r="AB668" s="76"/>
      <c r="AC668" s="76"/>
      <c r="AD668" s="76"/>
      <c r="AE668" s="76"/>
      <c r="AF668" s="76"/>
      <c r="AG668" s="76"/>
      <c r="AH668" s="76"/>
      <c r="AI668" s="76"/>
      <c r="AJ668" s="76"/>
      <c r="AK668" s="76"/>
      <c r="AL668" s="77"/>
      <c r="AM668" s="76"/>
      <c r="AN668" s="76"/>
    </row>
    <row r="669" spans="1:40" ht="15">
      <c r="A669" s="83" t="e">
        <f>IF(#REF!&lt;&gt;#REF!,1,A668+1)</f>
        <v>#REF!</v>
      </c>
      <c r="O669" s="79"/>
      <c r="P669" s="79"/>
      <c r="Q669" s="76"/>
      <c r="R669" s="77"/>
      <c r="S669" s="76"/>
      <c r="T669" s="77"/>
      <c r="U669" s="76"/>
      <c r="V669" s="77"/>
      <c r="W669" s="76"/>
      <c r="X669" s="77"/>
      <c r="Y669" s="76"/>
      <c r="Z669" s="76"/>
      <c r="AA669" s="76"/>
      <c r="AB669" s="76"/>
      <c r="AC669" s="76"/>
      <c r="AD669" s="76"/>
      <c r="AE669" s="76"/>
      <c r="AF669" s="76"/>
      <c r="AG669" s="76"/>
      <c r="AH669" s="76"/>
      <c r="AI669" s="76"/>
      <c r="AJ669" s="76"/>
      <c r="AK669" s="76"/>
      <c r="AL669" s="77"/>
      <c r="AM669" s="76"/>
      <c r="AN669" s="76"/>
    </row>
    <row r="670" spans="1:40" ht="15">
      <c r="A670" s="83" t="e">
        <f>IF(#REF!&lt;&gt;#REF!,1,A669+1)</f>
        <v>#REF!</v>
      </c>
      <c r="O670" s="79"/>
      <c r="P670" s="79"/>
      <c r="Q670" s="76"/>
      <c r="R670" s="77"/>
      <c r="S670" s="76"/>
      <c r="T670" s="77"/>
      <c r="U670" s="76"/>
      <c r="V670" s="77"/>
      <c r="W670" s="76"/>
      <c r="X670" s="77"/>
      <c r="Y670" s="76"/>
      <c r="Z670" s="76"/>
      <c r="AA670" s="76"/>
      <c r="AB670" s="76"/>
      <c r="AC670" s="76"/>
      <c r="AD670" s="76"/>
      <c r="AE670" s="76"/>
      <c r="AF670" s="76"/>
      <c r="AG670" s="76"/>
      <c r="AH670" s="76"/>
      <c r="AI670" s="76"/>
      <c r="AJ670" s="76"/>
      <c r="AK670" s="76"/>
      <c r="AL670" s="77"/>
      <c r="AM670" s="76"/>
      <c r="AN670" s="76"/>
    </row>
    <row r="671" spans="1:40" ht="15">
      <c r="A671" s="83" t="e">
        <f>IF(#REF!&lt;&gt;#REF!,1,A670+1)</f>
        <v>#REF!</v>
      </c>
      <c r="O671" s="79"/>
      <c r="P671" s="79"/>
      <c r="Q671" s="76"/>
      <c r="R671" s="77"/>
      <c r="S671" s="76"/>
      <c r="T671" s="77"/>
      <c r="U671" s="76"/>
      <c r="V671" s="77"/>
      <c r="W671" s="76"/>
      <c r="X671" s="77"/>
      <c r="Y671" s="76"/>
      <c r="Z671" s="76"/>
      <c r="AA671" s="76"/>
      <c r="AB671" s="76"/>
      <c r="AC671" s="76"/>
      <c r="AD671" s="76"/>
      <c r="AE671" s="76"/>
      <c r="AF671" s="76"/>
      <c r="AG671" s="76"/>
      <c r="AH671" s="76"/>
      <c r="AI671" s="76"/>
      <c r="AJ671" s="76"/>
      <c r="AK671" s="76"/>
      <c r="AL671" s="77"/>
      <c r="AM671" s="76"/>
      <c r="AN671" s="76"/>
    </row>
    <row r="672" spans="1:40" ht="15">
      <c r="A672" s="83" t="e">
        <f>IF(#REF!&lt;&gt;#REF!,1,A671+1)</f>
        <v>#REF!</v>
      </c>
      <c r="O672" s="79"/>
      <c r="P672" s="79"/>
      <c r="Q672" s="76"/>
      <c r="R672" s="77"/>
      <c r="S672" s="76"/>
      <c r="T672" s="77"/>
      <c r="U672" s="76"/>
      <c r="V672" s="77"/>
      <c r="W672" s="76"/>
      <c r="X672" s="77"/>
      <c r="Y672" s="76"/>
      <c r="Z672" s="76"/>
      <c r="AA672" s="76"/>
      <c r="AB672" s="76"/>
      <c r="AC672" s="76"/>
      <c r="AD672" s="76"/>
      <c r="AE672" s="76"/>
      <c r="AF672" s="76"/>
      <c r="AG672" s="76"/>
      <c r="AH672" s="76"/>
      <c r="AI672" s="76"/>
      <c r="AJ672" s="76"/>
      <c r="AK672" s="76"/>
      <c r="AL672" s="77"/>
      <c r="AM672" s="76"/>
      <c r="AN672" s="76"/>
    </row>
    <row r="673" spans="1:40" ht="15">
      <c r="A673" s="83" t="e">
        <f>IF(#REF!&lt;&gt;#REF!,1,A672+1)</f>
        <v>#REF!</v>
      </c>
      <c r="O673" s="79"/>
      <c r="P673" s="79"/>
      <c r="Q673" s="76"/>
      <c r="R673" s="77"/>
      <c r="S673" s="76"/>
      <c r="T673" s="77"/>
      <c r="U673" s="76"/>
      <c r="V673" s="77"/>
      <c r="W673" s="76"/>
      <c r="X673" s="77"/>
      <c r="Y673" s="76"/>
      <c r="Z673" s="76"/>
      <c r="AA673" s="76"/>
      <c r="AB673" s="76"/>
      <c r="AC673" s="76"/>
      <c r="AD673" s="76"/>
      <c r="AE673" s="76"/>
      <c r="AF673" s="76"/>
      <c r="AG673" s="76"/>
      <c r="AH673" s="76"/>
      <c r="AI673" s="76"/>
      <c r="AJ673" s="76"/>
      <c r="AK673" s="76"/>
      <c r="AL673" s="77"/>
      <c r="AM673" s="76"/>
      <c r="AN673" s="76"/>
    </row>
    <row r="674" spans="1:40" ht="15">
      <c r="A674" s="83" t="e">
        <f>IF(#REF!&lt;&gt;#REF!,1,A673+1)</f>
        <v>#REF!</v>
      </c>
      <c r="O674" s="79"/>
      <c r="P674" s="79"/>
      <c r="Q674" s="76"/>
      <c r="R674" s="77"/>
      <c r="S674" s="76"/>
      <c r="T674" s="77"/>
      <c r="U674" s="76"/>
      <c r="V674" s="77"/>
      <c r="W674" s="76"/>
      <c r="X674" s="77"/>
      <c r="Y674" s="76"/>
      <c r="Z674" s="76"/>
      <c r="AA674" s="76"/>
      <c r="AB674" s="76"/>
      <c r="AC674" s="76"/>
      <c r="AD674" s="76"/>
      <c r="AE674" s="76"/>
      <c r="AF674" s="76"/>
      <c r="AG674" s="76"/>
      <c r="AH674" s="76"/>
      <c r="AI674" s="76"/>
      <c r="AJ674" s="76"/>
      <c r="AK674" s="76"/>
      <c r="AL674" s="77"/>
      <c r="AM674" s="76"/>
      <c r="AN674" s="76"/>
    </row>
    <row r="675" spans="1:40" ht="15">
      <c r="A675" s="83" t="e">
        <f>IF(#REF!&lt;&gt;#REF!,1,A674+1)</f>
        <v>#REF!</v>
      </c>
      <c r="O675" s="79"/>
      <c r="P675" s="79"/>
      <c r="Q675" s="76"/>
      <c r="R675" s="77"/>
      <c r="S675" s="76"/>
      <c r="T675" s="77"/>
      <c r="U675" s="76"/>
      <c r="V675" s="77"/>
      <c r="W675" s="76"/>
      <c r="X675" s="77"/>
      <c r="Y675" s="76"/>
      <c r="Z675" s="76"/>
      <c r="AA675" s="76"/>
      <c r="AB675" s="76"/>
      <c r="AC675" s="76"/>
      <c r="AD675" s="76"/>
      <c r="AE675" s="76"/>
      <c r="AF675" s="76"/>
      <c r="AG675" s="76"/>
      <c r="AH675" s="76"/>
      <c r="AI675" s="76"/>
      <c r="AJ675" s="76"/>
      <c r="AK675" s="76"/>
      <c r="AL675" s="77"/>
      <c r="AM675" s="76"/>
      <c r="AN675" s="76"/>
    </row>
    <row r="676" spans="1:40" ht="15">
      <c r="A676" s="83" t="e">
        <f>IF(#REF!&lt;&gt;#REF!,1,A675+1)</f>
        <v>#REF!</v>
      </c>
      <c r="O676" s="79"/>
      <c r="P676" s="79"/>
      <c r="Q676" s="76"/>
      <c r="R676" s="77"/>
      <c r="S676" s="76"/>
      <c r="T676" s="77"/>
      <c r="U676" s="76"/>
      <c r="V676" s="77"/>
      <c r="W676" s="76"/>
      <c r="X676" s="77"/>
      <c r="Y676" s="76"/>
      <c r="Z676" s="76"/>
      <c r="AA676" s="76"/>
      <c r="AB676" s="76"/>
      <c r="AC676" s="76"/>
      <c r="AD676" s="76"/>
      <c r="AE676" s="76"/>
      <c r="AF676" s="76"/>
      <c r="AG676" s="76"/>
      <c r="AH676" s="76"/>
      <c r="AI676" s="76"/>
      <c r="AJ676" s="76"/>
      <c r="AK676" s="76"/>
      <c r="AL676" s="77"/>
      <c r="AM676" s="76"/>
      <c r="AN676" s="76"/>
    </row>
    <row r="677" spans="1:40" ht="15">
      <c r="A677" s="83" t="e">
        <f>IF(#REF!&lt;&gt;#REF!,1,A676+1)</f>
        <v>#REF!</v>
      </c>
      <c r="O677" s="79"/>
      <c r="P677" s="79"/>
      <c r="Q677" s="76"/>
      <c r="R677" s="77"/>
      <c r="S677" s="76"/>
      <c r="T677" s="77"/>
      <c r="U677" s="76"/>
      <c r="V677" s="77"/>
      <c r="W677" s="76"/>
      <c r="X677" s="77"/>
      <c r="Y677" s="76"/>
      <c r="Z677" s="76"/>
      <c r="AA677" s="76"/>
      <c r="AB677" s="76"/>
      <c r="AC677" s="76"/>
      <c r="AD677" s="76"/>
      <c r="AE677" s="76"/>
      <c r="AF677" s="76"/>
      <c r="AG677" s="76"/>
      <c r="AH677" s="76"/>
      <c r="AI677" s="76"/>
      <c r="AJ677" s="76"/>
      <c r="AK677" s="76"/>
      <c r="AL677" s="77"/>
      <c r="AM677" s="76"/>
      <c r="AN677" s="76"/>
    </row>
    <row r="678" spans="1:40" ht="15">
      <c r="A678" s="83" t="e">
        <f>IF(#REF!&lt;&gt;#REF!,1,A677+1)</f>
        <v>#REF!</v>
      </c>
      <c r="O678" s="79"/>
      <c r="P678" s="79"/>
      <c r="Q678" s="76"/>
      <c r="R678" s="77"/>
      <c r="S678" s="76"/>
      <c r="T678" s="77"/>
      <c r="U678" s="76"/>
      <c r="V678" s="77"/>
      <c r="W678" s="76"/>
      <c r="X678" s="77"/>
      <c r="Y678" s="76"/>
      <c r="Z678" s="76"/>
      <c r="AA678" s="76"/>
      <c r="AB678" s="76"/>
      <c r="AC678" s="76"/>
      <c r="AD678" s="76"/>
      <c r="AE678" s="76"/>
      <c r="AF678" s="76"/>
      <c r="AG678" s="76"/>
      <c r="AH678" s="76"/>
      <c r="AI678" s="76"/>
      <c r="AJ678" s="76"/>
      <c r="AK678" s="76"/>
      <c r="AL678" s="77"/>
      <c r="AM678" s="76"/>
      <c r="AN678" s="76"/>
    </row>
    <row r="679" spans="1:40" ht="15">
      <c r="A679" s="83" t="e">
        <f>IF(#REF!&lt;&gt;#REF!,1,A678+1)</f>
        <v>#REF!</v>
      </c>
      <c r="O679" s="79"/>
      <c r="P679" s="79"/>
      <c r="Q679" s="76"/>
      <c r="R679" s="77"/>
      <c r="S679" s="76"/>
      <c r="T679" s="77"/>
      <c r="U679" s="76"/>
      <c r="V679" s="77"/>
      <c r="W679" s="76"/>
      <c r="X679" s="77"/>
      <c r="Y679" s="76"/>
      <c r="Z679" s="76"/>
      <c r="AA679" s="76"/>
      <c r="AB679" s="76"/>
      <c r="AC679" s="76"/>
      <c r="AD679" s="76"/>
      <c r="AE679" s="76"/>
      <c r="AF679" s="76"/>
      <c r="AG679" s="76"/>
      <c r="AH679" s="76"/>
      <c r="AI679" s="76"/>
      <c r="AJ679" s="76"/>
      <c r="AK679" s="76"/>
      <c r="AL679" s="77"/>
      <c r="AM679" s="76"/>
      <c r="AN679" s="76"/>
    </row>
    <row r="680" spans="1:40" ht="15">
      <c r="A680" s="83" t="e">
        <f>IF(#REF!&lt;&gt;#REF!,1,A679+1)</f>
        <v>#REF!</v>
      </c>
      <c r="O680" s="79"/>
      <c r="P680" s="79"/>
      <c r="Q680" s="76"/>
      <c r="R680" s="77"/>
      <c r="S680" s="76"/>
      <c r="T680" s="77"/>
      <c r="U680" s="76"/>
      <c r="V680" s="77"/>
      <c r="W680" s="76"/>
      <c r="X680" s="77"/>
      <c r="Y680" s="76"/>
      <c r="Z680" s="76"/>
      <c r="AA680" s="76"/>
      <c r="AB680" s="76"/>
      <c r="AC680" s="76"/>
      <c r="AD680" s="76"/>
      <c r="AE680" s="76"/>
      <c r="AF680" s="76"/>
      <c r="AG680" s="76"/>
      <c r="AH680" s="76"/>
      <c r="AI680" s="76"/>
      <c r="AJ680" s="76"/>
      <c r="AK680" s="76"/>
      <c r="AL680" s="77"/>
      <c r="AM680" s="76"/>
      <c r="AN680" s="76"/>
    </row>
    <row r="681" spans="1:40" ht="15">
      <c r="A681" s="83" t="e">
        <f>IF(#REF!&lt;&gt;#REF!,1,A680+1)</f>
        <v>#REF!</v>
      </c>
      <c r="O681" s="79"/>
      <c r="P681" s="79"/>
      <c r="Q681" s="76"/>
      <c r="R681" s="77"/>
      <c r="S681" s="76"/>
      <c r="T681" s="77"/>
      <c r="U681" s="76"/>
      <c r="V681" s="77"/>
      <c r="W681" s="76"/>
      <c r="X681" s="77"/>
      <c r="Y681" s="76"/>
      <c r="Z681" s="76"/>
      <c r="AA681" s="76"/>
      <c r="AB681" s="76"/>
      <c r="AC681" s="76"/>
      <c r="AD681" s="76"/>
      <c r="AE681" s="76"/>
      <c r="AF681" s="76"/>
      <c r="AG681" s="76"/>
      <c r="AH681" s="76"/>
      <c r="AI681" s="76"/>
      <c r="AJ681" s="76"/>
      <c r="AK681" s="76"/>
      <c r="AL681" s="77"/>
      <c r="AM681" s="76"/>
      <c r="AN681" s="76"/>
    </row>
    <row r="682" spans="1:40" ht="15">
      <c r="A682" s="83" t="e">
        <f>IF(#REF!&lt;&gt;#REF!,1,A681+1)</f>
        <v>#REF!</v>
      </c>
      <c r="O682" s="79"/>
      <c r="P682" s="79"/>
      <c r="Q682" s="76"/>
      <c r="R682" s="77"/>
      <c r="S682" s="76"/>
      <c r="T682" s="77"/>
      <c r="U682" s="76"/>
      <c r="V682" s="77"/>
      <c r="W682" s="76"/>
      <c r="X682" s="77"/>
      <c r="Y682" s="76"/>
      <c r="Z682" s="76"/>
      <c r="AA682" s="76"/>
      <c r="AB682" s="76"/>
      <c r="AC682" s="76"/>
      <c r="AD682" s="76"/>
      <c r="AE682" s="76"/>
      <c r="AF682" s="76"/>
      <c r="AG682" s="76"/>
      <c r="AH682" s="76"/>
      <c r="AI682" s="76"/>
      <c r="AJ682" s="76"/>
      <c r="AK682" s="76"/>
      <c r="AL682" s="77"/>
      <c r="AM682" s="76"/>
      <c r="AN682" s="76"/>
    </row>
    <row r="683" spans="1:40" ht="15">
      <c r="A683" s="83" t="e">
        <f>IF(#REF!&lt;&gt;#REF!,1,A682+1)</f>
        <v>#REF!</v>
      </c>
      <c r="O683" s="79"/>
      <c r="P683" s="79"/>
      <c r="Q683" s="76"/>
      <c r="R683" s="77"/>
      <c r="S683" s="76"/>
      <c r="T683" s="77"/>
      <c r="U683" s="76"/>
      <c r="V683" s="77"/>
      <c r="W683" s="76"/>
      <c r="X683" s="77"/>
      <c r="Y683" s="76"/>
      <c r="Z683" s="76"/>
      <c r="AA683" s="76"/>
      <c r="AB683" s="76"/>
      <c r="AC683" s="76"/>
      <c r="AD683" s="76"/>
      <c r="AE683" s="76"/>
      <c r="AF683" s="76"/>
      <c r="AG683" s="76"/>
      <c r="AH683" s="76"/>
      <c r="AI683" s="76"/>
      <c r="AJ683" s="76"/>
      <c r="AK683" s="76"/>
      <c r="AL683" s="77"/>
      <c r="AM683" s="76"/>
      <c r="AN683" s="76"/>
    </row>
    <row r="684" spans="1:40" ht="15">
      <c r="A684" s="83" t="e">
        <f>IF(#REF!&lt;&gt;#REF!,1,A683+1)</f>
        <v>#REF!</v>
      </c>
      <c r="O684" s="79"/>
      <c r="P684" s="79"/>
      <c r="Q684" s="76"/>
      <c r="R684" s="77"/>
      <c r="S684" s="76"/>
      <c r="T684" s="77"/>
      <c r="U684" s="76"/>
      <c r="V684" s="77"/>
      <c r="W684" s="76"/>
      <c r="X684" s="77"/>
      <c r="Y684" s="76"/>
      <c r="Z684" s="76"/>
      <c r="AA684" s="76"/>
      <c r="AB684" s="76"/>
      <c r="AC684" s="76"/>
      <c r="AD684" s="76"/>
      <c r="AE684" s="76"/>
      <c r="AF684" s="76"/>
      <c r="AG684" s="76"/>
      <c r="AH684" s="76"/>
      <c r="AI684" s="76"/>
      <c r="AJ684" s="76"/>
      <c r="AK684" s="76"/>
      <c r="AL684" s="77"/>
      <c r="AM684" s="76"/>
      <c r="AN684" s="76"/>
    </row>
    <row r="685" spans="1:40" ht="15">
      <c r="A685" s="83" t="e">
        <f>IF(#REF!&lt;&gt;#REF!,1,A684+1)</f>
        <v>#REF!</v>
      </c>
      <c r="O685" s="79"/>
      <c r="P685" s="79"/>
      <c r="Q685" s="76"/>
      <c r="R685" s="77"/>
      <c r="S685" s="76"/>
      <c r="T685" s="77"/>
      <c r="U685" s="76"/>
      <c r="V685" s="77"/>
      <c r="W685" s="76"/>
      <c r="X685" s="77"/>
      <c r="Y685" s="76"/>
      <c r="Z685" s="76"/>
      <c r="AA685" s="76"/>
      <c r="AB685" s="76"/>
      <c r="AC685" s="76"/>
      <c r="AD685" s="76"/>
      <c r="AE685" s="76"/>
      <c r="AF685" s="76"/>
      <c r="AG685" s="76"/>
      <c r="AH685" s="76"/>
      <c r="AI685" s="76"/>
      <c r="AJ685" s="76"/>
      <c r="AK685" s="76"/>
      <c r="AL685" s="77"/>
      <c r="AM685" s="76"/>
      <c r="AN685" s="76"/>
    </row>
    <row r="686" spans="1:40" ht="15">
      <c r="A686" s="83" t="e">
        <f>IF(#REF!&lt;&gt;#REF!,1,A685+1)</f>
        <v>#REF!</v>
      </c>
      <c r="O686" s="79"/>
      <c r="P686" s="79"/>
      <c r="Q686" s="76"/>
      <c r="R686" s="77"/>
      <c r="S686" s="76"/>
      <c r="T686" s="77"/>
      <c r="U686" s="76"/>
      <c r="V686" s="77"/>
      <c r="W686" s="76"/>
      <c r="X686" s="77"/>
      <c r="Y686" s="76"/>
      <c r="Z686" s="76"/>
      <c r="AA686" s="76"/>
      <c r="AB686" s="76"/>
      <c r="AC686" s="76"/>
      <c r="AD686" s="76"/>
      <c r="AE686" s="76"/>
      <c r="AF686" s="76"/>
      <c r="AG686" s="76"/>
      <c r="AH686" s="76"/>
      <c r="AI686" s="76"/>
      <c r="AJ686" s="76"/>
      <c r="AK686" s="76"/>
      <c r="AL686" s="77"/>
      <c r="AM686" s="76"/>
      <c r="AN686" s="76"/>
    </row>
    <row r="687" spans="1:40" ht="15">
      <c r="A687" s="83" t="e">
        <f>IF(#REF!&lt;&gt;#REF!,1,A686+1)</f>
        <v>#REF!</v>
      </c>
      <c r="O687" s="79"/>
      <c r="P687" s="79"/>
      <c r="Q687" s="76"/>
      <c r="R687" s="77"/>
      <c r="S687" s="76"/>
      <c r="T687" s="77"/>
      <c r="U687" s="76"/>
      <c r="V687" s="77"/>
      <c r="W687" s="76"/>
      <c r="X687" s="77"/>
      <c r="Y687" s="76"/>
      <c r="Z687" s="76"/>
      <c r="AA687" s="76"/>
      <c r="AB687" s="76"/>
      <c r="AC687" s="76"/>
      <c r="AD687" s="76"/>
      <c r="AE687" s="76"/>
      <c r="AF687" s="76"/>
      <c r="AG687" s="76"/>
      <c r="AH687" s="76"/>
      <c r="AI687" s="76"/>
      <c r="AJ687" s="76"/>
      <c r="AK687" s="76"/>
      <c r="AL687" s="77"/>
      <c r="AM687" s="76"/>
      <c r="AN687" s="76"/>
    </row>
    <row r="688" spans="1:40" ht="15">
      <c r="A688" s="83" t="e">
        <f>IF(#REF!&lt;&gt;#REF!,1,A687+1)</f>
        <v>#REF!</v>
      </c>
      <c r="O688" s="79"/>
      <c r="P688" s="79"/>
      <c r="Q688" s="76"/>
      <c r="R688" s="77"/>
      <c r="S688" s="76"/>
      <c r="T688" s="77"/>
      <c r="U688" s="76"/>
      <c r="V688" s="77"/>
      <c r="W688" s="76"/>
      <c r="X688" s="77"/>
      <c r="Y688" s="76"/>
      <c r="Z688" s="76"/>
      <c r="AA688" s="76"/>
      <c r="AB688" s="76"/>
      <c r="AC688" s="76"/>
      <c r="AD688" s="76"/>
      <c r="AE688" s="76"/>
      <c r="AF688" s="76"/>
      <c r="AG688" s="76"/>
      <c r="AH688" s="76"/>
      <c r="AI688" s="76"/>
      <c r="AJ688" s="76"/>
      <c r="AK688" s="76"/>
      <c r="AL688" s="77"/>
      <c r="AM688" s="76"/>
      <c r="AN688" s="76"/>
    </row>
    <row r="689" spans="1:40" ht="15">
      <c r="A689" s="83" t="e">
        <f>IF(#REF!&lt;&gt;#REF!,1,A688+1)</f>
        <v>#REF!</v>
      </c>
      <c r="O689" s="79"/>
      <c r="P689" s="79"/>
      <c r="Q689" s="76"/>
      <c r="R689" s="77"/>
      <c r="S689" s="76"/>
      <c r="T689" s="77"/>
      <c r="U689" s="76"/>
      <c r="V689" s="77"/>
      <c r="W689" s="76"/>
      <c r="X689" s="77"/>
      <c r="Y689" s="76"/>
      <c r="Z689" s="76"/>
      <c r="AA689" s="76"/>
      <c r="AB689" s="76"/>
      <c r="AC689" s="76"/>
      <c r="AD689" s="76"/>
      <c r="AE689" s="76"/>
      <c r="AF689" s="76"/>
      <c r="AG689" s="76"/>
      <c r="AH689" s="76"/>
      <c r="AI689" s="76"/>
      <c r="AJ689" s="76"/>
      <c r="AK689" s="76"/>
      <c r="AL689" s="77"/>
      <c r="AM689" s="76"/>
      <c r="AN689" s="76"/>
    </row>
    <row r="690" spans="1:40" ht="15">
      <c r="A690" s="83" t="e">
        <f>IF(#REF!&lt;&gt;#REF!,1,A689+1)</f>
        <v>#REF!</v>
      </c>
      <c r="O690" s="79"/>
      <c r="P690" s="79"/>
      <c r="Q690" s="76"/>
      <c r="R690" s="77"/>
      <c r="S690" s="76"/>
      <c r="T690" s="77"/>
      <c r="U690" s="76"/>
      <c r="V690" s="77"/>
      <c r="W690" s="76"/>
      <c r="X690" s="77"/>
      <c r="Y690" s="76"/>
      <c r="Z690" s="76"/>
      <c r="AA690" s="76"/>
      <c r="AB690" s="76"/>
      <c r="AC690" s="76"/>
      <c r="AD690" s="76"/>
      <c r="AE690" s="76"/>
      <c r="AF690" s="76"/>
      <c r="AG690" s="76"/>
      <c r="AH690" s="76"/>
      <c r="AI690" s="76"/>
      <c r="AJ690" s="76"/>
      <c r="AK690" s="76"/>
      <c r="AL690" s="77"/>
      <c r="AM690" s="76"/>
      <c r="AN690" s="76"/>
    </row>
    <row r="691" spans="1:40" ht="15">
      <c r="A691" s="83" t="e">
        <f>IF(#REF!&lt;&gt;#REF!,1,A690+1)</f>
        <v>#REF!</v>
      </c>
      <c r="O691" s="79"/>
      <c r="P691" s="79"/>
      <c r="Q691" s="76"/>
      <c r="R691" s="77"/>
      <c r="S691" s="76"/>
      <c r="T691" s="77"/>
      <c r="U691" s="76"/>
      <c r="V691" s="77"/>
      <c r="W691" s="76"/>
      <c r="X691" s="77"/>
      <c r="Y691" s="76"/>
      <c r="Z691" s="76"/>
      <c r="AA691" s="76"/>
      <c r="AB691" s="76"/>
      <c r="AC691" s="76"/>
      <c r="AD691" s="76"/>
      <c r="AE691" s="76"/>
      <c r="AF691" s="76"/>
      <c r="AG691" s="76"/>
      <c r="AH691" s="76"/>
      <c r="AI691" s="76"/>
      <c r="AJ691" s="76"/>
      <c r="AK691" s="76"/>
      <c r="AL691" s="77"/>
      <c r="AM691" s="76"/>
      <c r="AN691" s="76"/>
    </row>
    <row r="692" spans="1:40" ht="15">
      <c r="A692" s="83" t="e">
        <f>IF(#REF!&lt;&gt;#REF!,1,A691+1)</f>
        <v>#REF!</v>
      </c>
      <c r="O692" s="79"/>
      <c r="P692" s="79"/>
      <c r="Q692" s="76"/>
      <c r="R692" s="77"/>
      <c r="S692" s="76"/>
      <c r="T692" s="77"/>
      <c r="U692" s="76"/>
      <c r="V692" s="77"/>
      <c r="W692" s="76"/>
      <c r="X692" s="77"/>
      <c r="Y692" s="76"/>
      <c r="Z692" s="76"/>
      <c r="AA692" s="76"/>
      <c r="AB692" s="76"/>
      <c r="AC692" s="76"/>
      <c r="AD692" s="76"/>
      <c r="AE692" s="76"/>
      <c r="AF692" s="76"/>
      <c r="AG692" s="76"/>
      <c r="AH692" s="76"/>
      <c r="AI692" s="76"/>
      <c r="AJ692" s="76"/>
      <c r="AK692" s="76"/>
      <c r="AL692" s="77"/>
      <c r="AM692" s="76"/>
      <c r="AN692" s="76"/>
    </row>
    <row r="693" spans="1:40" ht="15">
      <c r="A693" s="83" t="e">
        <f>IF(#REF!&lt;&gt;#REF!,1,A692+1)</f>
        <v>#REF!</v>
      </c>
      <c r="O693" s="79"/>
      <c r="P693" s="79"/>
      <c r="Q693" s="76"/>
      <c r="R693" s="77"/>
      <c r="S693" s="76"/>
      <c r="T693" s="77"/>
      <c r="U693" s="76"/>
      <c r="V693" s="77"/>
      <c r="W693" s="76"/>
      <c r="X693" s="77"/>
      <c r="Y693" s="76"/>
      <c r="Z693" s="76"/>
      <c r="AA693" s="76"/>
      <c r="AB693" s="76"/>
      <c r="AC693" s="76"/>
      <c r="AD693" s="76"/>
      <c r="AE693" s="76"/>
      <c r="AF693" s="76"/>
      <c r="AG693" s="76"/>
      <c r="AH693" s="76"/>
      <c r="AI693" s="76"/>
      <c r="AJ693" s="76"/>
      <c r="AK693" s="76"/>
      <c r="AL693" s="77"/>
      <c r="AM693" s="76"/>
      <c r="AN693" s="76"/>
    </row>
    <row r="694" spans="1:40" ht="15">
      <c r="A694" s="83" t="e">
        <f>IF(#REF!&lt;&gt;#REF!,1,A693+1)</f>
        <v>#REF!</v>
      </c>
      <c r="O694" s="79"/>
      <c r="P694" s="79"/>
      <c r="Q694" s="76"/>
      <c r="R694" s="77"/>
      <c r="S694" s="76"/>
      <c r="T694" s="77"/>
      <c r="U694" s="76"/>
      <c r="V694" s="77"/>
      <c r="W694" s="76"/>
      <c r="X694" s="77"/>
      <c r="Y694" s="76"/>
      <c r="Z694" s="76"/>
      <c r="AA694" s="76"/>
      <c r="AB694" s="76"/>
      <c r="AC694" s="76"/>
      <c r="AD694" s="76"/>
      <c r="AE694" s="76"/>
      <c r="AF694" s="76"/>
      <c r="AG694" s="76"/>
      <c r="AH694" s="76"/>
      <c r="AI694" s="76"/>
      <c r="AJ694" s="76"/>
      <c r="AK694" s="76"/>
      <c r="AL694" s="77"/>
      <c r="AM694" s="76"/>
      <c r="AN694" s="76"/>
    </row>
    <row r="695" spans="1:40" ht="15">
      <c r="A695" s="83" t="e">
        <f>IF(#REF!&lt;&gt;#REF!,1,A694+1)</f>
        <v>#REF!</v>
      </c>
      <c r="O695" s="79"/>
      <c r="P695" s="79"/>
      <c r="Q695" s="76"/>
      <c r="R695" s="77"/>
      <c r="S695" s="76"/>
      <c r="T695" s="77"/>
      <c r="U695" s="76"/>
      <c r="V695" s="77"/>
      <c r="W695" s="76"/>
      <c r="X695" s="77"/>
      <c r="Y695" s="76"/>
      <c r="Z695" s="76"/>
      <c r="AA695" s="76"/>
      <c r="AB695" s="76"/>
      <c r="AC695" s="76"/>
      <c r="AD695" s="76"/>
      <c r="AE695" s="76"/>
      <c r="AF695" s="76"/>
      <c r="AG695" s="76"/>
      <c r="AH695" s="76"/>
      <c r="AI695" s="76"/>
      <c r="AJ695" s="76"/>
      <c r="AK695" s="76"/>
      <c r="AL695" s="77"/>
      <c r="AM695" s="76"/>
      <c r="AN695" s="76"/>
    </row>
    <row r="696" spans="1:40" ht="15">
      <c r="A696" s="83" t="e">
        <f>IF(#REF!&lt;&gt;#REF!,1,A695+1)</f>
        <v>#REF!</v>
      </c>
      <c r="O696" s="79"/>
      <c r="P696" s="79"/>
      <c r="Q696" s="76"/>
      <c r="R696" s="77"/>
      <c r="S696" s="76"/>
      <c r="T696" s="77"/>
      <c r="U696" s="76"/>
      <c r="V696" s="77"/>
      <c r="W696" s="76"/>
      <c r="X696" s="77"/>
      <c r="Y696" s="76"/>
      <c r="Z696" s="76"/>
      <c r="AA696" s="76"/>
      <c r="AB696" s="76"/>
      <c r="AC696" s="76"/>
      <c r="AD696" s="76"/>
      <c r="AE696" s="76"/>
      <c r="AF696" s="76"/>
      <c r="AG696" s="76"/>
      <c r="AH696" s="76"/>
      <c r="AI696" s="76"/>
      <c r="AJ696" s="76"/>
      <c r="AK696" s="76"/>
      <c r="AL696" s="77"/>
      <c r="AM696" s="76"/>
      <c r="AN696" s="76"/>
    </row>
    <row r="697" spans="1:40" ht="15">
      <c r="A697" s="83" t="e">
        <f>IF(#REF!&lt;&gt;#REF!,1,A696+1)</f>
        <v>#REF!</v>
      </c>
      <c r="O697" s="79"/>
      <c r="P697" s="79"/>
      <c r="Q697" s="76"/>
      <c r="R697" s="77"/>
      <c r="S697" s="76"/>
      <c r="T697" s="77"/>
      <c r="U697" s="76"/>
      <c r="V697" s="77"/>
      <c r="W697" s="76"/>
      <c r="X697" s="77"/>
      <c r="Y697" s="76"/>
      <c r="Z697" s="76"/>
      <c r="AA697" s="76"/>
      <c r="AB697" s="76"/>
      <c r="AC697" s="76"/>
      <c r="AD697" s="76"/>
      <c r="AE697" s="76"/>
      <c r="AF697" s="76"/>
      <c r="AG697" s="76"/>
      <c r="AH697" s="76"/>
      <c r="AI697" s="76"/>
      <c r="AJ697" s="76"/>
      <c r="AK697" s="76"/>
      <c r="AL697" s="77"/>
      <c r="AM697" s="76"/>
      <c r="AN697" s="76"/>
    </row>
    <row r="698" spans="1:40" ht="15">
      <c r="A698" s="83" t="e">
        <f>IF(#REF!&lt;&gt;#REF!,1,A697+1)</f>
        <v>#REF!</v>
      </c>
      <c r="O698" s="79"/>
      <c r="P698" s="79"/>
      <c r="Q698" s="76"/>
      <c r="R698" s="77"/>
      <c r="S698" s="76"/>
      <c r="T698" s="77"/>
      <c r="U698" s="76"/>
      <c r="V698" s="77"/>
      <c r="W698" s="76"/>
      <c r="X698" s="77"/>
      <c r="Y698" s="76"/>
      <c r="Z698" s="76"/>
      <c r="AA698" s="76"/>
      <c r="AB698" s="76"/>
      <c r="AC698" s="76"/>
      <c r="AD698" s="76"/>
      <c r="AE698" s="76"/>
      <c r="AF698" s="76"/>
      <c r="AG698" s="76"/>
      <c r="AH698" s="76"/>
      <c r="AI698" s="76"/>
      <c r="AJ698" s="76"/>
      <c r="AK698" s="76"/>
      <c r="AL698" s="77"/>
      <c r="AM698" s="76"/>
      <c r="AN698" s="76"/>
    </row>
    <row r="699" spans="1:40" ht="15">
      <c r="A699" s="83" t="e">
        <f>IF(#REF!&lt;&gt;#REF!,1,A698+1)</f>
        <v>#REF!</v>
      </c>
      <c r="O699" s="79"/>
      <c r="P699" s="79"/>
      <c r="Q699" s="76"/>
      <c r="R699" s="77"/>
      <c r="S699" s="76"/>
      <c r="T699" s="77"/>
      <c r="U699" s="76"/>
      <c r="V699" s="77"/>
      <c r="W699" s="76"/>
      <c r="X699" s="77"/>
      <c r="Y699" s="76"/>
      <c r="Z699" s="76"/>
      <c r="AA699" s="76"/>
      <c r="AB699" s="76"/>
      <c r="AC699" s="76"/>
      <c r="AD699" s="76"/>
      <c r="AE699" s="76"/>
      <c r="AF699" s="76"/>
      <c r="AG699" s="76"/>
      <c r="AH699" s="76"/>
      <c r="AI699" s="76"/>
      <c r="AJ699" s="76"/>
      <c r="AK699" s="76"/>
      <c r="AL699" s="77"/>
      <c r="AM699" s="76"/>
      <c r="AN699" s="76"/>
    </row>
    <row r="700" spans="1:40" ht="15">
      <c r="A700" s="83" t="e">
        <f>IF(#REF!&lt;&gt;#REF!,1,A699+1)</f>
        <v>#REF!</v>
      </c>
      <c r="O700" s="79"/>
      <c r="P700" s="79"/>
      <c r="Q700" s="76"/>
      <c r="R700" s="77"/>
      <c r="S700" s="76"/>
      <c r="T700" s="77"/>
      <c r="U700" s="76"/>
      <c r="V700" s="77"/>
      <c r="W700" s="76"/>
      <c r="X700" s="77"/>
      <c r="Y700" s="76"/>
      <c r="Z700" s="76"/>
      <c r="AA700" s="76"/>
      <c r="AB700" s="76"/>
      <c r="AC700" s="76"/>
      <c r="AD700" s="76"/>
      <c r="AE700" s="76"/>
      <c r="AF700" s="76"/>
      <c r="AG700" s="76"/>
      <c r="AH700" s="76"/>
      <c r="AI700" s="76"/>
      <c r="AJ700" s="76"/>
      <c r="AK700" s="76"/>
      <c r="AL700" s="77"/>
      <c r="AM700" s="76"/>
      <c r="AN700" s="76"/>
    </row>
    <row r="701" spans="1:40" ht="15">
      <c r="A701" s="83" t="e">
        <f>IF(#REF!&lt;&gt;#REF!,1,A700+1)</f>
        <v>#REF!</v>
      </c>
      <c r="O701" s="79"/>
      <c r="P701" s="79"/>
      <c r="Q701" s="76"/>
      <c r="R701" s="77"/>
      <c r="S701" s="76"/>
      <c r="T701" s="77"/>
      <c r="U701" s="76"/>
      <c r="V701" s="77"/>
      <c r="W701" s="76"/>
      <c r="X701" s="77"/>
      <c r="Y701" s="76"/>
      <c r="Z701" s="76"/>
      <c r="AA701" s="76"/>
      <c r="AB701" s="76"/>
      <c r="AC701" s="76"/>
      <c r="AD701" s="76"/>
      <c r="AE701" s="76"/>
      <c r="AF701" s="76"/>
      <c r="AG701" s="76"/>
      <c r="AH701" s="76"/>
      <c r="AI701" s="76"/>
      <c r="AJ701" s="76"/>
      <c r="AK701" s="76"/>
      <c r="AL701" s="77"/>
      <c r="AM701" s="76"/>
      <c r="AN701" s="76"/>
    </row>
    <row r="702" spans="1:40" ht="15">
      <c r="A702" s="83" t="e">
        <f>IF(#REF!&lt;&gt;#REF!,1,A701+1)</f>
        <v>#REF!</v>
      </c>
      <c r="O702" s="79"/>
      <c r="P702" s="79"/>
      <c r="Q702" s="76"/>
      <c r="R702" s="77"/>
      <c r="S702" s="76"/>
      <c r="T702" s="77"/>
      <c r="U702" s="76"/>
      <c r="V702" s="77"/>
      <c r="W702" s="76"/>
      <c r="X702" s="77"/>
      <c r="Y702" s="76"/>
      <c r="Z702" s="76"/>
      <c r="AA702" s="76"/>
      <c r="AB702" s="76"/>
      <c r="AC702" s="76"/>
      <c r="AD702" s="76"/>
      <c r="AE702" s="76"/>
      <c r="AF702" s="76"/>
      <c r="AG702" s="76"/>
      <c r="AH702" s="76"/>
      <c r="AI702" s="76"/>
      <c r="AJ702" s="76"/>
      <c r="AK702" s="76"/>
      <c r="AL702" s="77"/>
      <c r="AM702" s="76"/>
      <c r="AN702" s="76"/>
    </row>
    <row r="703" spans="1:40" ht="15">
      <c r="A703" s="83" t="e">
        <f>IF(#REF!&lt;&gt;#REF!,1,A702+1)</f>
        <v>#REF!</v>
      </c>
      <c r="O703" s="79"/>
      <c r="P703" s="79"/>
      <c r="Q703" s="76"/>
      <c r="R703" s="77"/>
      <c r="S703" s="76"/>
      <c r="T703" s="77"/>
      <c r="U703" s="76"/>
      <c r="V703" s="77"/>
      <c r="W703" s="76"/>
      <c r="X703" s="77"/>
      <c r="Y703" s="76"/>
      <c r="Z703" s="76"/>
      <c r="AA703" s="76"/>
      <c r="AB703" s="76"/>
      <c r="AC703" s="76"/>
      <c r="AD703" s="76"/>
      <c r="AE703" s="76"/>
      <c r="AF703" s="76"/>
      <c r="AG703" s="76"/>
      <c r="AH703" s="76"/>
      <c r="AI703" s="76"/>
      <c r="AJ703" s="76"/>
      <c r="AK703" s="76"/>
      <c r="AL703" s="77"/>
      <c r="AM703" s="76"/>
      <c r="AN703" s="76"/>
    </row>
    <row r="704" spans="1:40" ht="15">
      <c r="A704" s="83" t="e">
        <f>IF(#REF!&lt;&gt;#REF!,1,A703+1)</f>
        <v>#REF!</v>
      </c>
      <c r="O704" s="79"/>
      <c r="P704" s="79"/>
      <c r="Q704" s="76"/>
      <c r="R704" s="77"/>
      <c r="S704" s="76"/>
      <c r="T704" s="77"/>
      <c r="U704" s="76"/>
      <c r="V704" s="77"/>
      <c r="W704" s="76"/>
      <c r="X704" s="77"/>
      <c r="Y704" s="76"/>
      <c r="Z704" s="76"/>
      <c r="AA704" s="76"/>
      <c r="AB704" s="76"/>
      <c r="AC704" s="76"/>
      <c r="AD704" s="76"/>
      <c r="AE704" s="76"/>
      <c r="AF704" s="76"/>
      <c r="AG704" s="76"/>
      <c r="AH704" s="76"/>
      <c r="AI704" s="76"/>
      <c r="AJ704" s="76"/>
      <c r="AK704" s="76"/>
      <c r="AL704" s="77"/>
      <c r="AM704" s="76"/>
      <c r="AN704" s="76"/>
    </row>
    <row r="705" spans="1:40" ht="15">
      <c r="A705" s="83" t="e">
        <f>IF(#REF!&lt;&gt;#REF!,1,A704+1)</f>
        <v>#REF!</v>
      </c>
      <c r="O705" s="79"/>
      <c r="P705" s="79"/>
      <c r="Q705" s="76"/>
      <c r="R705" s="77"/>
      <c r="S705" s="76"/>
      <c r="T705" s="77"/>
      <c r="U705" s="76"/>
      <c r="V705" s="77"/>
      <c r="W705" s="76"/>
      <c r="X705" s="77"/>
      <c r="Y705" s="76"/>
      <c r="Z705" s="76"/>
      <c r="AA705" s="76"/>
      <c r="AB705" s="76"/>
      <c r="AC705" s="76"/>
      <c r="AD705" s="76"/>
      <c r="AE705" s="76"/>
      <c r="AF705" s="76"/>
      <c r="AG705" s="76"/>
      <c r="AH705" s="76"/>
      <c r="AI705" s="76"/>
      <c r="AJ705" s="76"/>
      <c r="AK705" s="76"/>
      <c r="AL705" s="77"/>
      <c r="AM705" s="76"/>
      <c r="AN705" s="76"/>
    </row>
    <row r="706" spans="1:40" ht="15">
      <c r="A706" s="83" t="e">
        <f>IF(#REF!&lt;&gt;#REF!,1,A705+1)</f>
        <v>#REF!</v>
      </c>
      <c r="O706" s="79"/>
      <c r="P706" s="79"/>
      <c r="Q706" s="76"/>
      <c r="R706" s="77"/>
      <c r="S706" s="76"/>
      <c r="T706" s="77"/>
      <c r="U706" s="76"/>
      <c r="V706" s="77"/>
      <c r="W706" s="76"/>
      <c r="X706" s="77"/>
      <c r="Y706" s="76"/>
      <c r="Z706" s="76"/>
      <c r="AA706" s="76"/>
      <c r="AB706" s="76"/>
      <c r="AC706" s="76"/>
      <c r="AD706" s="76"/>
      <c r="AE706" s="76"/>
      <c r="AF706" s="76"/>
      <c r="AG706" s="76"/>
      <c r="AH706" s="76"/>
      <c r="AI706" s="76"/>
      <c r="AJ706" s="76"/>
      <c r="AK706" s="76"/>
      <c r="AL706" s="77"/>
      <c r="AM706" s="76"/>
      <c r="AN706" s="76"/>
    </row>
    <row r="707" spans="1:40" ht="15">
      <c r="A707" s="83" t="e">
        <f>IF(#REF!&lt;&gt;#REF!,1,A706+1)</f>
        <v>#REF!</v>
      </c>
      <c r="O707" s="79"/>
      <c r="P707" s="79"/>
      <c r="Q707" s="76"/>
      <c r="R707" s="77"/>
      <c r="S707" s="76"/>
      <c r="T707" s="77"/>
      <c r="U707" s="76"/>
      <c r="V707" s="77"/>
      <c r="W707" s="76"/>
      <c r="X707" s="77"/>
      <c r="Y707" s="76"/>
      <c r="Z707" s="76"/>
      <c r="AA707" s="76"/>
      <c r="AB707" s="76"/>
      <c r="AC707" s="76"/>
      <c r="AD707" s="76"/>
      <c r="AE707" s="76"/>
      <c r="AF707" s="76"/>
      <c r="AG707" s="76"/>
      <c r="AH707" s="76"/>
      <c r="AI707" s="76"/>
      <c r="AJ707" s="76"/>
      <c r="AK707" s="76"/>
      <c r="AL707" s="77"/>
      <c r="AM707" s="76"/>
      <c r="AN707" s="76"/>
    </row>
    <row r="708" spans="1:40" ht="15">
      <c r="A708" s="83" t="e">
        <f>IF(#REF!&lt;&gt;#REF!,1,A707+1)</f>
        <v>#REF!</v>
      </c>
      <c r="O708" s="79"/>
      <c r="P708" s="79"/>
      <c r="Q708" s="76"/>
      <c r="R708" s="77"/>
      <c r="S708" s="76"/>
      <c r="T708" s="77"/>
      <c r="U708" s="76"/>
      <c r="V708" s="77"/>
      <c r="W708" s="76"/>
      <c r="X708" s="77"/>
      <c r="Y708" s="76"/>
      <c r="Z708" s="76"/>
      <c r="AA708" s="76"/>
      <c r="AB708" s="76"/>
      <c r="AC708" s="76"/>
      <c r="AD708" s="76"/>
      <c r="AE708" s="76"/>
      <c r="AF708" s="76"/>
      <c r="AG708" s="76"/>
      <c r="AH708" s="76"/>
      <c r="AI708" s="76"/>
      <c r="AJ708" s="76"/>
      <c r="AK708" s="76"/>
      <c r="AL708" s="77"/>
      <c r="AM708" s="76"/>
      <c r="AN708" s="76"/>
    </row>
    <row r="709" spans="1:40" ht="15">
      <c r="A709" s="83" t="e">
        <f>IF(#REF!&lt;&gt;#REF!,1,A708+1)</f>
        <v>#REF!</v>
      </c>
      <c r="O709" s="79"/>
      <c r="P709" s="79"/>
      <c r="Q709" s="76"/>
      <c r="R709" s="77"/>
      <c r="S709" s="76"/>
      <c r="T709" s="77"/>
      <c r="U709" s="76"/>
      <c r="V709" s="77"/>
      <c r="W709" s="76"/>
      <c r="X709" s="77"/>
      <c r="Y709" s="76"/>
      <c r="Z709" s="76"/>
      <c r="AA709" s="76"/>
      <c r="AB709" s="76"/>
      <c r="AC709" s="76"/>
      <c r="AD709" s="76"/>
      <c r="AE709" s="76"/>
      <c r="AF709" s="76"/>
      <c r="AG709" s="76"/>
      <c r="AH709" s="76"/>
      <c r="AI709" s="76"/>
      <c r="AJ709" s="76"/>
      <c r="AK709" s="76"/>
      <c r="AL709" s="77"/>
      <c r="AM709" s="76"/>
      <c r="AN709" s="76"/>
    </row>
    <row r="710" spans="1:40" ht="15">
      <c r="A710" s="83" t="e">
        <f>IF(#REF!&lt;&gt;#REF!,1,A709+1)</f>
        <v>#REF!</v>
      </c>
      <c r="O710" s="79"/>
      <c r="P710" s="79"/>
      <c r="Q710" s="76"/>
      <c r="R710" s="77"/>
      <c r="S710" s="76"/>
      <c r="T710" s="77"/>
      <c r="U710" s="76"/>
      <c r="V710" s="77"/>
      <c r="W710" s="76"/>
      <c r="X710" s="77"/>
      <c r="Y710" s="76"/>
      <c r="Z710" s="76"/>
      <c r="AA710" s="76"/>
      <c r="AB710" s="76"/>
      <c r="AC710" s="76"/>
      <c r="AD710" s="76"/>
      <c r="AE710" s="76"/>
      <c r="AF710" s="76"/>
      <c r="AG710" s="76"/>
      <c r="AH710" s="76"/>
      <c r="AI710" s="76"/>
      <c r="AJ710" s="76"/>
      <c r="AK710" s="76"/>
      <c r="AL710" s="77"/>
      <c r="AM710" s="76"/>
      <c r="AN710" s="76"/>
    </row>
    <row r="711" spans="1:40" ht="15">
      <c r="A711" s="83" t="e">
        <f>IF(#REF!&lt;&gt;#REF!,1,A710+1)</f>
        <v>#REF!</v>
      </c>
      <c r="O711" s="79"/>
      <c r="P711" s="79"/>
      <c r="Q711" s="76"/>
      <c r="R711" s="77"/>
      <c r="S711" s="76"/>
      <c r="T711" s="77"/>
      <c r="U711" s="76"/>
      <c r="V711" s="77"/>
      <c r="W711" s="76"/>
      <c r="X711" s="77"/>
      <c r="Y711" s="76"/>
      <c r="Z711" s="76"/>
      <c r="AA711" s="76"/>
      <c r="AB711" s="76"/>
      <c r="AC711" s="76"/>
      <c r="AD711" s="76"/>
      <c r="AE711" s="76"/>
      <c r="AF711" s="76"/>
      <c r="AG711" s="76"/>
      <c r="AH711" s="76"/>
      <c r="AI711" s="76"/>
      <c r="AJ711" s="76"/>
      <c r="AK711" s="76"/>
      <c r="AL711" s="77"/>
      <c r="AM711" s="76"/>
      <c r="AN711" s="76"/>
    </row>
    <row r="712" spans="1:40" ht="15">
      <c r="A712" s="83" t="e">
        <f>IF(#REF!&lt;&gt;#REF!,1,A711+1)</f>
        <v>#REF!</v>
      </c>
      <c r="O712" s="79"/>
      <c r="P712" s="79"/>
      <c r="Q712" s="76"/>
      <c r="R712" s="77"/>
      <c r="S712" s="76"/>
      <c r="T712" s="77"/>
      <c r="U712" s="76"/>
      <c r="V712" s="77"/>
      <c r="W712" s="76"/>
      <c r="X712" s="77"/>
      <c r="Y712" s="76"/>
      <c r="Z712" s="76"/>
      <c r="AA712" s="76"/>
      <c r="AB712" s="76"/>
      <c r="AC712" s="76"/>
      <c r="AD712" s="76"/>
      <c r="AE712" s="76"/>
      <c r="AF712" s="76"/>
      <c r="AG712" s="76"/>
      <c r="AH712" s="76"/>
      <c r="AI712" s="76"/>
      <c r="AJ712" s="76"/>
      <c r="AK712" s="76"/>
      <c r="AL712" s="77"/>
      <c r="AM712" s="76"/>
      <c r="AN712" s="76"/>
    </row>
    <row r="713" spans="1:40" ht="15">
      <c r="A713" s="83" t="e">
        <f>IF(#REF!&lt;&gt;#REF!,1,A712+1)</f>
        <v>#REF!</v>
      </c>
      <c r="O713" s="79"/>
      <c r="P713" s="79"/>
      <c r="Q713" s="76"/>
      <c r="R713" s="77"/>
      <c r="S713" s="76"/>
      <c r="T713" s="77"/>
      <c r="U713" s="76"/>
      <c r="V713" s="77"/>
      <c r="W713" s="76"/>
      <c r="X713" s="77"/>
      <c r="Y713" s="76"/>
      <c r="Z713" s="76"/>
      <c r="AA713" s="76"/>
      <c r="AB713" s="76"/>
      <c r="AC713" s="76"/>
      <c r="AD713" s="76"/>
      <c r="AE713" s="76"/>
      <c r="AF713" s="76"/>
      <c r="AG713" s="76"/>
      <c r="AH713" s="76"/>
      <c r="AI713" s="76"/>
      <c r="AJ713" s="76"/>
      <c r="AK713" s="76"/>
      <c r="AL713" s="77"/>
      <c r="AM713" s="76"/>
      <c r="AN713" s="76"/>
    </row>
    <row r="714" spans="1:40" ht="15">
      <c r="A714" s="83" t="e">
        <f>IF(#REF!&lt;&gt;#REF!,1,A713+1)</f>
        <v>#REF!</v>
      </c>
      <c r="O714" s="79"/>
      <c r="P714" s="79"/>
      <c r="Q714" s="76"/>
      <c r="R714" s="77"/>
      <c r="S714" s="76"/>
      <c r="T714" s="77"/>
      <c r="U714" s="76"/>
      <c r="V714" s="77"/>
      <c r="W714" s="76"/>
      <c r="X714" s="77"/>
      <c r="Y714" s="76"/>
      <c r="Z714" s="76"/>
      <c r="AA714" s="76"/>
      <c r="AB714" s="76"/>
      <c r="AC714" s="76"/>
      <c r="AD714" s="76"/>
      <c r="AE714" s="76"/>
      <c r="AF714" s="76"/>
      <c r="AG714" s="76"/>
      <c r="AH714" s="76"/>
      <c r="AI714" s="76"/>
      <c r="AJ714" s="76"/>
      <c r="AK714" s="76"/>
      <c r="AL714" s="77"/>
      <c r="AM714" s="76"/>
      <c r="AN714" s="76"/>
    </row>
    <row r="715" spans="1:40" ht="15">
      <c r="A715" s="83" t="e">
        <f>IF(#REF!&lt;&gt;#REF!,1,A714+1)</f>
        <v>#REF!</v>
      </c>
      <c r="O715" s="79"/>
      <c r="P715" s="79"/>
      <c r="Q715" s="76"/>
      <c r="R715" s="77"/>
      <c r="S715" s="76"/>
      <c r="T715" s="77"/>
      <c r="U715" s="76"/>
      <c r="V715" s="77"/>
      <c r="W715" s="76"/>
      <c r="X715" s="77"/>
      <c r="Y715" s="76"/>
      <c r="Z715" s="76"/>
      <c r="AA715" s="76"/>
      <c r="AB715" s="76"/>
      <c r="AC715" s="76"/>
      <c r="AD715" s="76"/>
      <c r="AE715" s="76"/>
      <c r="AF715" s="76"/>
      <c r="AG715" s="76"/>
      <c r="AH715" s="76"/>
      <c r="AI715" s="76"/>
      <c r="AJ715" s="76"/>
      <c r="AK715" s="76"/>
      <c r="AL715" s="77"/>
      <c r="AM715" s="76"/>
      <c r="AN715" s="76"/>
    </row>
    <row r="716" spans="1:40" ht="15">
      <c r="A716" s="83" t="e">
        <f>IF(#REF!&lt;&gt;#REF!,1,A715+1)</f>
        <v>#REF!</v>
      </c>
      <c r="O716" s="79"/>
      <c r="P716" s="79"/>
      <c r="Q716" s="76"/>
      <c r="R716" s="77"/>
      <c r="S716" s="76"/>
      <c r="T716" s="77"/>
      <c r="U716" s="76"/>
      <c r="V716" s="77"/>
      <c r="W716" s="76"/>
      <c r="X716" s="77"/>
      <c r="Y716" s="76"/>
      <c r="Z716" s="76"/>
      <c r="AA716" s="76"/>
      <c r="AB716" s="76"/>
      <c r="AC716" s="76"/>
      <c r="AD716" s="76"/>
      <c r="AE716" s="76"/>
      <c r="AF716" s="76"/>
      <c r="AG716" s="76"/>
      <c r="AH716" s="76"/>
      <c r="AI716" s="76"/>
      <c r="AJ716" s="76"/>
      <c r="AK716" s="76"/>
      <c r="AL716" s="77"/>
      <c r="AM716" s="76"/>
      <c r="AN716" s="76"/>
    </row>
    <row r="717" spans="1:40" ht="15">
      <c r="A717" s="83" t="e">
        <f>IF(#REF!&lt;&gt;#REF!,1,A716+1)</f>
        <v>#REF!</v>
      </c>
      <c r="O717" s="79"/>
      <c r="P717" s="79"/>
      <c r="Q717" s="76"/>
      <c r="R717" s="77"/>
      <c r="S717" s="76"/>
      <c r="T717" s="77"/>
      <c r="U717" s="76"/>
      <c r="V717" s="77"/>
      <c r="W717" s="76"/>
      <c r="X717" s="77"/>
      <c r="Y717" s="76"/>
      <c r="Z717" s="76"/>
      <c r="AA717" s="76"/>
      <c r="AB717" s="76"/>
      <c r="AC717" s="76"/>
      <c r="AD717" s="76"/>
      <c r="AE717" s="76"/>
      <c r="AF717" s="76"/>
      <c r="AG717" s="76"/>
      <c r="AH717" s="76"/>
      <c r="AI717" s="76"/>
      <c r="AJ717" s="76"/>
      <c r="AK717" s="76"/>
      <c r="AL717" s="77"/>
      <c r="AM717" s="76"/>
      <c r="AN717" s="76"/>
    </row>
    <row r="718" spans="1:40" ht="15">
      <c r="A718" s="83" t="e">
        <f>IF(#REF!&lt;&gt;#REF!,1,A717+1)</f>
        <v>#REF!</v>
      </c>
      <c r="O718" s="79"/>
      <c r="P718" s="79"/>
      <c r="Q718" s="76"/>
      <c r="R718" s="77"/>
      <c r="S718" s="76"/>
      <c r="T718" s="77"/>
      <c r="U718" s="76"/>
      <c r="V718" s="77"/>
      <c r="W718" s="76"/>
      <c r="X718" s="77"/>
      <c r="Y718" s="76"/>
      <c r="Z718" s="76"/>
      <c r="AA718" s="76"/>
      <c r="AB718" s="76"/>
      <c r="AC718" s="76"/>
      <c r="AD718" s="76"/>
      <c r="AE718" s="76"/>
      <c r="AF718" s="76"/>
      <c r="AG718" s="76"/>
      <c r="AH718" s="76"/>
      <c r="AI718" s="76"/>
      <c r="AJ718" s="76"/>
      <c r="AK718" s="76"/>
      <c r="AL718" s="77"/>
      <c r="AM718" s="76"/>
      <c r="AN718" s="76"/>
    </row>
    <row r="719" spans="1:40" ht="15">
      <c r="A719" s="83" t="e">
        <f>IF(#REF!&lt;&gt;#REF!,1,A718+1)</f>
        <v>#REF!</v>
      </c>
      <c r="O719" s="79"/>
      <c r="P719" s="79"/>
      <c r="Q719" s="76"/>
      <c r="R719" s="77"/>
      <c r="S719" s="76"/>
      <c r="T719" s="77"/>
      <c r="U719" s="76"/>
      <c r="V719" s="77"/>
      <c r="W719" s="76"/>
      <c r="X719" s="77"/>
      <c r="Y719" s="76"/>
      <c r="Z719" s="76"/>
      <c r="AA719" s="76"/>
      <c r="AB719" s="76"/>
      <c r="AC719" s="76"/>
      <c r="AD719" s="76"/>
      <c r="AE719" s="76"/>
      <c r="AF719" s="76"/>
      <c r="AG719" s="76"/>
      <c r="AH719" s="76"/>
      <c r="AI719" s="76"/>
      <c r="AJ719" s="76"/>
      <c r="AK719" s="76"/>
      <c r="AL719" s="77"/>
      <c r="AM719" s="76"/>
      <c r="AN719" s="76"/>
    </row>
    <row r="720" spans="1:40" ht="15">
      <c r="A720" s="83" t="e">
        <f>IF(#REF!&lt;&gt;#REF!,1,A719+1)</f>
        <v>#REF!</v>
      </c>
      <c r="O720" s="79"/>
      <c r="P720" s="79"/>
      <c r="Q720" s="76"/>
      <c r="R720" s="77"/>
      <c r="S720" s="76"/>
      <c r="T720" s="77"/>
      <c r="U720" s="76"/>
      <c r="V720" s="77"/>
      <c r="W720" s="76"/>
      <c r="X720" s="77"/>
      <c r="Y720" s="76"/>
      <c r="Z720" s="76"/>
      <c r="AA720" s="76"/>
      <c r="AB720" s="76"/>
      <c r="AC720" s="76"/>
      <c r="AD720" s="76"/>
      <c r="AE720" s="76"/>
      <c r="AF720" s="76"/>
      <c r="AG720" s="76"/>
      <c r="AH720" s="76"/>
      <c r="AI720" s="76"/>
      <c r="AJ720" s="76"/>
      <c r="AK720" s="76"/>
      <c r="AL720" s="77"/>
      <c r="AM720" s="76"/>
      <c r="AN720" s="76"/>
    </row>
    <row r="721" spans="1:40" ht="15">
      <c r="A721" s="83" t="e">
        <f>IF(#REF!&lt;&gt;#REF!,1,A720+1)</f>
        <v>#REF!</v>
      </c>
      <c r="O721" s="79"/>
      <c r="P721" s="79"/>
      <c r="Q721" s="76"/>
      <c r="R721" s="77"/>
      <c r="S721" s="76"/>
      <c r="T721" s="77"/>
      <c r="U721" s="76"/>
      <c r="V721" s="77"/>
      <c r="W721" s="76"/>
      <c r="X721" s="77"/>
      <c r="Y721" s="76"/>
      <c r="Z721" s="76"/>
      <c r="AA721" s="76"/>
      <c r="AB721" s="76"/>
      <c r="AC721" s="76"/>
      <c r="AD721" s="76"/>
      <c r="AE721" s="76"/>
      <c r="AF721" s="76"/>
      <c r="AG721" s="76"/>
      <c r="AH721" s="76"/>
      <c r="AI721" s="76"/>
      <c r="AJ721" s="76"/>
      <c r="AK721" s="76"/>
      <c r="AL721" s="77"/>
      <c r="AM721" s="76"/>
      <c r="AN721" s="76"/>
    </row>
    <row r="722" spans="1:40" ht="15">
      <c r="A722" s="83" t="e">
        <f>IF(#REF!&lt;&gt;#REF!,1,A721+1)</f>
        <v>#REF!</v>
      </c>
      <c r="O722" s="79"/>
      <c r="P722" s="79"/>
      <c r="Q722" s="76"/>
      <c r="R722" s="77"/>
      <c r="S722" s="76"/>
      <c r="T722" s="77"/>
      <c r="U722" s="76"/>
      <c r="V722" s="77"/>
      <c r="W722" s="76"/>
      <c r="X722" s="77"/>
      <c r="Y722" s="76"/>
      <c r="Z722" s="76"/>
      <c r="AA722" s="76"/>
      <c r="AB722" s="76"/>
      <c r="AC722" s="76"/>
      <c r="AD722" s="76"/>
      <c r="AE722" s="76"/>
      <c r="AF722" s="76"/>
      <c r="AG722" s="76"/>
      <c r="AH722" s="76"/>
      <c r="AI722" s="76"/>
      <c r="AJ722" s="76"/>
      <c r="AK722" s="76"/>
      <c r="AL722" s="77"/>
      <c r="AM722" s="76"/>
      <c r="AN722" s="76"/>
    </row>
    <row r="723" spans="1:40" ht="15">
      <c r="A723" s="83" t="e">
        <f>IF(#REF!&lt;&gt;#REF!,1,A722+1)</f>
        <v>#REF!</v>
      </c>
      <c r="O723" s="79"/>
      <c r="P723" s="79"/>
      <c r="Q723" s="76"/>
      <c r="R723" s="77"/>
      <c r="S723" s="76"/>
      <c r="T723" s="77"/>
      <c r="U723" s="76"/>
      <c r="V723" s="77"/>
      <c r="W723" s="76"/>
      <c r="X723" s="77"/>
      <c r="Y723" s="76"/>
      <c r="Z723" s="76"/>
      <c r="AA723" s="76"/>
      <c r="AB723" s="76"/>
      <c r="AC723" s="76"/>
      <c r="AD723" s="76"/>
      <c r="AE723" s="76"/>
      <c r="AF723" s="76"/>
      <c r="AG723" s="76"/>
      <c r="AH723" s="76"/>
      <c r="AI723" s="76"/>
      <c r="AJ723" s="76"/>
      <c r="AK723" s="76"/>
      <c r="AL723" s="77"/>
      <c r="AM723" s="76"/>
      <c r="AN723" s="76"/>
    </row>
    <row r="724" spans="1:40" ht="15">
      <c r="A724" s="83" t="e">
        <f>IF(#REF!&lt;&gt;#REF!,1,A723+1)</f>
        <v>#REF!</v>
      </c>
      <c r="O724" s="79"/>
      <c r="P724" s="79"/>
      <c r="Q724" s="76"/>
      <c r="R724" s="77"/>
      <c r="S724" s="76"/>
      <c r="T724" s="77"/>
      <c r="U724" s="76"/>
      <c r="V724" s="77"/>
      <c r="W724" s="76"/>
      <c r="X724" s="77"/>
      <c r="Y724" s="76"/>
      <c r="Z724" s="76"/>
      <c r="AA724" s="76"/>
      <c r="AB724" s="76"/>
      <c r="AC724" s="76"/>
      <c r="AD724" s="76"/>
      <c r="AE724" s="76"/>
      <c r="AF724" s="76"/>
      <c r="AG724" s="76"/>
      <c r="AH724" s="76"/>
      <c r="AI724" s="76"/>
      <c r="AJ724" s="76"/>
      <c r="AK724" s="76"/>
      <c r="AL724" s="77"/>
      <c r="AM724" s="76"/>
      <c r="AN724" s="76"/>
    </row>
    <row r="725" spans="1:40" ht="15">
      <c r="A725" s="83" t="e">
        <f>IF(#REF!&lt;&gt;#REF!,1,A724+1)</f>
        <v>#REF!</v>
      </c>
      <c r="O725" s="79"/>
      <c r="P725" s="79"/>
      <c r="Q725" s="76"/>
      <c r="R725" s="77"/>
      <c r="S725" s="76"/>
      <c r="T725" s="77"/>
      <c r="U725" s="76"/>
      <c r="V725" s="77"/>
      <c r="W725" s="76"/>
      <c r="X725" s="77"/>
      <c r="Y725" s="76"/>
      <c r="Z725" s="76"/>
      <c r="AA725" s="76"/>
      <c r="AB725" s="76"/>
      <c r="AC725" s="76"/>
      <c r="AD725" s="76"/>
      <c r="AE725" s="76"/>
      <c r="AF725" s="76"/>
      <c r="AG725" s="76"/>
      <c r="AH725" s="76"/>
      <c r="AI725" s="76"/>
      <c r="AJ725" s="76"/>
      <c r="AK725" s="76"/>
      <c r="AL725" s="77"/>
      <c r="AM725" s="76"/>
      <c r="AN725" s="76"/>
    </row>
    <row r="726" spans="1:40" ht="15">
      <c r="A726" s="83" t="e">
        <f>IF(#REF!&lt;&gt;#REF!,1,A725+1)</f>
        <v>#REF!</v>
      </c>
      <c r="O726" s="79"/>
      <c r="P726" s="79"/>
      <c r="Q726" s="76"/>
      <c r="R726" s="77"/>
      <c r="S726" s="76"/>
      <c r="T726" s="77"/>
      <c r="U726" s="76"/>
      <c r="V726" s="77"/>
      <c r="W726" s="76"/>
      <c r="X726" s="77"/>
      <c r="Y726" s="76"/>
      <c r="Z726" s="76"/>
      <c r="AA726" s="76"/>
      <c r="AB726" s="76"/>
      <c r="AC726" s="76"/>
      <c r="AD726" s="76"/>
      <c r="AE726" s="76"/>
      <c r="AF726" s="76"/>
      <c r="AG726" s="76"/>
      <c r="AH726" s="76"/>
      <c r="AI726" s="76"/>
      <c r="AJ726" s="76"/>
      <c r="AK726" s="76"/>
      <c r="AL726" s="77"/>
      <c r="AM726" s="76"/>
      <c r="AN726" s="76"/>
    </row>
    <row r="727" spans="1:40" ht="15">
      <c r="A727" s="83" t="e">
        <f>IF(#REF!&lt;&gt;#REF!,1,A726+1)</f>
        <v>#REF!</v>
      </c>
      <c r="O727" s="79"/>
      <c r="P727" s="79"/>
      <c r="Q727" s="76"/>
      <c r="R727" s="77"/>
      <c r="S727" s="76"/>
      <c r="T727" s="77"/>
      <c r="U727" s="76"/>
      <c r="V727" s="77"/>
      <c r="W727" s="76"/>
      <c r="X727" s="77"/>
      <c r="Y727" s="76"/>
      <c r="Z727" s="76"/>
      <c r="AA727" s="76"/>
      <c r="AB727" s="76"/>
      <c r="AC727" s="76"/>
      <c r="AD727" s="76"/>
      <c r="AE727" s="76"/>
      <c r="AF727" s="76"/>
      <c r="AG727" s="76"/>
      <c r="AH727" s="76"/>
      <c r="AI727" s="76"/>
      <c r="AJ727" s="76"/>
      <c r="AK727" s="76"/>
      <c r="AL727" s="77"/>
      <c r="AM727" s="76"/>
      <c r="AN727" s="76"/>
    </row>
    <row r="728" spans="1:40" ht="15">
      <c r="A728" s="83" t="e">
        <f>IF(#REF!&lt;&gt;#REF!,1,A727+1)</f>
        <v>#REF!</v>
      </c>
      <c r="O728" s="79"/>
      <c r="P728" s="79"/>
      <c r="Q728" s="76"/>
      <c r="R728" s="77"/>
      <c r="S728" s="76"/>
      <c r="T728" s="77"/>
      <c r="U728" s="76"/>
      <c r="V728" s="77"/>
      <c r="W728" s="76"/>
      <c r="X728" s="77"/>
      <c r="Y728" s="76"/>
      <c r="Z728" s="76"/>
      <c r="AA728" s="76"/>
      <c r="AB728" s="76"/>
      <c r="AC728" s="76"/>
      <c r="AD728" s="76"/>
      <c r="AE728" s="76"/>
      <c r="AF728" s="76"/>
      <c r="AG728" s="76"/>
      <c r="AH728" s="76"/>
      <c r="AI728" s="76"/>
      <c r="AJ728" s="76"/>
      <c r="AK728" s="76"/>
      <c r="AL728" s="77"/>
      <c r="AM728" s="76"/>
      <c r="AN728" s="76"/>
    </row>
    <row r="729" spans="1:40" ht="15">
      <c r="A729" s="83" t="e">
        <f>IF(#REF!&lt;&gt;#REF!,1,A728+1)</f>
        <v>#REF!</v>
      </c>
      <c r="O729" s="79"/>
      <c r="P729" s="79"/>
      <c r="Q729" s="76"/>
      <c r="R729" s="77"/>
      <c r="S729" s="76"/>
      <c r="T729" s="77"/>
      <c r="U729" s="76"/>
      <c r="V729" s="77"/>
      <c r="W729" s="76"/>
      <c r="X729" s="77"/>
      <c r="Y729" s="76"/>
      <c r="Z729" s="76"/>
      <c r="AA729" s="76"/>
      <c r="AB729" s="76"/>
      <c r="AC729" s="76"/>
      <c r="AD729" s="76"/>
      <c r="AE729" s="76"/>
      <c r="AF729" s="76"/>
      <c r="AG729" s="76"/>
      <c r="AH729" s="76"/>
      <c r="AI729" s="76"/>
      <c r="AJ729" s="76"/>
      <c r="AK729" s="76"/>
      <c r="AL729" s="77"/>
      <c r="AM729" s="76"/>
      <c r="AN729" s="76"/>
    </row>
    <row r="730" spans="1:40" ht="15">
      <c r="A730" s="83" t="e">
        <f>IF(#REF!&lt;&gt;#REF!,1,A729+1)</f>
        <v>#REF!</v>
      </c>
      <c r="O730" s="79"/>
      <c r="P730" s="79"/>
      <c r="Q730" s="76"/>
      <c r="R730" s="77"/>
      <c r="S730" s="76"/>
      <c r="T730" s="77"/>
      <c r="U730" s="76"/>
      <c r="V730" s="77"/>
      <c r="W730" s="76"/>
      <c r="X730" s="77"/>
      <c r="Y730" s="76"/>
      <c r="Z730" s="76"/>
      <c r="AA730" s="76"/>
      <c r="AB730" s="76"/>
      <c r="AC730" s="76"/>
      <c r="AD730" s="76"/>
      <c r="AE730" s="76"/>
      <c r="AF730" s="76"/>
      <c r="AG730" s="76"/>
      <c r="AH730" s="76"/>
      <c r="AI730" s="76"/>
      <c r="AJ730" s="76"/>
      <c r="AK730" s="76"/>
      <c r="AL730" s="77"/>
      <c r="AM730" s="76"/>
      <c r="AN730" s="76"/>
    </row>
    <row r="731" spans="1:40" ht="15">
      <c r="A731" s="83" t="e">
        <f>IF(#REF!&lt;&gt;#REF!,1,A730+1)</f>
        <v>#REF!</v>
      </c>
      <c r="O731" s="79"/>
      <c r="P731" s="79"/>
      <c r="Q731" s="76"/>
      <c r="R731" s="77"/>
      <c r="S731" s="76"/>
      <c r="T731" s="77"/>
      <c r="U731" s="76"/>
      <c r="V731" s="77"/>
      <c r="W731" s="76"/>
      <c r="X731" s="77"/>
      <c r="Y731" s="76"/>
      <c r="Z731" s="76"/>
      <c r="AA731" s="76"/>
      <c r="AB731" s="76"/>
      <c r="AC731" s="76"/>
      <c r="AD731" s="76"/>
      <c r="AE731" s="76"/>
      <c r="AF731" s="76"/>
      <c r="AG731" s="76"/>
      <c r="AH731" s="76"/>
      <c r="AI731" s="76"/>
      <c r="AJ731" s="76"/>
      <c r="AK731" s="76"/>
      <c r="AL731" s="77"/>
      <c r="AM731" s="76"/>
      <c r="AN731" s="76"/>
    </row>
    <row r="732" spans="1:40" ht="15">
      <c r="A732" s="83" t="e">
        <f>IF(#REF!&lt;&gt;#REF!,1,A731+1)</f>
        <v>#REF!</v>
      </c>
      <c r="O732" s="79"/>
      <c r="P732" s="79"/>
      <c r="Q732" s="76"/>
      <c r="R732" s="77"/>
      <c r="S732" s="76"/>
      <c r="T732" s="77"/>
      <c r="U732" s="76"/>
      <c r="V732" s="77"/>
      <c r="W732" s="76"/>
      <c r="X732" s="77"/>
      <c r="Y732" s="76"/>
      <c r="Z732" s="76"/>
      <c r="AA732" s="76"/>
      <c r="AB732" s="76"/>
      <c r="AC732" s="76"/>
      <c r="AD732" s="76"/>
      <c r="AE732" s="76"/>
      <c r="AF732" s="76"/>
      <c r="AG732" s="76"/>
      <c r="AH732" s="76"/>
      <c r="AI732" s="76"/>
      <c r="AJ732" s="76"/>
      <c r="AK732" s="76"/>
      <c r="AL732" s="77"/>
      <c r="AM732" s="76"/>
      <c r="AN732" s="76"/>
    </row>
    <row r="733" spans="1:40" ht="15">
      <c r="A733" s="83" t="e">
        <f>IF(#REF!&lt;&gt;#REF!,1,A732+1)</f>
        <v>#REF!</v>
      </c>
      <c r="O733" s="79"/>
      <c r="P733" s="79"/>
      <c r="Q733" s="76"/>
      <c r="R733" s="77"/>
      <c r="S733" s="76"/>
      <c r="T733" s="77"/>
      <c r="U733" s="76"/>
      <c r="V733" s="77"/>
      <c r="W733" s="76"/>
      <c r="X733" s="77"/>
      <c r="Y733" s="76"/>
      <c r="Z733" s="76"/>
      <c r="AA733" s="76"/>
      <c r="AB733" s="76"/>
      <c r="AC733" s="76"/>
      <c r="AD733" s="76"/>
      <c r="AE733" s="76"/>
      <c r="AF733" s="76"/>
      <c r="AG733" s="76"/>
      <c r="AH733" s="76"/>
      <c r="AI733" s="76"/>
      <c r="AJ733" s="76"/>
      <c r="AK733" s="76"/>
      <c r="AL733" s="77"/>
      <c r="AM733" s="76"/>
      <c r="AN733" s="76"/>
    </row>
    <row r="734" spans="1:40" ht="15">
      <c r="A734" s="83" t="e">
        <f>IF(#REF!&lt;&gt;#REF!,1,A733+1)</f>
        <v>#REF!</v>
      </c>
      <c r="O734" s="79"/>
      <c r="P734" s="79"/>
      <c r="Q734" s="76"/>
      <c r="R734" s="77"/>
      <c r="S734" s="76"/>
      <c r="T734" s="77"/>
      <c r="U734" s="76"/>
      <c r="V734" s="77"/>
      <c r="W734" s="76"/>
      <c r="X734" s="77"/>
      <c r="Y734" s="76"/>
      <c r="Z734" s="76"/>
      <c r="AA734" s="76"/>
      <c r="AB734" s="76"/>
      <c r="AC734" s="76"/>
      <c r="AD734" s="76"/>
      <c r="AE734" s="76"/>
      <c r="AF734" s="76"/>
      <c r="AG734" s="76"/>
      <c r="AH734" s="76"/>
      <c r="AI734" s="76"/>
      <c r="AJ734" s="76"/>
      <c r="AK734" s="76"/>
      <c r="AL734" s="77"/>
      <c r="AM734" s="76"/>
      <c r="AN734" s="76"/>
    </row>
    <row r="735" spans="1:40" ht="15">
      <c r="A735" s="83" t="e">
        <f>IF(#REF!&lt;&gt;#REF!,1,A734+1)</f>
        <v>#REF!</v>
      </c>
      <c r="O735" s="79"/>
      <c r="P735" s="79"/>
      <c r="Q735" s="76"/>
      <c r="R735" s="77"/>
      <c r="S735" s="76"/>
      <c r="T735" s="77"/>
      <c r="U735" s="76"/>
      <c r="V735" s="77"/>
      <c r="W735" s="76"/>
      <c r="X735" s="77"/>
      <c r="Y735" s="76"/>
      <c r="Z735" s="76"/>
      <c r="AA735" s="76"/>
      <c r="AB735" s="76"/>
      <c r="AC735" s="76"/>
      <c r="AD735" s="76"/>
      <c r="AE735" s="76"/>
      <c r="AF735" s="76"/>
      <c r="AG735" s="76"/>
      <c r="AH735" s="76"/>
      <c r="AI735" s="76"/>
      <c r="AJ735" s="76"/>
      <c r="AK735" s="76"/>
      <c r="AL735" s="77"/>
      <c r="AM735" s="76"/>
      <c r="AN735" s="76"/>
    </row>
    <row r="736" spans="1:40" ht="15">
      <c r="A736" s="83" t="e">
        <f>IF(#REF!&lt;&gt;#REF!,1,A735+1)</f>
        <v>#REF!</v>
      </c>
      <c r="O736" s="79"/>
      <c r="P736" s="79"/>
      <c r="Q736" s="76"/>
      <c r="R736" s="77"/>
      <c r="S736" s="76"/>
      <c r="T736" s="77"/>
      <c r="U736" s="76"/>
      <c r="V736" s="77"/>
      <c r="W736" s="76"/>
      <c r="X736" s="77"/>
      <c r="Y736" s="76"/>
      <c r="Z736" s="76"/>
      <c r="AA736" s="76"/>
      <c r="AB736" s="76"/>
      <c r="AC736" s="76"/>
      <c r="AD736" s="76"/>
      <c r="AE736" s="76"/>
      <c r="AF736" s="76"/>
      <c r="AG736" s="76"/>
      <c r="AH736" s="76"/>
      <c r="AI736" s="76"/>
      <c r="AJ736" s="76"/>
      <c r="AK736" s="76"/>
      <c r="AL736" s="77"/>
      <c r="AM736" s="76"/>
      <c r="AN736" s="76"/>
    </row>
    <row r="737" spans="1:40" ht="15">
      <c r="A737" s="83" t="e">
        <f>IF(#REF!&lt;&gt;#REF!,1,A736+1)</f>
        <v>#REF!</v>
      </c>
      <c r="O737" s="79"/>
      <c r="P737" s="79"/>
      <c r="Q737" s="76"/>
      <c r="R737" s="77"/>
      <c r="S737" s="76"/>
      <c r="T737" s="77"/>
      <c r="U737" s="76"/>
      <c r="V737" s="77"/>
      <c r="W737" s="76"/>
      <c r="X737" s="77"/>
      <c r="Y737" s="76"/>
      <c r="Z737" s="76"/>
      <c r="AA737" s="76"/>
      <c r="AB737" s="76"/>
      <c r="AC737" s="76"/>
      <c r="AD737" s="76"/>
      <c r="AE737" s="76"/>
      <c r="AF737" s="76"/>
      <c r="AG737" s="76"/>
      <c r="AH737" s="76"/>
      <c r="AI737" s="76"/>
      <c r="AJ737" s="76"/>
      <c r="AK737" s="76"/>
      <c r="AL737" s="77"/>
      <c r="AM737" s="76"/>
      <c r="AN737" s="76"/>
    </row>
    <row r="738" spans="1:40" ht="15">
      <c r="A738" s="83" t="e">
        <f>IF(#REF!&lt;&gt;#REF!,1,A737+1)</f>
        <v>#REF!</v>
      </c>
      <c r="O738" s="79"/>
      <c r="P738" s="79"/>
      <c r="Q738" s="76"/>
      <c r="R738" s="77"/>
      <c r="S738" s="76"/>
      <c r="T738" s="77"/>
      <c r="U738" s="76"/>
      <c r="V738" s="77"/>
      <c r="W738" s="76"/>
      <c r="X738" s="77"/>
      <c r="Y738" s="76"/>
      <c r="Z738" s="76"/>
      <c r="AA738" s="76"/>
      <c r="AB738" s="76"/>
      <c r="AC738" s="76"/>
      <c r="AD738" s="76"/>
      <c r="AE738" s="76"/>
      <c r="AF738" s="76"/>
      <c r="AG738" s="76"/>
      <c r="AH738" s="76"/>
      <c r="AI738" s="76"/>
      <c r="AJ738" s="76"/>
      <c r="AK738" s="76"/>
      <c r="AL738" s="77"/>
      <c r="AM738" s="76"/>
      <c r="AN738" s="76"/>
    </row>
    <row r="739" spans="1:40" ht="15">
      <c r="A739" s="83" t="e">
        <f>IF(#REF!&lt;&gt;#REF!,1,A738+1)</f>
        <v>#REF!</v>
      </c>
      <c r="O739" s="79"/>
      <c r="P739" s="79"/>
      <c r="Q739" s="76"/>
      <c r="R739" s="77"/>
      <c r="S739" s="76"/>
      <c r="T739" s="77"/>
      <c r="U739" s="76"/>
      <c r="V739" s="77"/>
      <c r="W739" s="76"/>
      <c r="X739" s="77"/>
      <c r="Y739" s="76"/>
      <c r="Z739" s="76"/>
      <c r="AA739" s="76"/>
      <c r="AB739" s="76"/>
      <c r="AC739" s="76"/>
      <c r="AD739" s="76"/>
      <c r="AE739" s="76"/>
      <c r="AF739" s="76"/>
      <c r="AG739" s="76"/>
      <c r="AH739" s="76"/>
      <c r="AI739" s="76"/>
      <c r="AJ739" s="76"/>
      <c r="AK739" s="76"/>
      <c r="AL739" s="77"/>
      <c r="AM739" s="76"/>
      <c r="AN739" s="76"/>
    </row>
    <row r="740" spans="1:40" ht="15">
      <c r="A740" s="83" t="e">
        <f>IF(#REF!&lt;&gt;#REF!,1,A739+1)</f>
        <v>#REF!</v>
      </c>
      <c r="O740" s="79"/>
      <c r="P740" s="79"/>
      <c r="Q740" s="76"/>
      <c r="R740" s="77"/>
      <c r="S740" s="76"/>
      <c r="T740" s="77"/>
      <c r="U740" s="76"/>
      <c r="V740" s="77"/>
      <c r="W740" s="76"/>
      <c r="X740" s="77"/>
      <c r="Y740" s="76"/>
      <c r="Z740" s="76"/>
      <c r="AA740" s="76"/>
      <c r="AB740" s="76"/>
      <c r="AC740" s="76"/>
      <c r="AD740" s="76"/>
      <c r="AE740" s="76"/>
      <c r="AF740" s="76"/>
      <c r="AG740" s="76"/>
      <c r="AH740" s="76"/>
      <c r="AI740" s="76"/>
      <c r="AJ740" s="76"/>
      <c r="AK740" s="76"/>
      <c r="AL740" s="77"/>
      <c r="AM740" s="76"/>
      <c r="AN740" s="76"/>
    </row>
    <row r="741" spans="1:40" ht="15">
      <c r="A741" s="83" t="e">
        <f>IF(#REF!&lt;&gt;#REF!,1,A740+1)</f>
        <v>#REF!</v>
      </c>
      <c r="O741" s="79"/>
      <c r="P741" s="79"/>
      <c r="Q741" s="76"/>
      <c r="R741" s="77"/>
      <c r="S741" s="76"/>
      <c r="T741" s="77"/>
      <c r="U741" s="76"/>
      <c r="V741" s="77"/>
      <c r="W741" s="76"/>
      <c r="X741" s="77"/>
      <c r="Y741" s="76"/>
      <c r="Z741" s="76"/>
      <c r="AA741" s="76"/>
      <c r="AB741" s="76"/>
      <c r="AC741" s="76"/>
      <c r="AD741" s="76"/>
      <c r="AE741" s="76"/>
      <c r="AF741" s="76"/>
      <c r="AG741" s="76"/>
      <c r="AH741" s="76"/>
      <c r="AI741" s="76"/>
      <c r="AJ741" s="76"/>
      <c r="AK741" s="76"/>
      <c r="AL741" s="77"/>
      <c r="AM741" s="76"/>
      <c r="AN741" s="76"/>
    </row>
    <row r="742" spans="1:40" ht="15">
      <c r="A742" s="83" t="e">
        <f>IF(#REF!&lt;&gt;#REF!,1,A741+1)</f>
        <v>#REF!</v>
      </c>
      <c r="O742" s="79"/>
      <c r="P742" s="79"/>
      <c r="Q742" s="76"/>
      <c r="R742" s="77"/>
      <c r="S742" s="76"/>
      <c r="T742" s="77"/>
      <c r="U742" s="76"/>
      <c r="V742" s="77"/>
      <c r="W742" s="76"/>
      <c r="X742" s="77"/>
      <c r="Y742" s="76"/>
      <c r="Z742" s="76"/>
      <c r="AA742" s="76"/>
      <c r="AB742" s="76"/>
      <c r="AC742" s="76"/>
      <c r="AD742" s="76"/>
      <c r="AE742" s="76"/>
      <c r="AF742" s="76"/>
      <c r="AG742" s="76"/>
      <c r="AH742" s="76"/>
      <c r="AI742" s="76"/>
      <c r="AJ742" s="76"/>
      <c r="AK742" s="76"/>
      <c r="AL742" s="77"/>
      <c r="AM742" s="76"/>
      <c r="AN742" s="76"/>
    </row>
    <row r="743" spans="1:40" ht="15">
      <c r="A743" s="83" t="e">
        <f>IF(#REF!&lt;&gt;#REF!,1,A742+1)</f>
        <v>#REF!</v>
      </c>
      <c r="O743" s="79"/>
      <c r="P743" s="79"/>
      <c r="Q743" s="76"/>
      <c r="R743" s="77"/>
      <c r="S743" s="76"/>
      <c r="T743" s="77"/>
      <c r="U743" s="76"/>
      <c r="V743" s="77"/>
      <c r="W743" s="76"/>
      <c r="X743" s="77"/>
      <c r="Y743" s="76"/>
      <c r="Z743" s="76"/>
      <c r="AA743" s="76"/>
      <c r="AB743" s="76"/>
      <c r="AC743" s="76"/>
      <c r="AD743" s="76"/>
      <c r="AE743" s="76"/>
      <c r="AF743" s="76"/>
      <c r="AG743" s="76"/>
      <c r="AH743" s="76"/>
      <c r="AI743" s="76"/>
      <c r="AJ743" s="76"/>
      <c r="AK743" s="76"/>
      <c r="AL743" s="77"/>
      <c r="AM743" s="76"/>
      <c r="AN743" s="76"/>
    </row>
    <row r="744" spans="1:40" ht="15">
      <c r="A744" s="83" t="e">
        <f>IF(#REF!&lt;&gt;#REF!,1,A743+1)</f>
        <v>#REF!</v>
      </c>
      <c r="O744" s="79"/>
      <c r="P744" s="79"/>
      <c r="Q744" s="76"/>
      <c r="R744" s="77"/>
      <c r="S744" s="76"/>
      <c r="T744" s="77"/>
      <c r="U744" s="76"/>
      <c r="V744" s="77"/>
      <c r="W744" s="76"/>
      <c r="X744" s="77"/>
      <c r="Y744" s="76"/>
      <c r="Z744" s="76"/>
      <c r="AA744" s="76"/>
      <c r="AB744" s="76"/>
      <c r="AC744" s="76"/>
      <c r="AD744" s="76"/>
      <c r="AE744" s="76"/>
      <c r="AF744" s="76"/>
      <c r="AG744" s="76"/>
      <c r="AH744" s="76"/>
      <c r="AI744" s="76"/>
      <c r="AJ744" s="76"/>
      <c r="AK744" s="76"/>
      <c r="AL744" s="77"/>
      <c r="AM744" s="76"/>
      <c r="AN744" s="76"/>
    </row>
    <row r="745" spans="1:40" ht="15">
      <c r="A745" s="83" t="e">
        <f>IF(#REF!&lt;&gt;#REF!,1,A744+1)</f>
        <v>#REF!</v>
      </c>
      <c r="O745" s="79"/>
      <c r="P745" s="79"/>
      <c r="Q745" s="76"/>
      <c r="R745" s="77"/>
      <c r="S745" s="76"/>
      <c r="T745" s="77"/>
      <c r="U745" s="76"/>
      <c r="V745" s="77"/>
      <c r="W745" s="76"/>
      <c r="X745" s="77"/>
      <c r="Y745" s="76"/>
      <c r="Z745" s="76"/>
      <c r="AA745" s="76"/>
      <c r="AB745" s="76"/>
      <c r="AC745" s="76"/>
      <c r="AD745" s="76"/>
      <c r="AE745" s="76"/>
      <c r="AF745" s="76"/>
      <c r="AG745" s="76"/>
      <c r="AH745" s="76"/>
      <c r="AI745" s="76"/>
      <c r="AJ745" s="76"/>
      <c r="AK745" s="76"/>
      <c r="AL745" s="77"/>
      <c r="AM745" s="76"/>
      <c r="AN745" s="76"/>
    </row>
    <row r="746" spans="1:40" ht="15">
      <c r="A746" s="83" t="e">
        <f>IF(#REF!&lt;&gt;#REF!,1,A745+1)</f>
        <v>#REF!</v>
      </c>
      <c r="O746" s="79"/>
      <c r="P746" s="79"/>
      <c r="Q746" s="76"/>
      <c r="R746" s="77"/>
      <c r="S746" s="76"/>
      <c r="T746" s="77"/>
      <c r="U746" s="76"/>
      <c r="V746" s="77"/>
      <c r="W746" s="76"/>
      <c r="X746" s="77"/>
      <c r="Y746" s="76"/>
      <c r="Z746" s="76"/>
      <c r="AA746" s="76"/>
      <c r="AB746" s="76"/>
      <c r="AC746" s="76"/>
      <c r="AD746" s="76"/>
      <c r="AE746" s="76"/>
      <c r="AF746" s="76"/>
      <c r="AG746" s="76"/>
      <c r="AH746" s="76"/>
      <c r="AI746" s="76"/>
      <c r="AJ746" s="76"/>
      <c r="AK746" s="76"/>
      <c r="AL746" s="77"/>
      <c r="AM746" s="76"/>
      <c r="AN746" s="76"/>
    </row>
    <row r="747" spans="1:40" ht="15">
      <c r="A747" s="83" t="e">
        <f>IF(#REF!&lt;&gt;#REF!,1,A746+1)</f>
        <v>#REF!</v>
      </c>
      <c r="O747" s="79"/>
      <c r="P747" s="79"/>
      <c r="Q747" s="76"/>
      <c r="R747" s="77"/>
      <c r="S747" s="76"/>
      <c r="T747" s="77"/>
      <c r="U747" s="76"/>
      <c r="V747" s="77"/>
      <c r="W747" s="76"/>
      <c r="X747" s="77"/>
      <c r="Y747" s="76"/>
      <c r="Z747" s="76"/>
      <c r="AA747" s="76"/>
      <c r="AB747" s="76"/>
      <c r="AC747" s="76"/>
      <c r="AD747" s="76"/>
      <c r="AE747" s="76"/>
      <c r="AF747" s="76"/>
      <c r="AG747" s="76"/>
      <c r="AH747" s="76"/>
      <c r="AI747" s="76"/>
      <c r="AJ747" s="76"/>
      <c r="AK747" s="76"/>
      <c r="AL747" s="77"/>
      <c r="AM747" s="76"/>
      <c r="AN747" s="76"/>
    </row>
    <row r="748" spans="1:40" ht="15">
      <c r="A748" s="83" t="e">
        <f>IF(#REF!&lt;&gt;#REF!,1,A747+1)</f>
        <v>#REF!</v>
      </c>
      <c r="O748" s="79"/>
      <c r="P748" s="79"/>
      <c r="Q748" s="76"/>
      <c r="R748" s="77"/>
      <c r="S748" s="76"/>
      <c r="T748" s="77"/>
      <c r="U748" s="76"/>
      <c r="V748" s="77"/>
      <c r="W748" s="76"/>
      <c r="X748" s="77"/>
      <c r="Y748" s="76"/>
      <c r="Z748" s="76"/>
      <c r="AA748" s="76"/>
      <c r="AB748" s="76"/>
      <c r="AC748" s="76"/>
      <c r="AD748" s="76"/>
      <c r="AE748" s="76"/>
      <c r="AF748" s="76"/>
      <c r="AG748" s="76"/>
      <c r="AH748" s="76"/>
      <c r="AI748" s="76"/>
      <c r="AJ748" s="76"/>
      <c r="AK748" s="76"/>
      <c r="AL748" s="77"/>
      <c r="AM748" s="76"/>
      <c r="AN748" s="76"/>
    </row>
    <row r="749" spans="1:40" ht="15">
      <c r="A749" s="83" t="e">
        <f>IF(#REF!&lt;&gt;#REF!,1,A748+1)</f>
        <v>#REF!</v>
      </c>
      <c r="O749" s="79"/>
      <c r="P749" s="79"/>
      <c r="Q749" s="76"/>
      <c r="R749" s="77"/>
      <c r="S749" s="76"/>
      <c r="T749" s="77"/>
      <c r="U749" s="76"/>
      <c r="V749" s="77"/>
      <c r="W749" s="76"/>
      <c r="X749" s="77"/>
      <c r="Y749" s="76"/>
      <c r="Z749" s="76"/>
      <c r="AA749" s="76"/>
      <c r="AB749" s="76"/>
      <c r="AC749" s="76"/>
      <c r="AD749" s="76"/>
      <c r="AE749" s="76"/>
      <c r="AF749" s="76"/>
      <c r="AG749" s="76"/>
      <c r="AH749" s="76"/>
      <c r="AI749" s="76"/>
      <c r="AJ749" s="76"/>
      <c r="AK749" s="76"/>
      <c r="AL749" s="77"/>
      <c r="AM749" s="76"/>
      <c r="AN749" s="76"/>
    </row>
    <row r="750" spans="1:40" ht="15">
      <c r="A750" s="83" t="e">
        <f>IF(#REF!&lt;&gt;#REF!,1,A749+1)</f>
        <v>#REF!</v>
      </c>
      <c r="O750" s="79"/>
      <c r="P750" s="79"/>
      <c r="Q750" s="76"/>
      <c r="R750" s="77"/>
      <c r="S750" s="76"/>
      <c r="T750" s="77"/>
      <c r="U750" s="76"/>
      <c r="V750" s="77"/>
      <c r="W750" s="76"/>
      <c r="X750" s="77"/>
      <c r="Y750" s="76"/>
      <c r="Z750" s="76"/>
      <c r="AA750" s="76"/>
      <c r="AB750" s="76"/>
      <c r="AC750" s="76"/>
      <c r="AD750" s="76"/>
      <c r="AE750" s="76"/>
      <c r="AF750" s="76"/>
      <c r="AG750" s="76"/>
      <c r="AH750" s="76"/>
      <c r="AI750" s="76"/>
      <c r="AJ750" s="76"/>
      <c r="AK750" s="76"/>
      <c r="AL750" s="77"/>
      <c r="AM750" s="76"/>
      <c r="AN750" s="76"/>
    </row>
    <row r="751" spans="1:40" ht="15">
      <c r="A751" s="83" t="e">
        <f>IF(#REF!&lt;&gt;#REF!,1,A750+1)</f>
        <v>#REF!</v>
      </c>
      <c r="O751" s="79"/>
      <c r="P751" s="79"/>
      <c r="Q751" s="76"/>
      <c r="R751" s="77"/>
      <c r="S751" s="76"/>
      <c r="T751" s="77"/>
      <c r="U751" s="76"/>
      <c r="V751" s="77"/>
      <c r="W751" s="76"/>
      <c r="X751" s="77"/>
      <c r="Y751" s="76"/>
      <c r="Z751" s="76"/>
      <c r="AA751" s="76"/>
      <c r="AB751" s="76"/>
      <c r="AC751" s="76"/>
      <c r="AD751" s="76"/>
      <c r="AE751" s="76"/>
      <c r="AF751" s="76"/>
      <c r="AG751" s="76"/>
      <c r="AH751" s="76"/>
      <c r="AI751" s="76"/>
      <c r="AJ751" s="76"/>
      <c r="AK751" s="76"/>
      <c r="AL751" s="77"/>
      <c r="AM751" s="76"/>
      <c r="AN751" s="76"/>
    </row>
    <row r="752" spans="1:40" ht="15">
      <c r="A752" s="83" t="e">
        <f>IF(#REF!&lt;&gt;#REF!,1,A751+1)</f>
        <v>#REF!</v>
      </c>
      <c r="O752" s="79"/>
      <c r="P752" s="79"/>
      <c r="Q752" s="76"/>
      <c r="R752" s="77"/>
      <c r="S752" s="76"/>
      <c r="T752" s="77"/>
      <c r="U752" s="76"/>
      <c r="V752" s="77"/>
      <c r="W752" s="76"/>
      <c r="X752" s="77"/>
      <c r="Y752" s="76"/>
      <c r="Z752" s="76"/>
      <c r="AA752" s="76"/>
      <c r="AB752" s="76"/>
      <c r="AC752" s="76"/>
      <c r="AD752" s="76"/>
      <c r="AE752" s="76"/>
      <c r="AF752" s="76"/>
      <c r="AG752" s="76"/>
      <c r="AH752" s="76"/>
      <c r="AI752" s="76"/>
      <c r="AJ752" s="76"/>
      <c r="AK752" s="76"/>
      <c r="AL752" s="77"/>
      <c r="AM752" s="76"/>
      <c r="AN752" s="76"/>
    </row>
    <row r="753" spans="1:40" ht="15">
      <c r="A753" s="83" t="e">
        <f>IF(#REF!&lt;&gt;#REF!,1,A752+1)</f>
        <v>#REF!</v>
      </c>
      <c r="O753" s="79"/>
      <c r="P753" s="79"/>
      <c r="Q753" s="76"/>
      <c r="R753" s="77"/>
      <c r="S753" s="76"/>
      <c r="T753" s="77"/>
      <c r="U753" s="76"/>
      <c r="V753" s="77"/>
      <c r="W753" s="76"/>
      <c r="X753" s="77"/>
      <c r="Y753" s="76"/>
      <c r="Z753" s="76"/>
      <c r="AA753" s="76"/>
      <c r="AB753" s="76"/>
      <c r="AC753" s="76"/>
      <c r="AD753" s="76"/>
      <c r="AE753" s="76"/>
      <c r="AF753" s="76"/>
      <c r="AG753" s="76"/>
      <c r="AH753" s="76"/>
      <c r="AI753" s="76"/>
      <c r="AJ753" s="76"/>
      <c r="AK753" s="76"/>
      <c r="AL753" s="77"/>
      <c r="AM753" s="76"/>
      <c r="AN753" s="76"/>
    </row>
    <row r="754" spans="1:40" ht="15">
      <c r="A754" s="83" t="e">
        <f>IF(#REF!&lt;&gt;#REF!,1,A753+1)</f>
        <v>#REF!</v>
      </c>
      <c r="O754" s="79"/>
      <c r="P754" s="79"/>
      <c r="Q754" s="76"/>
      <c r="R754" s="77"/>
      <c r="S754" s="76"/>
      <c r="T754" s="77"/>
      <c r="U754" s="76"/>
      <c r="V754" s="77"/>
      <c r="W754" s="76"/>
      <c r="X754" s="77"/>
      <c r="Y754" s="76"/>
      <c r="Z754" s="76"/>
      <c r="AA754" s="76"/>
      <c r="AB754" s="76"/>
      <c r="AC754" s="76"/>
      <c r="AD754" s="76"/>
      <c r="AE754" s="76"/>
      <c r="AF754" s="76"/>
      <c r="AG754" s="76"/>
      <c r="AH754" s="76"/>
      <c r="AI754" s="76"/>
      <c r="AJ754" s="76"/>
      <c r="AK754" s="76"/>
      <c r="AL754" s="77"/>
      <c r="AM754" s="76"/>
      <c r="AN754" s="76"/>
    </row>
    <row r="755" spans="1:40" ht="15">
      <c r="A755" s="83" t="e">
        <f>IF(#REF!&lt;&gt;#REF!,1,A754+1)</f>
        <v>#REF!</v>
      </c>
      <c r="O755" s="79"/>
      <c r="P755" s="79"/>
      <c r="Q755" s="76"/>
      <c r="R755" s="77"/>
      <c r="S755" s="76"/>
      <c r="T755" s="77"/>
      <c r="U755" s="76"/>
      <c r="V755" s="77"/>
      <c r="W755" s="76"/>
      <c r="X755" s="77"/>
      <c r="Y755" s="76"/>
      <c r="Z755" s="76"/>
      <c r="AA755" s="76"/>
      <c r="AB755" s="76"/>
      <c r="AC755" s="76"/>
      <c r="AD755" s="76"/>
      <c r="AE755" s="76"/>
      <c r="AF755" s="76"/>
      <c r="AG755" s="76"/>
      <c r="AH755" s="76"/>
      <c r="AI755" s="76"/>
      <c r="AJ755" s="76"/>
      <c r="AK755" s="76"/>
      <c r="AL755" s="77"/>
      <c r="AM755" s="76"/>
      <c r="AN755" s="76"/>
    </row>
    <row r="756" spans="1:40" ht="15">
      <c r="A756" s="83" t="e">
        <f>IF(#REF!&lt;&gt;#REF!,1,A755+1)</f>
        <v>#REF!</v>
      </c>
      <c r="O756" s="79"/>
      <c r="P756" s="79"/>
      <c r="Q756" s="76"/>
      <c r="R756" s="77"/>
      <c r="S756" s="76"/>
      <c r="T756" s="77"/>
      <c r="U756" s="76"/>
      <c r="V756" s="77"/>
      <c r="W756" s="76"/>
      <c r="X756" s="77"/>
      <c r="Y756" s="76"/>
      <c r="Z756" s="76"/>
      <c r="AA756" s="76"/>
      <c r="AB756" s="76"/>
      <c r="AC756" s="76"/>
      <c r="AD756" s="76"/>
      <c r="AE756" s="76"/>
      <c r="AF756" s="76"/>
      <c r="AG756" s="76"/>
      <c r="AH756" s="76"/>
      <c r="AI756" s="76"/>
      <c r="AJ756" s="76"/>
      <c r="AK756" s="76"/>
      <c r="AL756" s="77"/>
      <c r="AM756" s="76"/>
      <c r="AN756" s="76"/>
    </row>
    <row r="757" spans="1:40" ht="15">
      <c r="A757" s="83" t="e">
        <f>IF(#REF!&lt;&gt;#REF!,1,A756+1)</f>
        <v>#REF!</v>
      </c>
      <c r="O757" s="79"/>
      <c r="P757" s="79"/>
      <c r="Q757" s="76"/>
      <c r="R757" s="77"/>
      <c r="S757" s="76"/>
      <c r="T757" s="77"/>
      <c r="U757" s="76"/>
      <c r="V757" s="77"/>
      <c r="W757" s="76"/>
      <c r="X757" s="77"/>
      <c r="Y757" s="76"/>
      <c r="Z757" s="76"/>
      <c r="AA757" s="76"/>
      <c r="AB757" s="76"/>
      <c r="AC757" s="76"/>
      <c r="AD757" s="76"/>
      <c r="AE757" s="76"/>
      <c r="AF757" s="76"/>
      <c r="AG757" s="76"/>
      <c r="AH757" s="76"/>
      <c r="AI757" s="76"/>
      <c r="AJ757" s="76"/>
      <c r="AK757" s="76"/>
      <c r="AL757" s="77"/>
      <c r="AM757" s="76"/>
      <c r="AN757" s="76"/>
    </row>
    <row r="758" spans="1:40" ht="15">
      <c r="A758" s="83" t="e">
        <f>IF(#REF!&lt;&gt;#REF!,1,A757+1)</f>
        <v>#REF!</v>
      </c>
      <c r="O758" s="79"/>
      <c r="P758" s="79"/>
      <c r="Q758" s="76"/>
      <c r="R758" s="77"/>
      <c r="S758" s="76"/>
      <c r="T758" s="77"/>
      <c r="U758" s="76"/>
      <c r="V758" s="77"/>
      <c r="W758" s="76"/>
      <c r="X758" s="77"/>
      <c r="Y758" s="76"/>
      <c r="Z758" s="76"/>
      <c r="AA758" s="76"/>
      <c r="AB758" s="76"/>
      <c r="AC758" s="76"/>
      <c r="AD758" s="76"/>
      <c r="AE758" s="76"/>
      <c r="AF758" s="76"/>
      <c r="AG758" s="76"/>
      <c r="AH758" s="76"/>
      <c r="AI758" s="76"/>
      <c r="AJ758" s="76"/>
      <c r="AK758" s="76"/>
      <c r="AL758" s="77"/>
      <c r="AM758" s="76"/>
      <c r="AN758" s="76"/>
    </row>
    <row r="759" spans="1:40" ht="15">
      <c r="A759" s="83" t="e">
        <f>IF(#REF!&lt;&gt;#REF!,1,A758+1)</f>
        <v>#REF!</v>
      </c>
      <c r="O759" s="79"/>
      <c r="P759" s="79"/>
      <c r="Q759" s="76"/>
      <c r="R759" s="77"/>
      <c r="S759" s="76"/>
      <c r="T759" s="77"/>
      <c r="U759" s="76"/>
      <c r="V759" s="77"/>
      <c r="W759" s="76"/>
      <c r="X759" s="77"/>
      <c r="Y759" s="76"/>
      <c r="Z759" s="76"/>
      <c r="AA759" s="76"/>
      <c r="AB759" s="76"/>
      <c r="AC759" s="76"/>
      <c r="AD759" s="76"/>
      <c r="AE759" s="76"/>
      <c r="AF759" s="76"/>
      <c r="AG759" s="76"/>
      <c r="AH759" s="76"/>
      <c r="AI759" s="76"/>
      <c r="AJ759" s="76"/>
      <c r="AK759" s="76"/>
      <c r="AL759" s="77"/>
      <c r="AM759" s="76"/>
      <c r="AN759" s="76"/>
    </row>
    <row r="760" spans="1:40" ht="15">
      <c r="A760" s="83" t="e">
        <f>IF(#REF!&lt;&gt;#REF!,1,A759+1)</f>
        <v>#REF!</v>
      </c>
      <c r="O760" s="79"/>
      <c r="P760" s="79"/>
      <c r="Q760" s="76"/>
      <c r="R760" s="77"/>
      <c r="S760" s="76"/>
      <c r="T760" s="77"/>
      <c r="U760" s="76"/>
      <c r="V760" s="77"/>
      <c r="W760" s="76"/>
      <c r="X760" s="77"/>
      <c r="Y760" s="76"/>
      <c r="Z760" s="76"/>
      <c r="AA760" s="76"/>
      <c r="AB760" s="76"/>
      <c r="AC760" s="76"/>
      <c r="AD760" s="76"/>
      <c r="AE760" s="76"/>
      <c r="AF760" s="76"/>
      <c r="AG760" s="76"/>
      <c r="AH760" s="76"/>
      <c r="AI760" s="76"/>
      <c r="AJ760" s="76"/>
      <c r="AK760" s="76"/>
      <c r="AL760" s="77"/>
      <c r="AM760" s="76"/>
      <c r="AN760" s="76"/>
    </row>
    <row r="761" spans="1:40" ht="15">
      <c r="A761" s="83" t="e">
        <f>IF(#REF!&lt;&gt;#REF!,1,A760+1)</f>
        <v>#REF!</v>
      </c>
      <c r="O761" s="79"/>
      <c r="P761" s="79"/>
      <c r="Q761" s="76"/>
      <c r="R761" s="77"/>
      <c r="S761" s="76"/>
      <c r="T761" s="77"/>
      <c r="U761" s="76"/>
      <c r="V761" s="77"/>
      <c r="W761" s="76"/>
      <c r="X761" s="77"/>
      <c r="Y761" s="76"/>
      <c r="Z761" s="76"/>
      <c r="AA761" s="76"/>
      <c r="AB761" s="76"/>
      <c r="AC761" s="76"/>
      <c r="AD761" s="76"/>
      <c r="AE761" s="76"/>
      <c r="AF761" s="76"/>
      <c r="AG761" s="76"/>
      <c r="AH761" s="76"/>
      <c r="AI761" s="76"/>
      <c r="AJ761" s="76"/>
      <c r="AK761" s="76"/>
      <c r="AL761" s="77"/>
      <c r="AM761" s="76"/>
      <c r="AN761" s="76"/>
    </row>
    <row r="762" spans="1:40" ht="15">
      <c r="A762" s="83" t="e">
        <f>IF(#REF!&lt;&gt;#REF!,1,A761+1)</f>
        <v>#REF!</v>
      </c>
      <c r="O762" s="79"/>
      <c r="P762" s="79"/>
      <c r="Q762" s="76"/>
      <c r="R762" s="77"/>
      <c r="S762" s="76"/>
      <c r="T762" s="77"/>
      <c r="U762" s="76"/>
      <c r="V762" s="77"/>
      <c r="W762" s="76"/>
      <c r="X762" s="77"/>
      <c r="Y762" s="76"/>
      <c r="Z762" s="76"/>
      <c r="AA762" s="76"/>
      <c r="AB762" s="76"/>
      <c r="AC762" s="76"/>
      <c r="AD762" s="76"/>
      <c r="AE762" s="76"/>
      <c r="AF762" s="76"/>
      <c r="AG762" s="76"/>
      <c r="AH762" s="76"/>
      <c r="AI762" s="76"/>
      <c r="AJ762" s="76"/>
      <c r="AK762" s="76"/>
      <c r="AL762" s="77"/>
      <c r="AM762" s="76"/>
      <c r="AN762" s="76"/>
    </row>
    <row r="763" spans="1:40" ht="15">
      <c r="A763" s="83" t="e">
        <f>IF(#REF!&lt;&gt;#REF!,1,A762+1)</f>
        <v>#REF!</v>
      </c>
      <c r="O763" s="79"/>
      <c r="P763" s="79"/>
      <c r="Q763" s="76"/>
      <c r="R763" s="77"/>
      <c r="S763" s="76"/>
      <c r="T763" s="77"/>
      <c r="U763" s="76"/>
      <c r="V763" s="77"/>
      <c r="W763" s="76"/>
      <c r="X763" s="77"/>
      <c r="Y763" s="76"/>
      <c r="Z763" s="76"/>
      <c r="AA763" s="76"/>
      <c r="AB763" s="76"/>
      <c r="AC763" s="76"/>
      <c r="AD763" s="76"/>
      <c r="AE763" s="76"/>
      <c r="AF763" s="76"/>
      <c r="AG763" s="76"/>
      <c r="AH763" s="76"/>
      <c r="AI763" s="76"/>
      <c r="AJ763" s="76"/>
      <c r="AK763" s="76"/>
      <c r="AL763" s="77"/>
      <c r="AM763" s="76"/>
      <c r="AN763" s="76"/>
    </row>
    <row r="764" spans="1:40" ht="15">
      <c r="A764" s="83" t="e">
        <f>IF(#REF!&lt;&gt;#REF!,1,A763+1)</f>
        <v>#REF!</v>
      </c>
      <c r="O764" s="79"/>
      <c r="P764" s="79"/>
      <c r="Q764" s="76"/>
      <c r="R764" s="77"/>
      <c r="S764" s="76"/>
      <c r="T764" s="77"/>
      <c r="U764" s="76"/>
      <c r="V764" s="77"/>
      <c r="W764" s="76"/>
      <c r="X764" s="77"/>
      <c r="Y764" s="76"/>
      <c r="Z764" s="76"/>
      <c r="AA764" s="76"/>
      <c r="AB764" s="76"/>
      <c r="AC764" s="76"/>
      <c r="AD764" s="76"/>
      <c r="AE764" s="76"/>
      <c r="AF764" s="76"/>
      <c r="AG764" s="76"/>
      <c r="AH764" s="76"/>
      <c r="AI764" s="76"/>
      <c r="AJ764" s="76"/>
      <c r="AK764" s="76"/>
      <c r="AL764" s="77"/>
      <c r="AM764" s="76"/>
      <c r="AN764" s="76"/>
    </row>
    <row r="765" spans="1:40" ht="15">
      <c r="A765" s="83" t="e">
        <f>IF(#REF!&lt;&gt;#REF!,1,A764+1)</f>
        <v>#REF!</v>
      </c>
      <c r="O765" s="79"/>
      <c r="P765" s="79"/>
      <c r="Q765" s="76"/>
      <c r="R765" s="77"/>
      <c r="S765" s="76"/>
      <c r="T765" s="77"/>
      <c r="U765" s="76"/>
      <c r="V765" s="77"/>
      <c r="W765" s="76"/>
      <c r="X765" s="77"/>
      <c r="Y765" s="76"/>
      <c r="Z765" s="76"/>
      <c r="AA765" s="76"/>
      <c r="AB765" s="76"/>
      <c r="AC765" s="76"/>
      <c r="AD765" s="76"/>
      <c r="AE765" s="76"/>
      <c r="AF765" s="76"/>
      <c r="AG765" s="76"/>
      <c r="AH765" s="76"/>
      <c r="AI765" s="76"/>
      <c r="AJ765" s="76"/>
      <c r="AK765" s="76"/>
      <c r="AL765" s="77"/>
      <c r="AM765" s="76"/>
      <c r="AN765" s="76"/>
    </row>
    <row r="766" spans="1:40" ht="15">
      <c r="A766" s="83" t="e">
        <f>IF(#REF!&lt;&gt;#REF!,1,A765+1)</f>
        <v>#REF!</v>
      </c>
      <c r="O766" s="79"/>
      <c r="P766" s="79"/>
      <c r="Q766" s="76"/>
      <c r="R766" s="77"/>
      <c r="S766" s="76"/>
      <c r="T766" s="77"/>
      <c r="U766" s="76"/>
      <c r="V766" s="77"/>
      <c r="W766" s="76"/>
      <c r="X766" s="77"/>
      <c r="Y766" s="76"/>
      <c r="Z766" s="76"/>
      <c r="AA766" s="76"/>
      <c r="AB766" s="76"/>
      <c r="AC766" s="76"/>
      <c r="AD766" s="76"/>
      <c r="AE766" s="76"/>
      <c r="AF766" s="76"/>
      <c r="AG766" s="76"/>
      <c r="AH766" s="76"/>
      <c r="AI766" s="76"/>
      <c r="AJ766" s="76"/>
      <c r="AK766" s="76"/>
      <c r="AL766" s="77"/>
      <c r="AM766" s="76"/>
      <c r="AN766" s="76"/>
    </row>
    <row r="767" spans="1:40" ht="15">
      <c r="A767" s="83" t="e">
        <f>IF(#REF!&lt;&gt;#REF!,1,A766+1)</f>
        <v>#REF!</v>
      </c>
      <c r="O767" s="79"/>
      <c r="P767" s="79"/>
      <c r="Q767" s="76"/>
      <c r="R767" s="77"/>
      <c r="S767" s="76"/>
      <c r="T767" s="77"/>
      <c r="U767" s="76"/>
      <c r="V767" s="77"/>
      <c r="W767" s="76"/>
      <c r="X767" s="77"/>
      <c r="Y767" s="76"/>
      <c r="Z767" s="76"/>
      <c r="AA767" s="76"/>
      <c r="AB767" s="76"/>
      <c r="AC767" s="76"/>
      <c r="AD767" s="76"/>
      <c r="AE767" s="76"/>
      <c r="AF767" s="76"/>
      <c r="AG767" s="76"/>
      <c r="AH767" s="76"/>
      <c r="AI767" s="76"/>
      <c r="AJ767" s="76"/>
      <c r="AK767" s="76"/>
      <c r="AL767" s="77"/>
      <c r="AM767" s="76"/>
      <c r="AN767" s="76"/>
    </row>
    <row r="768" spans="1:40" ht="15">
      <c r="A768" s="83" t="e">
        <f>IF(#REF!&lt;&gt;#REF!,1,A767+1)</f>
        <v>#REF!</v>
      </c>
      <c r="O768" s="79"/>
      <c r="P768" s="79"/>
      <c r="Q768" s="76"/>
      <c r="R768" s="77"/>
      <c r="S768" s="76"/>
      <c r="T768" s="77"/>
      <c r="U768" s="76"/>
      <c r="V768" s="77"/>
      <c r="W768" s="76"/>
      <c r="X768" s="77"/>
      <c r="Y768" s="76"/>
      <c r="Z768" s="76"/>
      <c r="AA768" s="76"/>
      <c r="AB768" s="76"/>
      <c r="AC768" s="76"/>
      <c r="AD768" s="76"/>
      <c r="AE768" s="76"/>
      <c r="AF768" s="76"/>
      <c r="AG768" s="76"/>
      <c r="AH768" s="76"/>
      <c r="AI768" s="76"/>
      <c r="AJ768" s="76"/>
      <c r="AK768" s="76"/>
      <c r="AL768" s="77"/>
      <c r="AM768" s="76"/>
      <c r="AN768" s="76"/>
    </row>
    <row r="769" spans="1:40" ht="15">
      <c r="A769" s="83" t="e">
        <f>IF(#REF!&lt;&gt;#REF!,1,A768+1)</f>
        <v>#REF!</v>
      </c>
      <c r="O769" s="79"/>
      <c r="P769" s="79"/>
      <c r="Q769" s="76"/>
      <c r="R769" s="77"/>
      <c r="S769" s="76"/>
      <c r="T769" s="77"/>
      <c r="U769" s="76"/>
      <c r="V769" s="77"/>
      <c r="W769" s="76"/>
      <c r="X769" s="77"/>
      <c r="Y769" s="76"/>
      <c r="Z769" s="76"/>
      <c r="AA769" s="76"/>
      <c r="AB769" s="76"/>
      <c r="AC769" s="76"/>
      <c r="AD769" s="76"/>
      <c r="AE769" s="76"/>
      <c r="AF769" s="76"/>
      <c r="AG769" s="76"/>
      <c r="AH769" s="76"/>
      <c r="AI769" s="76"/>
      <c r="AJ769" s="76"/>
      <c r="AK769" s="76"/>
      <c r="AL769" s="77"/>
      <c r="AM769" s="76"/>
      <c r="AN769" s="76"/>
    </row>
    <row r="770" spans="1:40" ht="15">
      <c r="A770" s="83" t="e">
        <f>IF(#REF!&lt;&gt;#REF!,1,A769+1)</f>
        <v>#REF!</v>
      </c>
      <c r="O770" s="79"/>
      <c r="P770" s="79"/>
      <c r="Q770" s="76"/>
      <c r="R770" s="77"/>
      <c r="S770" s="76"/>
      <c r="T770" s="77"/>
      <c r="U770" s="76"/>
      <c r="V770" s="77"/>
      <c r="W770" s="76"/>
      <c r="X770" s="77"/>
      <c r="Y770" s="76"/>
      <c r="Z770" s="76"/>
      <c r="AA770" s="76"/>
      <c r="AB770" s="76"/>
      <c r="AC770" s="76"/>
      <c r="AD770" s="76"/>
      <c r="AE770" s="76"/>
      <c r="AF770" s="76"/>
      <c r="AG770" s="76"/>
      <c r="AH770" s="76"/>
      <c r="AI770" s="76"/>
      <c r="AJ770" s="76"/>
      <c r="AK770" s="76"/>
      <c r="AL770" s="77"/>
      <c r="AM770" s="76"/>
      <c r="AN770" s="76"/>
    </row>
    <row r="771" spans="1:40" ht="15">
      <c r="A771" s="83" t="e">
        <f>IF(#REF!&lt;&gt;#REF!,1,A770+1)</f>
        <v>#REF!</v>
      </c>
      <c r="O771" s="79"/>
      <c r="P771" s="79"/>
      <c r="Q771" s="76"/>
      <c r="R771" s="77"/>
      <c r="S771" s="76"/>
      <c r="T771" s="77"/>
      <c r="U771" s="76"/>
      <c r="V771" s="77"/>
      <c r="W771" s="76"/>
      <c r="X771" s="77"/>
      <c r="Y771" s="76"/>
      <c r="Z771" s="76"/>
      <c r="AA771" s="76"/>
      <c r="AB771" s="76"/>
      <c r="AC771" s="76"/>
      <c r="AD771" s="76"/>
      <c r="AE771" s="76"/>
      <c r="AF771" s="76"/>
      <c r="AG771" s="76"/>
      <c r="AH771" s="76"/>
      <c r="AI771" s="76"/>
      <c r="AJ771" s="76"/>
      <c r="AK771" s="76"/>
      <c r="AL771" s="77"/>
      <c r="AM771" s="76"/>
      <c r="AN771" s="76"/>
    </row>
    <row r="772" spans="1:40" ht="15">
      <c r="A772" s="83" t="e">
        <f>IF(#REF!&lt;&gt;#REF!,1,A771+1)</f>
        <v>#REF!</v>
      </c>
      <c r="O772" s="79"/>
      <c r="P772" s="79"/>
      <c r="Q772" s="76"/>
      <c r="R772" s="77"/>
      <c r="S772" s="76"/>
      <c r="T772" s="77"/>
      <c r="U772" s="76"/>
      <c r="V772" s="77"/>
      <c r="W772" s="76"/>
      <c r="X772" s="77"/>
      <c r="Y772" s="76"/>
      <c r="Z772" s="76"/>
      <c r="AA772" s="76"/>
      <c r="AB772" s="76"/>
      <c r="AC772" s="76"/>
      <c r="AD772" s="76"/>
      <c r="AE772" s="76"/>
      <c r="AF772" s="76"/>
      <c r="AG772" s="76"/>
      <c r="AH772" s="76"/>
      <c r="AI772" s="76"/>
      <c r="AJ772" s="76"/>
      <c r="AK772" s="76"/>
      <c r="AL772" s="77"/>
      <c r="AM772" s="76"/>
      <c r="AN772" s="76"/>
    </row>
    <row r="773" spans="1:40" ht="15">
      <c r="A773" s="83" t="e">
        <f>IF(#REF!&lt;&gt;#REF!,1,A772+1)</f>
        <v>#REF!</v>
      </c>
      <c r="O773" s="79"/>
      <c r="P773" s="79"/>
      <c r="Q773" s="76"/>
      <c r="R773" s="77"/>
      <c r="S773" s="76"/>
      <c r="T773" s="77"/>
      <c r="U773" s="76"/>
      <c r="V773" s="77"/>
      <c r="W773" s="76"/>
      <c r="X773" s="77"/>
      <c r="Y773" s="76"/>
      <c r="Z773" s="76"/>
      <c r="AA773" s="76"/>
      <c r="AB773" s="76"/>
      <c r="AC773" s="76"/>
      <c r="AD773" s="76"/>
      <c r="AE773" s="76"/>
      <c r="AF773" s="76"/>
      <c r="AG773" s="76"/>
      <c r="AH773" s="76"/>
      <c r="AI773" s="76"/>
      <c r="AJ773" s="76"/>
      <c r="AK773" s="76"/>
      <c r="AL773" s="77"/>
      <c r="AM773" s="76"/>
      <c r="AN773" s="76"/>
    </row>
    <row r="774" spans="1:40" ht="15">
      <c r="A774" s="83" t="e">
        <f>IF(#REF!&lt;&gt;#REF!,1,A773+1)</f>
        <v>#REF!</v>
      </c>
      <c r="O774" s="79"/>
      <c r="P774" s="79"/>
      <c r="Q774" s="76"/>
      <c r="R774" s="77"/>
      <c r="S774" s="76"/>
      <c r="T774" s="77"/>
      <c r="U774" s="76"/>
      <c r="V774" s="77"/>
      <c r="W774" s="76"/>
      <c r="X774" s="77"/>
      <c r="Y774" s="76"/>
      <c r="Z774" s="76"/>
      <c r="AA774" s="76"/>
      <c r="AB774" s="76"/>
      <c r="AC774" s="76"/>
      <c r="AD774" s="76"/>
      <c r="AE774" s="76"/>
      <c r="AF774" s="76"/>
      <c r="AG774" s="76"/>
      <c r="AH774" s="76"/>
      <c r="AI774" s="76"/>
      <c r="AJ774" s="76"/>
      <c r="AK774" s="76"/>
      <c r="AL774" s="77"/>
      <c r="AM774" s="76"/>
      <c r="AN774" s="76"/>
    </row>
    <row r="775" spans="1:40" ht="15">
      <c r="A775" s="83" t="e">
        <f>IF(#REF!&lt;&gt;#REF!,1,A774+1)</f>
        <v>#REF!</v>
      </c>
      <c r="O775" s="79"/>
      <c r="P775" s="79"/>
      <c r="Q775" s="76"/>
      <c r="R775" s="77"/>
      <c r="S775" s="76"/>
      <c r="T775" s="77"/>
      <c r="U775" s="76"/>
      <c r="V775" s="77"/>
      <c r="W775" s="76"/>
      <c r="X775" s="77"/>
      <c r="Y775" s="76"/>
      <c r="Z775" s="76"/>
      <c r="AA775" s="76"/>
      <c r="AB775" s="76"/>
      <c r="AC775" s="76"/>
      <c r="AD775" s="76"/>
      <c r="AE775" s="76"/>
      <c r="AF775" s="76"/>
      <c r="AG775" s="76"/>
      <c r="AH775" s="76"/>
      <c r="AI775" s="76"/>
      <c r="AJ775" s="76"/>
      <c r="AK775" s="76"/>
      <c r="AL775" s="77"/>
      <c r="AM775" s="76"/>
      <c r="AN775" s="76"/>
    </row>
    <row r="776" spans="1:40" ht="15">
      <c r="A776" s="83" t="e">
        <f>IF(#REF!&lt;&gt;#REF!,1,A775+1)</f>
        <v>#REF!</v>
      </c>
      <c r="O776" s="79"/>
      <c r="P776" s="79"/>
      <c r="Q776" s="76"/>
      <c r="R776" s="77"/>
      <c r="S776" s="76"/>
      <c r="T776" s="77"/>
      <c r="U776" s="76"/>
      <c r="V776" s="77"/>
      <c r="W776" s="76"/>
      <c r="X776" s="77"/>
      <c r="Y776" s="76"/>
      <c r="Z776" s="76"/>
      <c r="AA776" s="76"/>
      <c r="AB776" s="76"/>
      <c r="AC776" s="76"/>
      <c r="AD776" s="76"/>
      <c r="AE776" s="76"/>
      <c r="AF776" s="76"/>
      <c r="AG776" s="76"/>
      <c r="AH776" s="76"/>
      <c r="AI776" s="76"/>
      <c r="AJ776" s="76"/>
      <c r="AK776" s="76"/>
      <c r="AL776" s="77"/>
      <c r="AM776" s="76"/>
      <c r="AN776" s="76"/>
    </row>
    <row r="777" spans="1:40" ht="15">
      <c r="A777" s="83" t="e">
        <f>IF(#REF!&lt;&gt;#REF!,1,A776+1)</f>
        <v>#REF!</v>
      </c>
      <c r="O777" s="79"/>
      <c r="P777" s="79"/>
      <c r="Q777" s="76"/>
      <c r="R777" s="77"/>
      <c r="S777" s="76"/>
      <c r="T777" s="77"/>
      <c r="U777" s="76"/>
      <c r="V777" s="77"/>
      <c r="W777" s="76"/>
      <c r="X777" s="77"/>
      <c r="Y777" s="76"/>
      <c r="Z777" s="76"/>
      <c r="AA777" s="76"/>
      <c r="AB777" s="76"/>
      <c r="AC777" s="76"/>
      <c r="AD777" s="76"/>
      <c r="AE777" s="76"/>
      <c r="AF777" s="76"/>
      <c r="AG777" s="76"/>
      <c r="AH777" s="76"/>
      <c r="AI777" s="76"/>
      <c r="AJ777" s="76"/>
      <c r="AK777" s="76"/>
      <c r="AL777" s="77"/>
      <c r="AM777" s="76"/>
      <c r="AN777" s="76"/>
    </row>
    <row r="778" spans="1:40" ht="15">
      <c r="A778" s="83" t="e">
        <f>IF(#REF!&lt;&gt;#REF!,1,A777+1)</f>
        <v>#REF!</v>
      </c>
      <c r="O778" s="79"/>
      <c r="P778" s="79"/>
      <c r="Q778" s="76"/>
      <c r="R778" s="77"/>
      <c r="S778" s="76"/>
      <c r="T778" s="77"/>
      <c r="U778" s="76"/>
      <c r="V778" s="77"/>
      <c r="W778" s="76"/>
      <c r="X778" s="77"/>
      <c r="Y778" s="76"/>
      <c r="Z778" s="76"/>
      <c r="AA778" s="76"/>
      <c r="AB778" s="76"/>
      <c r="AC778" s="76"/>
      <c r="AD778" s="76"/>
      <c r="AE778" s="76"/>
      <c r="AF778" s="76"/>
      <c r="AG778" s="76"/>
      <c r="AH778" s="76"/>
      <c r="AI778" s="76"/>
      <c r="AJ778" s="76"/>
      <c r="AK778" s="76"/>
      <c r="AL778" s="77"/>
      <c r="AM778" s="76"/>
      <c r="AN778" s="76"/>
    </row>
    <row r="779" spans="1:40" ht="15">
      <c r="A779" s="83" t="e">
        <f>IF(#REF!&lt;&gt;#REF!,1,A778+1)</f>
        <v>#REF!</v>
      </c>
      <c r="O779" s="79"/>
      <c r="P779" s="79"/>
      <c r="Q779" s="76"/>
      <c r="R779" s="77"/>
      <c r="S779" s="76"/>
      <c r="T779" s="77"/>
      <c r="U779" s="76"/>
      <c r="V779" s="77"/>
      <c r="W779" s="76"/>
      <c r="X779" s="77"/>
      <c r="Y779" s="76"/>
      <c r="Z779" s="76"/>
      <c r="AA779" s="76"/>
      <c r="AB779" s="76"/>
      <c r="AC779" s="76"/>
      <c r="AD779" s="76"/>
      <c r="AE779" s="76"/>
      <c r="AF779" s="76"/>
      <c r="AG779" s="76"/>
      <c r="AH779" s="76"/>
      <c r="AI779" s="76"/>
      <c r="AJ779" s="76"/>
      <c r="AK779" s="76"/>
      <c r="AL779" s="77"/>
      <c r="AM779" s="76"/>
      <c r="AN779" s="76"/>
    </row>
    <row r="780" spans="1:40" ht="15">
      <c r="A780" s="83" t="e">
        <f>IF(#REF!&lt;&gt;#REF!,1,A779+1)</f>
        <v>#REF!</v>
      </c>
      <c r="O780" s="79"/>
      <c r="P780" s="79"/>
      <c r="Q780" s="76"/>
      <c r="R780" s="77"/>
      <c r="S780" s="76"/>
      <c r="T780" s="77"/>
      <c r="U780" s="76"/>
      <c r="V780" s="77"/>
      <c r="W780" s="76"/>
      <c r="X780" s="77"/>
      <c r="Y780" s="76"/>
      <c r="Z780" s="76"/>
      <c r="AA780" s="76"/>
      <c r="AB780" s="76"/>
      <c r="AC780" s="76"/>
      <c r="AD780" s="76"/>
      <c r="AE780" s="76"/>
      <c r="AF780" s="76"/>
      <c r="AG780" s="76"/>
      <c r="AH780" s="76"/>
      <c r="AI780" s="76"/>
      <c r="AJ780" s="76"/>
      <c r="AK780" s="76"/>
      <c r="AL780" s="77"/>
      <c r="AM780" s="76"/>
      <c r="AN780" s="76"/>
    </row>
    <row r="781" spans="1:40" ht="15">
      <c r="A781" s="83" t="e">
        <f>IF(#REF!&lt;&gt;#REF!,1,A780+1)</f>
        <v>#REF!</v>
      </c>
      <c r="O781" s="79"/>
      <c r="P781" s="79"/>
      <c r="Q781" s="76"/>
      <c r="R781" s="77"/>
      <c r="S781" s="76"/>
      <c r="T781" s="77"/>
      <c r="U781" s="76"/>
      <c r="V781" s="77"/>
      <c r="W781" s="76"/>
      <c r="X781" s="77"/>
      <c r="Y781" s="76"/>
      <c r="Z781" s="76"/>
      <c r="AA781" s="76"/>
      <c r="AB781" s="76"/>
      <c r="AC781" s="76"/>
      <c r="AD781" s="76"/>
      <c r="AE781" s="76"/>
      <c r="AF781" s="76"/>
      <c r="AG781" s="76"/>
      <c r="AH781" s="76"/>
      <c r="AI781" s="76"/>
      <c r="AJ781" s="76"/>
      <c r="AK781" s="76"/>
      <c r="AL781" s="77"/>
      <c r="AM781" s="76"/>
      <c r="AN781" s="76"/>
    </row>
    <row r="782" spans="1:40" ht="15">
      <c r="A782" s="83" t="e">
        <f>IF(#REF!&lt;&gt;#REF!,1,A781+1)</f>
        <v>#REF!</v>
      </c>
      <c r="O782" s="79"/>
      <c r="P782" s="79"/>
      <c r="Q782" s="76"/>
      <c r="R782" s="77"/>
      <c r="S782" s="76"/>
      <c r="T782" s="77"/>
      <c r="U782" s="76"/>
      <c r="V782" s="77"/>
      <c r="W782" s="76"/>
      <c r="X782" s="77"/>
      <c r="Y782" s="76"/>
      <c r="Z782" s="76"/>
      <c r="AA782" s="76"/>
      <c r="AB782" s="76"/>
      <c r="AC782" s="76"/>
      <c r="AD782" s="76"/>
      <c r="AE782" s="76"/>
      <c r="AF782" s="76"/>
      <c r="AG782" s="76"/>
      <c r="AH782" s="76"/>
      <c r="AI782" s="76"/>
      <c r="AJ782" s="76"/>
      <c r="AK782" s="76"/>
      <c r="AL782" s="77"/>
      <c r="AM782" s="76"/>
      <c r="AN782" s="76"/>
    </row>
    <row r="783" spans="1:40" ht="15">
      <c r="A783" s="83" t="e">
        <f>IF(#REF!&lt;&gt;#REF!,1,A782+1)</f>
        <v>#REF!</v>
      </c>
      <c r="O783" s="79"/>
      <c r="P783" s="79"/>
      <c r="Q783" s="76"/>
      <c r="R783" s="77"/>
      <c r="S783" s="76"/>
      <c r="T783" s="77"/>
      <c r="U783" s="76"/>
      <c r="V783" s="77"/>
      <c r="W783" s="76"/>
      <c r="X783" s="77"/>
      <c r="Y783" s="76"/>
      <c r="Z783" s="76"/>
      <c r="AA783" s="76"/>
      <c r="AB783" s="76"/>
      <c r="AC783" s="76"/>
      <c r="AD783" s="76"/>
      <c r="AE783" s="76"/>
      <c r="AF783" s="76"/>
      <c r="AG783" s="76"/>
      <c r="AH783" s="76"/>
      <c r="AI783" s="76"/>
      <c r="AJ783" s="76"/>
      <c r="AK783" s="76"/>
      <c r="AL783" s="77"/>
      <c r="AM783" s="76"/>
      <c r="AN783" s="76"/>
    </row>
    <row r="784" spans="1:40" ht="15">
      <c r="A784" s="83" t="e">
        <f>IF(#REF!&lt;&gt;#REF!,1,A783+1)</f>
        <v>#REF!</v>
      </c>
      <c r="O784" s="79"/>
      <c r="P784" s="79"/>
      <c r="Q784" s="76"/>
      <c r="R784" s="77"/>
      <c r="S784" s="76"/>
      <c r="T784" s="77"/>
      <c r="U784" s="76"/>
      <c r="V784" s="77"/>
      <c r="W784" s="76"/>
      <c r="X784" s="77"/>
      <c r="Y784" s="76"/>
      <c r="Z784" s="76"/>
      <c r="AA784" s="76"/>
      <c r="AB784" s="76"/>
      <c r="AC784" s="76"/>
      <c r="AD784" s="76"/>
      <c r="AE784" s="76"/>
      <c r="AF784" s="76"/>
      <c r="AG784" s="76"/>
      <c r="AH784" s="76"/>
      <c r="AI784" s="76"/>
      <c r="AJ784" s="76"/>
      <c r="AK784" s="76"/>
      <c r="AL784" s="77"/>
      <c r="AM784" s="76"/>
      <c r="AN784" s="76"/>
    </row>
    <row r="785" spans="1:40" ht="15">
      <c r="A785" s="83" t="e">
        <f>IF(#REF!&lt;&gt;#REF!,1,A784+1)</f>
        <v>#REF!</v>
      </c>
      <c r="O785" s="79"/>
      <c r="P785" s="79"/>
      <c r="Q785" s="76"/>
      <c r="R785" s="77"/>
      <c r="S785" s="76"/>
      <c r="T785" s="77"/>
      <c r="U785" s="76"/>
      <c r="V785" s="77"/>
      <c r="W785" s="76"/>
      <c r="X785" s="77"/>
      <c r="Y785" s="76"/>
      <c r="Z785" s="76"/>
      <c r="AA785" s="76"/>
      <c r="AB785" s="76"/>
      <c r="AC785" s="76"/>
      <c r="AD785" s="76"/>
      <c r="AE785" s="76"/>
      <c r="AF785" s="76"/>
      <c r="AG785" s="76"/>
      <c r="AH785" s="76"/>
      <c r="AI785" s="76"/>
      <c r="AJ785" s="76"/>
      <c r="AK785" s="76"/>
      <c r="AL785" s="77"/>
      <c r="AM785" s="76"/>
      <c r="AN785" s="76"/>
    </row>
    <row r="786" spans="1:40" ht="15">
      <c r="A786" s="83" t="e">
        <f>IF(#REF!&lt;&gt;#REF!,1,A785+1)</f>
        <v>#REF!</v>
      </c>
      <c r="O786" s="79"/>
      <c r="P786" s="79"/>
      <c r="Q786" s="76"/>
      <c r="R786" s="77"/>
      <c r="S786" s="76"/>
      <c r="T786" s="77"/>
      <c r="U786" s="76"/>
      <c r="V786" s="77"/>
      <c r="W786" s="76"/>
      <c r="X786" s="77"/>
      <c r="Y786" s="76"/>
      <c r="Z786" s="76"/>
      <c r="AA786" s="76"/>
      <c r="AB786" s="76"/>
      <c r="AC786" s="76"/>
      <c r="AD786" s="76"/>
      <c r="AE786" s="76"/>
      <c r="AF786" s="76"/>
      <c r="AG786" s="76"/>
      <c r="AH786" s="76"/>
      <c r="AI786" s="76"/>
      <c r="AJ786" s="76"/>
      <c r="AK786" s="76"/>
      <c r="AL786" s="77"/>
      <c r="AM786" s="76"/>
      <c r="AN786" s="76"/>
    </row>
    <row r="787" spans="1:40" ht="15">
      <c r="A787" s="83" t="e">
        <f>IF(#REF!&lt;&gt;#REF!,1,A786+1)</f>
        <v>#REF!</v>
      </c>
      <c r="O787" s="79"/>
      <c r="P787" s="79"/>
      <c r="Q787" s="76"/>
      <c r="R787" s="77"/>
      <c r="S787" s="76"/>
      <c r="T787" s="77"/>
      <c r="U787" s="76"/>
      <c r="V787" s="77"/>
      <c r="W787" s="76"/>
      <c r="X787" s="77"/>
      <c r="Y787" s="76"/>
      <c r="Z787" s="76"/>
      <c r="AA787" s="76"/>
      <c r="AB787" s="76"/>
      <c r="AC787" s="76"/>
      <c r="AD787" s="76"/>
      <c r="AE787" s="76"/>
      <c r="AF787" s="76"/>
      <c r="AG787" s="76"/>
      <c r="AH787" s="76"/>
      <c r="AI787" s="76"/>
      <c r="AJ787" s="76"/>
      <c r="AK787" s="76"/>
      <c r="AL787" s="77"/>
      <c r="AM787" s="76"/>
      <c r="AN787" s="76"/>
    </row>
    <row r="788" spans="1:40" ht="15">
      <c r="A788" s="83" t="e">
        <f>IF(#REF!&lt;&gt;#REF!,1,A787+1)</f>
        <v>#REF!</v>
      </c>
      <c r="O788" s="79"/>
      <c r="P788" s="79"/>
      <c r="Q788" s="76"/>
      <c r="R788" s="77"/>
      <c r="S788" s="76"/>
      <c r="T788" s="77"/>
      <c r="U788" s="76"/>
      <c r="V788" s="77"/>
      <c r="W788" s="76"/>
      <c r="X788" s="77"/>
      <c r="Y788" s="76"/>
      <c r="Z788" s="76"/>
      <c r="AA788" s="76"/>
      <c r="AB788" s="76"/>
      <c r="AC788" s="76"/>
      <c r="AD788" s="76"/>
      <c r="AE788" s="76"/>
      <c r="AF788" s="76"/>
      <c r="AG788" s="76"/>
      <c r="AH788" s="76"/>
      <c r="AI788" s="76"/>
      <c r="AJ788" s="76"/>
      <c r="AK788" s="76"/>
      <c r="AL788" s="77"/>
      <c r="AM788" s="76"/>
      <c r="AN788" s="76"/>
    </row>
    <row r="789" spans="1:40" ht="15">
      <c r="A789" s="83" t="e">
        <f>IF(#REF!&lt;&gt;#REF!,1,A788+1)</f>
        <v>#REF!</v>
      </c>
      <c r="O789" s="79"/>
      <c r="P789" s="79"/>
      <c r="Q789" s="76"/>
      <c r="R789" s="77"/>
      <c r="S789" s="76"/>
      <c r="T789" s="77"/>
      <c r="U789" s="76"/>
      <c r="V789" s="77"/>
      <c r="W789" s="76"/>
      <c r="X789" s="77"/>
      <c r="Y789" s="76"/>
      <c r="Z789" s="76"/>
      <c r="AA789" s="76"/>
      <c r="AB789" s="76"/>
      <c r="AC789" s="76"/>
      <c r="AD789" s="76"/>
      <c r="AE789" s="76"/>
      <c r="AF789" s="76"/>
      <c r="AG789" s="76"/>
      <c r="AH789" s="76"/>
      <c r="AI789" s="76"/>
      <c r="AJ789" s="76"/>
      <c r="AK789" s="76"/>
      <c r="AL789" s="77"/>
      <c r="AM789" s="76"/>
      <c r="AN789" s="76"/>
    </row>
    <row r="790" spans="1:40" ht="15">
      <c r="A790" s="83" t="e">
        <f>IF(#REF!&lt;&gt;#REF!,1,A789+1)</f>
        <v>#REF!</v>
      </c>
      <c r="O790" s="79"/>
      <c r="P790" s="79"/>
      <c r="Q790" s="76"/>
      <c r="R790" s="77"/>
      <c r="S790" s="76"/>
      <c r="T790" s="77"/>
      <c r="U790" s="76"/>
      <c r="V790" s="77"/>
      <c r="W790" s="76"/>
      <c r="X790" s="77"/>
      <c r="Y790" s="76"/>
      <c r="Z790" s="76"/>
      <c r="AA790" s="76"/>
      <c r="AB790" s="76"/>
      <c r="AC790" s="76"/>
      <c r="AD790" s="76"/>
      <c r="AE790" s="76"/>
      <c r="AF790" s="76"/>
      <c r="AG790" s="76"/>
      <c r="AH790" s="76"/>
      <c r="AI790" s="76"/>
      <c r="AJ790" s="76"/>
      <c r="AK790" s="76"/>
      <c r="AL790" s="77"/>
      <c r="AM790" s="76"/>
      <c r="AN790" s="76"/>
    </row>
    <row r="791" spans="1:40" ht="15">
      <c r="A791" s="83" t="e">
        <f>IF(#REF!&lt;&gt;#REF!,1,A790+1)</f>
        <v>#REF!</v>
      </c>
      <c r="O791" s="79"/>
      <c r="P791" s="79"/>
      <c r="Q791" s="76"/>
      <c r="R791" s="77"/>
      <c r="S791" s="76"/>
      <c r="T791" s="77"/>
      <c r="U791" s="76"/>
      <c r="V791" s="77"/>
      <c r="W791" s="76"/>
      <c r="X791" s="77"/>
      <c r="Y791" s="76"/>
      <c r="Z791" s="76"/>
      <c r="AA791" s="76"/>
      <c r="AB791" s="76"/>
      <c r="AC791" s="76"/>
      <c r="AD791" s="76"/>
      <c r="AE791" s="76"/>
      <c r="AF791" s="76"/>
      <c r="AG791" s="76"/>
      <c r="AH791" s="76"/>
      <c r="AI791" s="76"/>
      <c r="AJ791" s="76"/>
      <c r="AK791" s="76"/>
      <c r="AL791" s="77"/>
      <c r="AM791" s="76"/>
      <c r="AN791" s="76"/>
    </row>
    <row r="792" spans="1:40" ht="15">
      <c r="A792" s="83" t="e">
        <f>IF(#REF!&lt;&gt;#REF!,1,A791+1)</f>
        <v>#REF!</v>
      </c>
      <c r="O792" s="79"/>
      <c r="P792" s="79"/>
      <c r="Q792" s="76"/>
      <c r="R792" s="77"/>
      <c r="S792" s="76"/>
      <c r="T792" s="77"/>
      <c r="U792" s="76"/>
      <c r="V792" s="77"/>
      <c r="W792" s="76"/>
      <c r="X792" s="77"/>
      <c r="Y792" s="76"/>
      <c r="Z792" s="76"/>
      <c r="AA792" s="76"/>
      <c r="AB792" s="76"/>
      <c r="AC792" s="76"/>
      <c r="AD792" s="76"/>
      <c r="AE792" s="76"/>
      <c r="AF792" s="76"/>
      <c r="AG792" s="76"/>
      <c r="AH792" s="76"/>
      <c r="AI792" s="76"/>
      <c r="AJ792" s="76"/>
      <c r="AK792" s="76"/>
      <c r="AL792" s="77"/>
      <c r="AM792" s="76"/>
      <c r="AN792" s="76"/>
    </row>
    <row r="793" spans="1:40" ht="15">
      <c r="A793" s="83" t="e">
        <f>IF(#REF!&lt;&gt;#REF!,1,A792+1)</f>
        <v>#REF!</v>
      </c>
      <c r="O793" s="79"/>
      <c r="P793" s="79"/>
      <c r="Q793" s="76"/>
      <c r="R793" s="77"/>
      <c r="S793" s="76"/>
      <c r="T793" s="77"/>
      <c r="U793" s="76"/>
      <c r="V793" s="77"/>
      <c r="W793" s="76"/>
      <c r="X793" s="77"/>
      <c r="Y793" s="76"/>
      <c r="Z793" s="76"/>
      <c r="AA793" s="76"/>
      <c r="AB793" s="76"/>
      <c r="AC793" s="76"/>
      <c r="AD793" s="76"/>
      <c r="AE793" s="76"/>
      <c r="AF793" s="76"/>
      <c r="AG793" s="76"/>
      <c r="AH793" s="76"/>
      <c r="AI793" s="76"/>
      <c r="AJ793" s="76"/>
      <c r="AK793" s="76"/>
      <c r="AL793" s="77"/>
      <c r="AM793" s="76"/>
      <c r="AN793" s="76"/>
    </row>
    <row r="794" spans="1:40" ht="15">
      <c r="A794" s="83" t="e">
        <f>IF(#REF!&lt;&gt;#REF!,1,A793+1)</f>
        <v>#REF!</v>
      </c>
      <c r="O794" s="79"/>
      <c r="P794" s="79"/>
      <c r="Q794" s="76"/>
      <c r="R794" s="77"/>
      <c r="S794" s="76"/>
      <c r="T794" s="77"/>
      <c r="U794" s="76"/>
      <c r="V794" s="77"/>
      <c r="W794" s="76"/>
      <c r="X794" s="77"/>
      <c r="Y794" s="76"/>
      <c r="Z794" s="76"/>
      <c r="AA794" s="76"/>
      <c r="AB794" s="76"/>
      <c r="AC794" s="76"/>
      <c r="AD794" s="76"/>
      <c r="AE794" s="76"/>
      <c r="AF794" s="76"/>
      <c r="AG794" s="76"/>
      <c r="AH794" s="76"/>
      <c r="AI794" s="76"/>
      <c r="AJ794" s="76"/>
      <c r="AK794" s="76"/>
      <c r="AL794" s="77"/>
      <c r="AM794" s="76"/>
      <c r="AN794" s="76"/>
    </row>
    <row r="795" spans="1:40" ht="15">
      <c r="A795" s="83" t="e">
        <f>IF(#REF!&lt;&gt;#REF!,1,A794+1)</f>
        <v>#REF!</v>
      </c>
      <c r="O795" s="79"/>
      <c r="P795" s="79"/>
      <c r="Q795" s="76"/>
      <c r="R795" s="77"/>
      <c r="S795" s="76"/>
      <c r="T795" s="77"/>
      <c r="U795" s="76"/>
      <c r="V795" s="77"/>
      <c r="W795" s="76"/>
      <c r="X795" s="77"/>
      <c r="Y795" s="76"/>
      <c r="Z795" s="76"/>
      <c r="AA795" s="76"/>
      <c r="AB795" s="76"/>
      <c r="AC795" s="76"/>
      <c r="AD795" s="76"/>
      <c r="AE795" s="76"/>
      <c r="AF795" s="76"/>
      <c r="AG795" s="76"/>
      <c r="AH795" s="76"/>
      <c r="AI795" s="76"/>
      <c r="AJ795" s="76"/>
      <c r="AK795" s="76"/>
      <c r="AL795" s="77"/>
      <c r="AM795" s="76"/>
      <c r="AN795" s="76"/>
    </row>
    <row r="796" spans="1:40" ht="15">
      <c r="A796" s="83" t="e">
        <f>IF(#REF!&lt;&gt;#REF!,1,A795+1)</f>
        <v>#REF!</v>
      </c>
      <c r="O796" s="79"/>
      <c r="P796" s="79"/>
      <c r="Q796" s="76"/>
      <c r="R796" s="77"/>
      <c r="S796" s="76"/>
      <c r="T796" s="77"/>
      <c r="U796" s="76"/>
      <c r="V796" s="77"/>
      <c r="W796" s="76"/>
      <c r="X796" s="77"/>
      <c r="Y796" s="76"/>
      <c r="Z796" s="76"/>
      <c r="AA796" s="76"/>
      <c r="AB796" s="76"/>
      <c r="AC796" s="76"/>
      <c r="AD796" s="76"/>
      <c r="AE796" s="76"/>
      <c r="AF796" s="76"/>
      <c r="AG796" s="76"/>
      <c r="AH796" s="76"/>
      <c r="AI796" s="76"/>
      <c r="AJ796" s="76"/>
      <c r="AK796" s="76"/>
      <c r="AL796" s="77"/>
      <c r="AM796" s="76"/>
      <c r="AN796" s="76"/>
    </row>
    <row r="797" spans="1:40" ht="15">
      <c r="A797" s="83" t="e">
        <f>IF(#REF!&lt;&gt;#REF!,1,A796+1)</f>
        <v>#REF!</v>
      </c>
      <c r="O797" s="79"/>
      <c r="P797" s="79"/>
      <c r="Q797" s="76"/>
      <c r="R797" s="77"/>
      <c r="S797" s="76"/>
      <c r="T797" s="77"/>
      <c r="U797" s="76"/>
      <c r="V797" s="77"/>
      <c r="W797" s="76"/>
      <c r="X797" s="77"/>
      <c r="Y797" s="76"/>
      <c r="Z797" s="76"/>
      <c r="AA797" s="76"/>
      <c r="AB797" s="76"/>
      <c r="AC797" s="76"/>
      <c r="AD797" s="76"/>
      <c r="AE797" s="76"/>
      <c r="AF797" s="76"/>
      <c r="AG797" s="76"/>
      <c r="AH797" s="76"/>
      <c r="AI797" s="76"/>
      <c r="AJ797" s="76"/>
      <c r="AK797" s="76"/>
      <c r="AL797" s="77"/>
      <c r="AM797" s="76"/>
      <c r="AN797" s="76"/>
    </row>
    <row r="798" spans="1:40" ht="15">
      <c r="A798" s="83" t="e">
        <f>IF(#REF!&lt;&gt;#REF!,1,A797+1)</f>
        <v>#REF!</v>
      </c>
      <c r="O798" s="79"/>
      <c r="P798" s="79"/>
      <c r="Q798" s="76"/>
      <c r="R798" s="77"/>
      <c r="S798" s="76"/>
      <c r="T798" s="77"/>
      <c r="U798" s="76"/>
      <c r="V798" s="77"/>
      <c r="W798" s="76"/>
      <c r="X798" s="77"/>
      <c r="Y798" s="76"/>
      <c r="Z798" s="76"/>
      <c r="AA798" s="76"/>
      <c r="AB798" s="76"/>
      <c r="AC798" s="76"/>
      <c r="AD798" s="76"/>
      <c r="AE798" s="76"/>
      <c r="AF798" s="76"/>
      <c r="AG798" s="76"/>
      <c r="AH798" s="76"/>
      <c r="AI798" s="76"/>
      <c r="AJ798" s="76"/>
      <c r="AK798" s="76"/>
      <c r="AL798" s="77"/>
      <c r="AM798" s="76"/>
      <c r="AN798" s="76"/>
    </row>
    <row r="799" spans="1:40" ht="15">
      <c r="A799" s="83" t="e">
        <f>IF(#REF!&lt;&gt;#REF!,1,A798+1)</f>
        <v>#REF!</v>
      </c>
      <c r="O799" s="79"/>
      <c r="P799" s="79"/>
      <c r="Q799" s="76"/>
      <c r="R799" s="77"/>
      <c r="S799" s="76"/>
      <c r="T799" s="77"/>
      <c r="U799" s="76"/>
      <c r="V799" s="77"/>
      <c r="W799" s="76"/>
      <c r="X799" s="77"/>
      <c r="Y799" s="76"/>
      <c r="Z799" s="76"/>
      <c r="AA799" s="76"/>
      <c r="AB799" s="76"/>
      <c r="AC799" s="76"/>
      <c r="AD799" s="76"/>
      <c r="AE799" s="76"/>
      <c r="AF799" s="76"/>
      <c r="AG799" s="76"/>
      <c r="AH799" s="76"/>
      <c r="AI799" s="76"/>
      <c r="AJ799" s="76"/>
      <c r="AK799" s="76"/>
      <c r="AL799" s="77"/>
      <c r="AM799" s="76"/>
      <c r="AN799" s="76"/>
    </row>
    <row r="800" spans="1:40" ht="15">
      <c r="A800" s="83" t="e">
        <f>IF(#REF!&lt;&gt;#REF!,1,A799+1)</f>
        <v>#REF!</v>
      </c>
      <c r="O800" s="79"/>
      <c r="P800" s="79"/>
      <c r="Q800" s="76"/>
      <c r="R800" s="77"/>
      <c r="S800" s="76"/>
      <c r="T800" s="77"/>
      <c r="U800" s="76"/>
      <c r="V800" s="77"/>
      <c r="W800" s="76"/>
      <c r="X800" s="77"/>
      <c r="Y800" s="76"/>
      <c r="Z800" s="76"/>
      <c r="AA800" s="76"/>
      <c r="AB800" s="76"/>
      <c r="AC800" s="76"/>
      <c r="AD800" s="76"/>
      <c r="AE800" s="76"/>
      <c r="AF800" s="76"/>
      <c r="AG800" s="76"/>
      <c r="AH800" s="76"/>
      <c r="AI800" s="76"/>
      <c r="AJ800" s="76"/>
      <c r="AK800" s="76"/>
      <c r="AL800" s="77"/>
      <c r="AM800" s="76"/>
      <c r="AN800" s="76"/>
    </row>
    <row r="801" spans="1:40" ht="15">
      <c r="A801" s="83" t="e">
        <f>IF(#REF!&lt;&gt;#REF!,1,A800+1)</f>
        <v>#REF!</v>
      </c>
      <c r="O801" s="79"/>
      <c r="P801" s="79"/>
      <c r="Q801" s="76"/>
      <c r="R801" s="77"/>
      <c r="S801" s="76"/>
      <c r="T801" s="77"/>
      <c r="U801" s="76"/>
      <c r="V801" s="77"/>
      <c r="W801" s="76"/>
      <c r="X801" s="77"/>
      <c r="Y801" s="76"/>
      <c r="Z801" s="76"/>
      <c r="AA801" s="76"/>
      <c r="AB801" s="76"/>
      <c r="AC801" s="76"/>
      <c r="AD801" s="76"/>
      <c r="AE801" s="76"/>
      <c r="AF801" s="76"/>
      <c r="AG801" s="76"/>
      <c r="AH801" s="76"/>
      <c r="AI801" s="76"/>
      <c r="AJ801" s="76"/>
      <c r="AK801" s="76"/>
      <c r="AL801" s="77"/>
      <c r="AM801" s="76"/>
      <c r="AN801" s="76"/>
    </row>
    <row r="802" spans="1:40" ht="15">
      <c r="A802" s="83" t="e">
        <f>IF(#REF!&lt;&gt;#REF!,1,A801+1)</f>
        <v>#REF!</v>
      </c>
      <c r="O802" s="79"/>
      <c r="P802" s="79"/>
      <c r="Q802" s="76"/>
      <c r="R802" s="77"/>
      <c r="S802" s="76"/>
      <c r="T802" s="77"/>
      <c r="U802" s="76"/>
      <c r="V802" s="77"/>
      <c r="W802" s="76"/>
      <c r="X802" s="77"/>
      <c r="Y802" s="76"/>
      <c r="Z802" s="76"/>
      <c r="AA802" s="76"/>
      <c r="AB802" s="76"/>
      <c r="AC802" s="76"/>
      <c r="AD802" s="76"/>
      <c r="AE802" s="76"/>
      <c r="AF802" s="76"/>
      <c r="AG802" s="76"/>
      <c r="AH802" s="76"/>
      <c r="AI802" s="76"/>
      <c r="AJ802" s="76"/>
      <c r="AK802" s="76"/>
      <c r="AL802" s="77"/>
      <c r="AM802" s="76"/>
      <c r="AN802" s="76"/>
    </row>
    <row r="803" spans="1:40" ht="15">
      <c r="A803" s="83" t="e">
        <f>IF(#REF!&lt;&gt;#REF!,1,A802+1)</f>
        <v>#REF!</v>
      </c>
      <c r="O803" s="79"/>
      <c r="P803" s="79"/>
      <c r="Q803" s="76"/>
      <c r="R803" s="77"/>
      <c r="S803" s="76"/>
      <c r="T803" s="77"/>
      <c r="U803" s="76"/>
      <c r="V803" s="77"/>
      <c r="W803" s="76"/>
      <c r="X803" s="77"/>
      <c r="Y803" s="76"/>
      <c r="Z803" s="76"/>
      <c r="AA803" s="76"/>
      <c r="AB803" s="76"/>
      <c r="AC803" s="76"/>
      <c r="AD803" s="76"/>
      <c r="AE803" s="76"/>
      <c r="AF803" s="76"/>
      <c r="AG803" s="76"/>
      <c r="AH803" s="76"/>
      <c r="AI803" s="76"/>
      <c r="AJ803" s="76"/>
      <c r="AK803" s="76"/>
      <c r="AL803" s="77"/>
      <c r="AM803" s="76"/>
      <c r="AN803" s="76"/>
    </row>
    <row r="804" spans="1:40" ht="15">
      <c r="A804" s="83" t="e">
        <f>IF(#REF!&lt;&gt;#REF!,1,A803+1)</f>
        <v>#REF!</v>
      </c>
      <c r="O804" s="79"/>
      <c r="P804" s="79"/>
      <c r="Q804" s="76"/>
      <c r="R804" s="77"/>
      <c r="S804" s="76"/>
      <c r="T804" s="77"/>
      <c r="U804" s="76"/>
      <c r="V804" s="77"/>
      <c r="W804" s="76"/>
      <c r="X804" s="77"/>
      <c r="Y804" s="76"/>
      <c r="Z804" s="76"/>
      <c r="AA804" s="76"/>
      <c r="AB804" s="76"/>
      <c r="AC804" s="76"/>
      <c r="AD804" s="76"/>
      <c r="AE804" s="76"/>
      <c r="AF804" s="76"/>
      <c r="AG804" s="76"/>
      <c r="AH804" s="76"/>
      <c r="AI804" s="76"/>
      <c r="AJ804" s="76"/>
      <c r="AK804" s="76"/>
      <c r="AL804" s="77"/>
      <c r="AM804" s="76"/>
      <c r="AN804" s="76"/>
    </row>
    <row r="805" spans="1:40" ht="15">
      <c r="A805" s="83" t="e">
        <f>IF(#REF!&lt;&gt;#REF!,1,A804+1)</f>
        <v>#REF!</v>
      </c>
      <c r="O805" s="79"/>
      <c r="P805" s="79"/>
      <c r="Q805" s="76"/>
      <c r="R805" s="77"/>
      <c r="S805" s="76"/>
      <c r="T805" s="77"/>
      <c r="U805" s="76"/>
      <c r="V805" s="77"/>
      <c r="W805" s="76"/>
      <c r="X805" s="77"/>
      <c r="Y805" s="76"/>
      <c r="Z805" s="76"/>
      <c r="AA805" s="76"/>
      <c r="AB805" s="76"/>
      <c r="AC805" s="76"/>
      <c r="AD805" s="76"/>
      <c r="AE805" s="76"/>
      <c r="AF805" s="76"/>
      <c r="AG805" s="76"/>
      <c r="AH805" s="76"/>
      <c r="AI805" s="76"/>
      <c r="AJ805" s="76"/>
      <c r="AK805" s="76"/>
      <c r="AL805" s="77"/>
      <c r="AM805" s="76"/>
      <c r="AN805" s="76"/>
    </row>
    <row r="806" spans="1:40" ht="15">
      <c r="A806" s="83" t="e">
        <f>IF(#REF!&lt;&gt;#REF!,1,A805+1)</f>
        <v>#REF!</v>
      </c>
      <c r="O806" s="79"/>
      <c r="P806" s="79"/>
      <c r="Q806" s="76"/>
      <c r="R806" s="77"/>
      <c r="S806" s="76"/>
      <c r="T806" s="77"/>
      <c r="U806" s="76"/>
      <c r="V806" s="77"/>
      <c r="W806" s="76"/>
      <c r="X806" s="77"/>
      <c r="Y806" s="76"/>
      <c r="Z806" s="76"/>
      <c r="AA806" s="76"/>
      <c r="AB806" s="76"/>
      <c r="AC806" s="76"/>
      <c r="AD806" s="76"/>
      <c r="AE806" s="76"/>
      <c r="AF806" s="76"/>
      <c r="AG806" s="76"/>
      <c r="AH806" s="76"/>
      <c r="AI806" s="76"/>
      <c r="AJ806" s="76"/>
      <c r="AK806" s="76"/>
      <c r="AL806" s="77"/>
      <c r="AM806" s="76"/>
      <c r="AN806" s="76"/>
    </row>
    <row r="807" spans="1:40" ht="15">
      <c r="A807" s="83" t="e">
        <f>IF(#REF!&lt;&gt;#REF!,1,A806+1)</f>
        <v>#REF!</v>
      </c>
      <c r="O807" s="79"/>
      <c r="P807" s="79"/>
      <c r="Q807" s="76"/>
      <c r="R807" s="77"/>
      <c r="S807" s="76"/>
      <c r="T807" s="77"/>
      <c r="U807" s="76"/>
      <c r="V807" s="77"/>
      <c r="W807" s="76"/>
      <c r="X807" s="77"/>
      <c r="Y807" s="76"/>
      <c r="Z807" s="76"/>
      <c r="AA807" s="76"/>
      <c r="AB807" s="76"/>
      <c r="AC807" s="76"/>
      <c r="AD807" s="76"/>
      <c r="AE807" s="76"/>
      <c r="AF807" s="76"/>
      <c r="AG807" s="76"/>
      <c r="AH807" s="76"/>
      <c r="AI807" s="76"/>
      <c r="AJ807" s="76"/>
      <c r="AK807" s="76"/>
      <c r="AL807" s="77"/>
      <c r="AM807" s="76"/>
      <c r="AN807" s="76"/>
    </row>
    <row r="808" spans="1:40" ht="15">
      <c r="A808" s="83" t="e">
        <f>IF(#REF!&lt;&gt;#REF!,1,A807+1)</f>
        <v>#REF!</v>
      </c>
      <c r="O808" s="79"/>
      <c r="P808" s="79"/>
      <c r="Q808" s="76"/>
      <c r="R808" s="77"/>
      <c r="S808" s="76"/>
      <c r="T808" s="77"/>
      <c r="U808" s="76"/>
      <c r="V808" s="77"/>
      <c r="W808" s="76"/>
      <c r="X808" s="77"/>
      <c r="Y808" s="76"/>
      <c r="Z808" s="76"/>
      <c r="AA808" s="76"/>
      <c r="AB808" s="76"/>
      <c r="AC808" s="76"/>
      <c r="AD808" s="76"/>
      <c r="AE808" s="76"/>
      <c r="AF808" s="76"/>
      <c r="AG808" s="76"/>
      <c r="AH808" s="76"/>
      <c r="AI808" s="76"/>
      <c r="AJ808" s="76"/>
      <c r="AK808" s="76"/>
      <c r="AL808" s="77"/>
      <c r="AM808" s="76"/>
      <c r="AN808" s="76"/>
    </row>
    <row r="809" spans="1:40" ht="15">
      <c r="A809" s="83" t="e">
        <f>IF(#REF!&lt;&gt;#REF!,1,A808+1)</f>
        <v>#REF!</v>
      </c>
      <c r="O809" s="79"/>
      <c r="P809" s="79"/>
      <c r="Q809" s="76"/>
      <c r="R809" s="77"/>
      <c r="S809" s="76"/>
      <c r="T809" s="77"/>
      <c r="U809" s="76"/>
      <c r="V809" s="77"/>
      <c r="W809" s="76"/>
      <c r="X809" s="77"/>
      <c r="Y809" s="76"/>
      <c r="Z809" s="76"/>
      <c r="AA809" s="76"/>
      <c r="AB809" s="76"/>
      <c r="AC809" s="76"/>
      <c r="AD809" s="76"/>
      <c r="AE809" s="76"/>
      <c r="AF809" s="76"/>
      <c r="AG809" s="76"/>
      <c r="AH809" s="76"/>
      <c r="AI809" s="76"/>
      <c r="AJ809" s="76"/>
      <c r="AK809" s="76"/>
      <c r="AL809" s="77"/>
      <c r="AM809" s="76"/>
      <c r="AN809" s="76"/>
    </row>
    <row r="810" spans="1:40" ht="15">
      <c r="A810" s="83" t="e">
        <f>IF(#REF!&lt;&gt;#REF!,1,A809+1)</f>
        <v>#REF!</v>
      </c>
      <c r="O810" s="79"/>
      <c r="P810" s="79"/>
      <c r="Q810" s="76"/>
      <c r="R810" s="77"/>
      <c r="S810" s="76"/>
      <c r="T810" s="77"/>
      <c r="U810" s="76"/>
      <c r="V810" s="77"/>
      <c r="W810" s="76"/>
      <c r="X810" s="77"/>
      <c r="Y810" s="76"/>
      <c r="Z810" s="76"/>
      <c r="AA810" s="76"/>
      <c r="AB810" s="76"/>
      <c r="AC810" s="76"/>
      <c r="AD810" s="76"/>
      <c r="AE810" s="76"/>
      <c r="AF810" s="76"/>
      <c r="AG810" s="76"/>
      <c r="AH810" s="76"/>
      <c r="AI810" s="76"/>
      <c r="AJ810" s="76"/>
      <c r="AK810" s="76"/>
      <c r="AL810" s="77"/>
      <c r="AM810" s="76"/>
      <c r="AN810" s="76"/>
    </row>
    <row r="811" spans="1:40" ht="15">
      <c r="A811" s="83" t="e">
        <f>IF(#REF!&lt;&gt;#REF!,1,A810+1)</f>
        <v>#REF!</v>
      </c>
      <c r="O811" s="79"/>
      <c r="P811" s="79"/>
      <c r="Q811" s="76"/>
      <c r="R811" s="77"/>
      <c r="S811" s="76"/>
      <c r="T811" s="77"/>
      <c r="U811" s="76"/>
      <c r="V811" s="77"/>
      <c r="W811" s="76"/>
      <c r="X811" s="77"/>
      <c r="Y811" s="76"/>
      <c r="Z811" s="76"/>
      <c r="AA811" s="76"/>
      <c r="AB811" s="76"/>
      <c r="AC811" s="76"/>
      <c r="AD811" s="76"/>
      <c r="AE811" s="76"/>
      <c r="AF811" s="76"/>
      <c r="AG811" s="76"/>
      <c r="AH811" s="76"/>
      <c r="AI811" s="76"/>
      <c r="AJ811" s="76"/>
      <c r="AK811" s="76"/>
      <c r="AL811" s="77"/>
      <c r="AM811" s="76"/>
      <c r="AN811" s="76"/>
    </row>
    <row r="812" spans="1:40" ht="15">
      <c r="A812" s="83" t="e">
        <f>IF(#REF!&lt;&gt;#REF!,1,A811+1)</f>
        <v>#REF!</v>
      </c>
      <c r="O812" s="79"/>
      <c r="P812" s="79"/>
      <c r="Q812" s="76"/>
      <c r="R812" s="77"/>
      <c r="S812" s="76"/>
      <c r="T812" s="77"/>
      <c r="U812" s="76"/>
      <c r="V812" s="77"/>
      <c r="W812" s="76"/>
      <c r="X812" s="77"/>
      <c r="Y812" s="76"/>
      <c r="Z812" s="76"/>
      <c r="AA812" s="76"/>
      <c r="AB812" s="76"/>
      <c r="AC812" s="76"/>
      <c r="AD812" s="76"/>
      <c r="AE812" s="76"/>
      <c r="AF812" s="76"/>
      <c r="AG812" s="76"/>
      <c r="AH812" s="76"/>
      <c r="AI812" s="76"/>
      <c r="AJ812" s="76"/>
      <c r="AK812" s="76"/>
      <c r="AL812" s="77"/>
      <c r="AM812" s="76"/>
      <c r="AN812" s="76"/>
    </row>
    <row r="813" spans="1:40" ht="15">
      <c r="A813" s="83" t="e">
        <f>IF(#REF!&lt;&gt;#REF!,1,A812+1)</f>
        <v>#REF!</v>
      </c>
      <c r="O813" s="79"/>
      <c r="P813" s="79"/>
      <c r="Q813" s="76"/>
      <c r="R813" s="77"/>
      <c r="S813" s="76"/>
      <c r="T813" s="77"/>
      <c r="U813" s="76"/>
      <c r="V813" s="77"/>
      <c r="W813" s="76"/>
      <c r="X813" s="77"/>
      <c r="Y813" s="76"/>
      <c r="Z813" s="76"/>
      <c r="AA813" s="76"/>
      <c r="AB813" s="76"/>
      <c r="AC813" s="76"/>
      <c r="AD813" s="76"/>
      <c r="AE813" s="76"/>
      <c r="AF813" s="76"/>
      <c r="AG813" s="76"/>
      <c r="AH813" s="76"/>
      <c r="AI813" s="76"/>
      <c r="AJ813" s="76"/>
      <c r="AK813" s="76"/>
      <c r="AL813" s="77"/>
      <c r="AM813" s="76"/>
      <c r="AN813" s="76"/>
    </row>
    <row r="814" spans="1:40" ht="15">
      <c r="A814" s="83" t="e">
        <f>IF(#REF!&lt;&gt;#REF!,1,A813+1)</f>
        <v>#REF!</v>
      </c>
      <c r="O814" s="79"/>
      <c r="P814" s="79"/>
      <c r="Q814" s="76"/>
      <c r="R814" s="77"/>
      <c r="S814" s="76"/>
      <c r="T814" s="77"/>
      <c r="U814" s="76"/>
      <c r="V814" s="77"/>
      <c r="W814" s="76"/>
      <c r="X814" s="77"/>
      <c r="Y814" s="76"/>
      <c r="Z814" s="76"/>
      <c r="AA814" s="76"/>
      <c r="AB814" s="76"/>
      <c r="AC814" s="76"/>
      <c r="AD814" s="76"/>
      <c r="AE814" s="76"/>
      <c r="AF814" s="76"/>
      <c r="AG814" s="76"/>
      <c r="AH814" s="76"/>
      <c r="AI814" s="76"/>
      <c r="AJ814" s="76"/>
      <c r="AK814" s="76"/>
      <c r="AL814" s="77"/>
      <c r="AM814" s="76"/>
      <c r="AN814" s="76"/>
    </row>
    <row r="815" spans="1:40" ht="15">
      <c r="A815" s="83" t="e">
        <f>IF(#REF!&lt;&gt;#REF!,1,A814+1)</f>
        <v>#REF!</v>
      </c>
      <c r="O815" s="79"/>
      <c r="P815" s="79"/>
      <c r="Q815" s="76"/>
      <c r="R815" s="77"/>
      <c r="S815" s="76"/>
      <c r="T815" s="77"/>
      <c r="U815" s="76"/>
      <c r="V815" s="77"/>
      <c r="W815" s="76"/>
      <c r="X815" s="77"/>
      <c r="Y815" s="76"/>
      <c r="Z815" s="76"/>
      <c r="AA815" s="76"/>
      <c r="AB815" s="76"/>
      <c r="AC815" s="76"/>
      <c r="AD815" s="76"/>
      <c r="AE815" s="76"/>
      <c r="AF815" s="76"/>
      <c r="AG815" s="76"/>
      <c r="AH815" s="76"/>
      <c r="AI815" s="76"/>
      <c r="AJ815" s="76"/>
      <c r="AK815" s="76"/>
      <c r="AL815" s="77"/>
      <c r="AM815" s="76"/>
      <c r="AN815" s="76"/>
    </row>
    <row r="816" spans="1:40" ht="15">
      <c r="A816" s="83" t="e">
        <f>IF(#REF!&lt;&gt;#REF!,1,A815+1)</f>
        <v>#REF!</v>
      </c>
      <c r="O816" s="79"/>
      <c r="P816" s="79"/>
      <c r="Q816" s="76"/>
      <c r="R816" s="77"/>
      <c r="S816" s="76"/>
      <c r="T816" s="77"/>
      <c r="U816" s="76"/>
      <c r="V816" s="77"/>
      <c r="W816" s="76"/>
      <c r="X816" s="77"/>
      <c r="Y816" s="76"/>
      <c r="Z816" s="76"/>
      <c r="AA816" s="76"/>
      <c r="AB816" s="76"/>
      <c r="AC816" s="76"/>
      <c r="AD816" s="76"/>
      <c r="AE816" s="76"/>
      <c r="AF816" s="76"/>
      <c r="AG816" s="76"/>
      <c r="AH816" s="76"/>
      <c r="AI816" s="76"/>
      <c r="AJ816" s="76"/>
      <c r="AK816" s="76"/>
      <c r="AL816" s="77"/>
      <c r="AM816" s="76"/>
      <c r="AN816" s="76"/>
    </row>
    <row r="817" spans="1:40" ht="15">
      <c r="A817" s="83" t="e">
        <f>IF(#REF!&lt;&gt;#REF!,1,A816+1)</f>
        <v>#REF!</v>
      </c>
      <c r="O817" s="79"/>
      <c r="P817" s="79"/>
      <c r="Q817" s="76"/>
      <c r="R817" s="77"/>
      <c r="S817" s="76"/>
      <c r="T817" s="77"/>
      <c r="U817" s="76"/>
      <c r="V817" s="77"/>
      <c r="W817" s="76"/>
      <c r="X817" s="77"/>
      <c r="Y817" s="76"/>
      <c r="Z817" s="76"/>
      <c r="AA817" s="76"/>
      <c r="AB817" s="76"/>
      <c r="AC817" s="76"/>
      <c r="AD817" s="76"/>
      <c r="AE817" s="76"/>
      <c r="AF817" s="76"/>
      <c r="AG817" s="76"/>
      <c r="AH817" s="76"/>
      <c r="AI817" s="76"/>
      <c r="AJ817" s="76"/>
      <c r="AK817" s="76"/>
      <c r="AL817" s="77"/>
      <c r="AM817" s="76"/>
      <c r="AN817" s="76"/>
    </row>
    <row r="818" spans="1:40" ht="15">
      <c r="A818" s="83" t="e">
        <f>IF(#REF!&lt;&gt;#REF!,1,A817+1)</f>
        <v>#REF!</v>
      </c>
      <c r="O818" s="79"/>
      <c r="P818" s="79"/>
      <c r="Q818" s="76"/>
      <c r="R818" s="77"/>
      <c r="S818" s="76"/>
      <c r="T818" s="77"/>
      <c r="U818" s="76"/>
      <c r="V818" s="77"/>
      <c r="W818" s="76"/>
      <c r="X818" s="77"/>
      <c r="Y818" s="76"/>
      <c r="Z818" s="76"/>
      <c r="AA818" s="76"/>
      <c r="AB818" s="76"/>
      <c r="AC818" s="76"/>
      <c r="AD818" s="76"/>
      <c r="AE818" s="76"/>
      <c r="AF818" s="76"/>
      <c r="AG818" s="76"/>
      <c r="AH818" s="76"/>
      <c r="AI818" s="76"/>
      <c r="AJ818" s="76"/>
      <c r="AK818" s="76"/>
      <c r="AL818" s="77"/>
      <c r="AM818" s="76"/>
      <c r="AN818" s="76"/>
    </row>
    <row r="819" spans="1:40" ht="15">
      <c r="A819" s="83" t="e">
        <f>IF(#REF!&lt;&gt;#REF!,1,A818+1)</f>
        <v>#REF!</v>
      </c>
      <c r="O819" s="79"/>
      <c r="P819" s="79"/>
      <c r="Q819" s="76"/>
      <c r="R819" s="77"/>
      <c r="S819" s="76"/>
      <c r="T819" s="77"/>
      <c r="U819" s="76"/>
      <c r="V819" s="77"/>
      <c r="W819" s="76"/>
      <c r="X819" s="77"/>
      <c r="Y819" s="76"/>
      <c r="Z819" s="76"/>
      <c r="AA819" s="76"/>
      <c r="AB819" s="76"/>
      <c r="AC819" s="76"/>
      <c r="AD819" s="76"/>
      <c r="AE819" s="76"/>
      <c r="AF819" s="76"/>
      <c r="AG819" s="76"/>
      <c r="AH819" s="76"/>
      <c r="AI819" s="76"/>
      <c r="AJ819" s="76"/>
      <c r="AK819" s="76"/>
      <c r="AL819" s="77"/>
      <c r="AM819" s="76"/>
      <c r="AN819" s="76"/>
    </row>
    <row r="820" spans="1:40" ht="15">
      <c r="A820" s="83" t="e">
        <f>IF(#REF!&lt;&gt;#REF!,1,A819+1)</f>
        <v>#REF!</v>
      </c>
      <c r="O820" s="79"/>
      <c r="P820" s="79"/>
      <c r="Q820" s="76"/>
      <c r="R820" s="77"/>
      <c r="S820" s="76"/>
      <c r="T820" s="77"/>
      <c r="U820" s="76"/>
      <c r="V820" s="77"/>
      <c r="W820" s="76"/>
      <c r="X820" s="77"/>
      <c r="Y820" s="76"/>
      <c r="Z820" s="76"/>
      <c r="AA820" s="76"/>
      <c r="AB820" s="76"/>
      <c r="AC820" s="76"/>
      <c r="AD820" s="76"/>
      <c r="AE820" s="76"/>
      <c r="AF820" s="76"/>
      <c r="AG820" s="76"/>
      <c r="AH820" s="76"/>
      <c r="AI820" s="76"/>
      <c r="AJ820" s="76"/>
      <c r="AK820" s="76"/>
      <c r="AL820" s="77"/>
      <c r="AM820" s="76"/>
      <c r="AN820" s="76"/>
    </row>
    <row r="821" spans="1:40" ht="15">
      <c r="A821" s="83" t="e">
        <f>IF(#REF!&lt;&gt;#REF!,1,A820+1)</f>
        <v>#REF!</v>
      </c>
      <c r="O821" s="79"/>
      <c r="P821" s="79"/>
      <c r="Q821" s="76"/>
      <c r="R821" s="77"/>
      <c r="S821" s="76"/>
      <c r="T821" s="77"/>
      <c r="U821" s="76"/>
      <c r="V821" s="77"/>
      <c r="W821" s="76"/>
      <c r="X821" s="77"/>
      <c r="Y821" s="76"/>
      <c r="Z821" s="76"/>
      <c r="AA821" s="76"/>
      <c r="AB821" s="76"/>
      <c r="AC821" s="76"/>
      <c r="AD821" s="76"/>
      <c r="AE821" s="76"/>
      <c r="AF821" s="76"/>
      <c r="AG821" s="76"/>
      <c r="AH821" s="76"/>
      <c r="AI821" s="76"/>
      <c r="AJ821" s="76"/>
      <c r="AK821" s="76"/>
      <c r="AL821" s="77"/>
      <c r="AM821" s="76"/>
      <c r="AN821" s="76"/>
    </row>
    <row r="822" spans="1:40" ht="15">
      <c r="A822" s="83" t="e">
        <f>IF(#REF!&lt;&gt;#REF!,1,A821+1)</f>
        <v>#REF!</v>
      </c>
      <c r="O822" s="79"/>
      <c r="P822" s="79"/>
      <c r="Q822" s="76"/>
      <c r="R822" s="77"/>
      <c r="S822" s="76"/>
      <c r="T822" s="77"/>
      <c r="U822" s="76"/>
      <c r="V822" s="77"/>
      <c r="W822" s="76"/>
      <c r="X822" s="77"/>
      <c r="Y822" s="76"/>
      <c r="Z822" s="76"/>
      <c r="AA822" s="76"/>
      <c r="AB822" s="76"/>
      <c r="AC822" s="76"/>
      <c r="AD822" s="76"/>
      <c r="AE822" s="76"/>
      <c r="AF822" s="76"/>
      <c r="AG822" s="76"/>
      <c r="AH822" s="76"/>
      <c r="AI822" s="76"/>
      <c r="AJ822" s="76"/>
      <c r="AK822" s="76"/>
      <c r="AL822" s="77"/>
      <c r="AM822" s="76"/>
      <c r="AN822" s="76"/>
    </row>
    <row r="823" spans="1:40" ht="15">
      <c r="A823" s="83" t="e">
        <f>IF(#REF!&lt;&gt;#REF!,1,A822+1)</f>
        <v>#REF!</v>
      </c>
      <c r="O823" s="79"/>
      <c r="P823" s="79"/>
      <c r="Q823" s="76"/>
      <c r="R823" s="77"/>
      <c r="S823" s="76"/>
      <c r="T823" s="77"/>
      <c r="U823" s="76"/>
      <c r="V823" s="77"/>
      <c r="W823" s="76"/>
      <c r="X823" s="77"/>
      <c r="Y823" s="76"/>
      <c r="Z823" s="76"/>
      <c r="AA823" s="76"/>
      <c r="AB823" s="76"/>
      <c r="AC823" s="76"/>
      <c r="AD823" s="76"/>
      <c r="AE823" s="76"/>
      <c r="AF823" s="76"/>
      <c r="AG823" s="76"/>
      <c r="AH823" s="76"/>
      <c r="AI823" s="76"/>
      <c r="AJ823" s="76"/>
      <c r="AK823" s="76"/>
      <c r="AL823" s="77"/>
      <c r="AM823" s="76"/>
      <c r="AN823" s="76"/>
    </row>
    <row r="824" spans="1:40" ht="15">
      <c r="A824" s="83" t="e">
        <f>IF(#REF!&lt;&gt;#REF!,1,A823+1)</f>
        <v>#REF!</v>
      </c>
      <c r="O824" s="79"/>
      <c r="P824" s="79"/>
      <c r="Q824" s="76"/>
      <c r="R824" s="77"/>
      <c r="S824" s="76"/>
      <c r="T824" s="77"/>
      <c r="U824" s="76"/>
      <c r="V824" s="77"/>
      <c r="W824" s="76"/>
      <c r="X824" s="77"/>
      <c r="Y824" s="76"/>
      <c r="Z824" s="76"/>
      <c r="AA824" s="76"/>
      <c r="AB824" s="76"/>
      <c r="AC824" s="76"/>
      <c r="AD824" s="76"/>
      <c r="AE824" s="76"/>
      <c r="AF824" s="76"/>
      <c r="AG824" s="76"/>
      <c r="AH824" s="76"/>
      <c r="AI824" s="76"/>
      <c r="AJ824" s="76"/>
      <c r="AK824" s="76"/>
      <c r="AL824" s="77"/>
      <c r="AM824" s="76"/>
      <c r="AN824" s="76"/>
    </row>
    <row r="825" spans="1:40" ht="15">
      <c r="A825" s="83" t="e">
        <f>IF(#REF!&lt;&gt;#REF!,1,A824+1)</f>
        <v>#REF!</v>
      </c>
      <c r="O825" s="79"/>
      <c r="P825" s="79"/>
      <c r="Q825" s="76"/>
      <c r="R825" s="77"/>
      <c r="S825" s="76"/>
      <c r="T825" s="77"/>
      <c r="U825" s="76"/>
      <c r="V825" s="77"/>
      <c r="W825" s="76"/>
      <c r="X825" s="77"/>
      <c r="Y825" s="76"/>
      <c r="Z825" s="76"/>
      <c r="AA825" s="76"/>
      <c r="AB825" s="76"/>
      <c r="AC825" s="76"/>
      <c r="AD825" s="76"/>
      <c r="AE825" s="76"/>
      <c r="AF825" s="76"/>
      <c r="AG825" s="76"/>
      <c r="AH825" s="76"/>
      <c r="AI825" s="76"/>
      <c r="AJ825" s="76"/>
      <c r="AK825" s="76"/>
      <c r="AL825" s="77"/>
      <c r="AM825" s="76"/>
      <c r="AN825" s="76"/>
    </row>
    <row r="826" spans="1:40" ht="15">
      <c r="A826" s="83" t="e">
        <f>IF(#REF!&lt;&gt;#REF!,1,A825+1)</f>
        <v>#REF!</v>
      </c>
      <c r="O826" s="79"/>
      <c r="P826" s="79"/>
      <c r="Q826" s="76"/>
      <c r="R826" s="77"/>
      <c r="S826" s="76"/>
      <c r="T826" s="77"/>
      <c r="U826" s="76"/>
      <c r="V826" s="77"/>
      <c r="W826" s="76"/>
      <c r="X826" s="77"/>
      <c r="Y826" s="76"/>
      <c r="Z826" s="76"/>
      <c r="AA826" s="76"/>
      <c r="AB826" s="76"/>
      <c r="AC826" s="76"/>
      <c r="AD826" s="76"/>
      <c r="AE826" s="76"/>
      <c r="AF826" s="76"/>
      <c r="AG826" s="76"/>
      <c r="AH826" s="76"/>
      <c r="AI826" s="76"/>
      <c r="AJ826" s="76"/>
      <c r="AK826" s="76"/>
      <c r="AL826" s="77"/>
      <c r="AM826" s="76"/>
      <c r="AN826" s="76"/>
    </row>
    <row r="827" spans="1:40" ht="15">
      <c r="A827" s="83" t="e">
        <f>IF(#REF!&lt;&gt;#REF!,1,A826+1)</f>
        <v>#REF!</v>
      </c>
      <c r="O827" s="79"/>
      <c r="P827" s="79"/>
      <c r="Q827" s="76"/>
      <c r="R827" s="77"/>
      <c r="S827" s="76"/>
      <c r="T827" s="77"/>
      <c r="U827" s="76"/>
      <c r="V827" s="77"/>
      <c r="W827" s="76"/>
      <c r="X827" s="77"/>
      <c r="Y827" s="76"/>
      <c r="Z827" s="76"/>
      <c r="AA827" s="76"/>
      <c r="AB827" s="76"/>
      <c r="AC827" s="76"/>
      <c r="AD827" s="76"/>
      <c r="AE827" s="76"/>
      <c r="AF827" s="76"/>
      <c r="AG827" s="76"/>
      <c r="AH827" s="76"/>
      <c r="AI827" s="76"/>
      <c r="AJ827" s="76"/>
      <c r="AK827" s="76"/>
      <c r="AL827" s="77"/>
      <c r="AM827" s="76"/>
      <c r="AN827" s="76"/>
    </row>
    <row r="828" spans="1:40" ht="15">
      <c r="A828" s="83" t="e">
        <f>IF(#REF!&lt;&gt;#REF!,1,A827+1)</f>
        <v>#REF!</v>
      </c>
      <c r="O828" s="79"/>
      <c r="P828" s="79"/>
      <c r="Q828" s="76"/>
      <c r="R828" s="77"/>
      <c r="S828" s="76"/>
      <c r="T828" s="77"/>
      <c r="U828" s="76"/>
      <c r="V828" s="77"/>
      <c r="W828" s="76"/>
      <c r="X828" s="77"/>
      <c r="Y828" s="76"/>
      <c r="Z828" s="76"/>
      <c r="AA828" s="76"/>
      <c r="AB828" s="76"/>
      <c r="AC828" s="76"/>
      <c r="AD828" s="76"/>
      <c r="AE828" s="76"/>
      <c r="AF828" s="76"/>
      <c r="AG828" s="76"/>
      <c r="AH828" s="76"/>
      <c r="AI828" s="76"/>
      <c r="AJ828" s="76"/>
      <c r="AK828" s="76"/>
      <c r="AL828" s="77"/>
      <c r="AM828" s="76"/>
      <c r="AN828" s="76"/>
    </row>
    <row r="829" spans="1:40" ht="15">
      <c r="A829" s="83" t="e">
        <f>IF(#REF!&lt;&gt;#REF!,1,A828+1)</f>
        <v>#REF!</v>
      </c>
      <c r="O829" s="79"/>
      <c r="P829" s="79"/>
      <c r="Q829" s="76"/>
      <c r="R829" s="77"/>
      <c r="S829" s="76"/>
      <c r="T829" s="77"/>
      <c r="U829" s="76"/>
      <c r="V829" s="77"/>
      <c r="W829" s="76"/>
      <c r="X829" s="77"/>
      <c r="Y829" s="76"/>
      <c r="Z829" s="76"/>
      <c r="AA829" s="76"/>
      <c r="AB829" s="76"/>
      <c r="AC829" s="76"/>
      <c r="AD829" s="76"/>
      <c r="AE829" s="76"/>
      <c r="AF829" s="76"/>
      <c r="AG829" s="76"/>
      <c r="AH829" s="76"/>
      <c r="AI829" s="76"/>
      <c r="AJ829" s="76"/>
      <c r="AK829" s="76"/>
      <c r="AL829" s="77"/>
      <c r="AM829" s="76"/>
      <c r="AN829" s="76"/>
    </row>
    <row r="830" spans="1:40" ht="15">
      <c r="A830" s="83" t="e">
        <f>IF(#REF!&lt;&gt;#REF!,1,A829+1)</f>
        <v>#REF!</v>
      </c>
      <c r="O830" s="79"/>
      <c r="P830" s="79"/>
      <c r="Q830" s="76"/>
      <c r="R830" s="77"/>
      <c r="S830" s="76"/>
      <c r="T830" s="77"/>
      <c r="U830" s="76"/>
      <c r="V830" s="77"/>
      <c r="W830" s="76"/>
      <c r="X830" s="77"/>
      <c r="Y830" s="76"/>
      <c r="Z830" s="76"/>
      <c r="AA830" s="76"/>
      <c r="AB830" s="76"/>
      <c r="AC830" s="76"/>
      <c r="AD830" s="76"/>
      <c r="AE830" s="76"/>
      <c r="AF830" s="76"/>
      <c r="AG830" s="76"/>
      <c r="AH830" s="76"/>
      <c r="AI830" s="76"/>
      <c r="AJ830" s="76"/>
      <c r="AK830" s="76"/>
      <c r="AL830" s="77"/>
      <c r="AM830" s="76"/>
      <c r="AN830" s="76"/>
    </row>
    <row r="831" spans="1:40" ht="15">
      <c r="A831" s="83" t="e">
        <f>IF(#REF!&lt;&gt;#REF!,1,A830+1)</f>
        <v>#REF!</v>
      </c>
      <c r="O831" s="79"/>
      <c r="P831" s="79"/>
      <c r="Q831" s="76"/>
      <c r="R831" s="77"/>
      <c r="S831" s="76"/>
      <c r="T831" s="77"/>
      <c r="U831" s="76"/>
      <c r="V831" s="77"/>
      <c r="W831" s="76"/>
      <c r="X831" s="77"/>
      <c r="Y831" s="76"/>
      <c r="Z831" s="76"/>
      <c r="AA831" s="76"/>
      <c r="AB831" s="76"/>
      <c r="AC831" s="76"/>
      <c r="AD831" s="76"/>
      <c r="AE831" s="76"/>
      <c r="AF831" s="76"/>
      <c r="AG831" s="76"/>
      <c r="AH831" s="76"/>
      <c r="AI831" s="76"/>
      <c r="AJ831" s="76"/>
      <c r="AK831" s="76"/>
      <c r="AL831" s="77"/>
      <c r="AM831" s="76"/>
      <c r="AN831" s="76"/>
    </row>
    <row r="832" spans="1:40" ht="15">
      <c r="A832" s="83" t="e">
        <f>IF(#REF!&lt;&gt;#REF!,1,A831+1)</f>
        <v>#REF!</v>
      </c>
      <c r="O832" s="79"/>
      <c r="P832" s="79"/>
      <c r="Q832" s="76"/>
      <c r="R832" s="77"/>
      <c r="S832" s="76"/>
      <c r="T832" s="77"/>
      <c r="U832" s="76"/>
      <c r="V832" s="77"/>
      <c r="W832" s="76"/>
      <c r="X832" s="77"/>
      <c r="Y832" s="76"/>
      <c r="Z832" s="76"/>
      <c r="AA832" s="76"/>
      <c r="AB832" s="76"/>
      <c r="AC832" s="76"/>
      <c r="AD832" s="76"/>
      <c r="AE832" s="76"/>
      <c r="AF832" s="76"/>
      <c r="AG832" s="76"/>
      <c r="AH832" s="76"/>
      <c r="AI832" s="76"/>
      <c r="AJ832" s="76"/>
      <c r="AK832" s="76"/>
      <c r="AL832" s="77"/>
      <c r="AM832" s="76"/>
      <c r="AN832" s="76"/>
    </row>
    <row r="833" spans="1:40" ht="15">
      <c r="A833" s="83" t="e">
        <f>IF(#REF!&lt;&gt;#REF!,1,A832+1)</f>
        <v>#REF!</v>
      </c>
      <c r="O833" s="79"/>
      <c r="P833" s="79"/>
      <c r="Q833" s="76"/>
      <c r="R833" s="77"/>
      <c r="S833" s="76"/>
      <c r="T833" s="77"/>
      <c r="U833" s="76"/>
      <c r="V833" s="77"/>
      <c r="W833" s="76"/>
      <c r="X833" s="77"/>
      <c r="Y833" s="76"/>
      <c r="Z833" s="76"/>
      <c r="AA833" s="76"/>
      <c r="AB833" s="76"/>
      <c r="AC833" s="76"/>
      <c r="AD833" s="76"/>
      <c r="AE833" s="76"/>
      <c r="AF833" s="76"/>
      <c r="AG833" s="76"/>
      <c r="AH833" s="76"/>
      <c r="AI833" s="76"/>
      <c r="AJ833" s="76"/>
      <c r="AK833" s="76"/>
      <c r="AL833" s="77"/>
      <c r="AM833" s="76"/>
      <c r="AN833" s="76"/>
    </row>
    <row r="834" spans="1:40" ht="15">
      <c r="A834" s="83" t="e">
        <f>IF(#REF!&lt;&gt;#REF!,1,A833+1)</f>
        <v>#REF!</v>
      </c>
      <c r="O834" s="79"/>
      <c r="P834" s="79"/>
      <c r="Q834" s="76"/>
      <c r="R834" s="77"/>
      <c r="S834" s="76"/>
      <c r="T834" s="77"/>
      <c r="U834" s="76"/>
      <c r="V834" s="77"/>
      <c r="W834" s="76"/>
      <c r="X834" s="77"/>
      <c r="Y834" s="76"/>
      <c r="Z834" s="76"/>
      <c r="AA834" s="76"/>
      <c r="AB834" s="76"/>
      <c r="AC834" s="76"/>
      <c r="AD834" s="76"/>
      <c r="AE834" s="76"/>
      <c r="AF834" s="76"/>
      <c r="AG834" s="76"/>
      <c r="AH834" s="76"/>
      <c r="AI834" s="76"/>
      <c r="AJ834" s="76"/>
      <c r="AK834" s="76"/>
      <c r="AL834" s="77"/>
      <c r="AM834" s="76"/>
      <c r="AN834" s="76"/>
    </row>
    <row r="835" spans="1:40" ht="15">
      <c r="A835" s="83" t="e">
        <f>IF(#REF!&lt;&gt;#REF!,1,A834+1)</f>
        <v>#REF!</v>
      </c>
      <c r="O835" s="79"/>
      <c r="P835" s="79"/>
      <c r="Q835" s="76"/>
      <c r="R835" s="77"/>
      <c r="S835" s="76"/>
      <c r="T835" s="77"/>
      <c r="U835" s="76"/>
      <c r="V835" s="77"/>
      <c r="W835" s="76"/>
      <c r="X835" s="77"/>
      <c r="Y835" s="76"/>
      <c r="Z835" s="76"/>
      <c r="AA835" s="76"/>
      <c r="AB835" s="76"/>
      <c r="AC835" s="76"/>
      <c r="AD835" s="76"/>
      <c r="AE835" s="76"/>
      <c r="AF835" s="76"/>
      <c r="AG835" s="76"/>
      <c r="AH835" s="76"/>
      <c r="AI835" s="76"/>
      <c r="AJ835" s="76"/>
      <c r="AK835" s="76"/>
      <c r="AL835" s="77"/>
      <c r="AM835" s="76"/>
      <c r="AN835" s="76"/>
    </row>
    <row r="836" spans="1:40" ht="15">
      <c r="A836" s="83" t="e">
        <f>IF(#REF!&lt;&gt;#REF!,1,A835+1)</f>
        <v>#REF!</v>
      </c>
      <c r="O836" s="79"/>
      <c r="P836" s="79"/>
      <c r="Q836" s="76"/>
      <c r="R836" s="77"/>
      <c r="S836" s="76"/>
      <c r="T836" s="77"/>
      <c r="U836" s="76"/>
      <c r="V836" s="77"/>
      <c r="W836" s="76"/>
      <c r="X836" s="77"/>
      <c r="Y836" s="76"/>
      <c r="Z836" s="76"/>
      <c r="AA836" s="76"/>
      <c r="AB836" s="76"/>
      <c r="AC836" s="76"/>
      <c r="AD836" s="76"/>
      <c r="AE836" s="76"/>
      <c r="AF836" s="76"/>
      <c r="AG836" s="76"/>
      <c r="AH836" s="76"/>
      <c r="AI836" s="76"/>
      <c r="AJ836" s="76"/>
      <c r="AK836" s="76"/>
      <c r="AL836" s="77"/>
      <c r="AM836" s="76"/>
      <c r="AN836" s="76"/>
    </row>
    <row r="837" spans="1:40" ht="15">
      <c r="A837" s="83" t="e">
        <f>IF(#REF!&lt;&gt;#REF!,1,A836+1)</f>
        <v>#REF!</v>
      </c>
      <c r="O837" s="79"/>
      <c r="P837" s="79"/>
      <c r="Q837" s="76"/>
      <c r="R837" s="77"/>
      <c r="S837" s="76"/>
      <c r="T837" s="77"/>
      <c r="U837" s="76"/>
      <c r="V837" s="77"/>
      <c r="W837" s="76"/>
      <c r="X837" s="77"/>
      <c r="Y837" s="76"/>
      <c r="Z837" s="76"/>
      <c r="AA837" s="76"/>
      <c r="AB837" s="76"/>
      <c r="AC837" s="76"/>
      <c r="AD837" s="76"/>
      <c r="AE837" s="76"/>
      <c r="AF837" s="76"/>
      <c r="AG837" s="76"/>
      <c r="AH837" s="76"/>
      <c r="AI837" s="76"/>
      <c r="AJ837" s="76"/>
      <c r="AK837" s="76"/>
      <c r="AL837" s="77"/>
      <c r="AM837" s="76"/>
      <c r="AN837" s="76"/>
    </row>
    <row r="838" spans="1:40" ht="15">
      <c r="A838" s="83" t="e">
        <f>IF(#REF!&lt;&gt;#REF!,1,A837+1)</f>
        <v>#REF!</v>
      </c>
      <c r="O838" s="79"/>
      <c r="P838" s="79"/>
      <c r="Q838" s="76"/>
      <c r="R838" s="77"/>
      <c r="S838" s="76"/>
      <c r="T838" s="77"/>
      <c r="U838" s="76"/>
      <c r="V838" s="77"/>
      <c r="W838" s="76"/>
      <c r="X838" s="77"/>
      <c r="Y838" s="76"/>
      <c r="Z838" s="76"/>
      <c r="AA838" s="76"/>
      <c r="AB838" s="76"/>
      <c r="AC838" s="76"/>
      <c r="AD838" s="76"/>
      <c r="AE838" s="76"/>
      <c r="AF838" s="76"/>
      <c r="AG838" s="76"/>
      <c r="AH838" s="76"/>
      <c r="AI838" s="76"/>
      <c r="AJ838" s="76"/>
      <c r="AK838" s="76"/>
      <c r="AL838" s="77"/>
      <c r="AM838" s="76"/>
      <c r="AN838" s="76"/>
    </row>
    <row r="839" spans="1:40" ht="15">
      <c r="A839" s="83" t="e">
        <f>IF(#REF!&lt;&gt;#REF!,1,A838+1)</f>
        <v>#REF!</v>
      </c>
      <c r="O839" s="79"/>
      <c r="P839" s="79"/>
      <c r="Q839" s="76"/>
      <c r="R839" s="77"/>
      <c r="S839" s="76"/>
      <c r="T839" s="77"/>
      <c r="U839" s="76"/>
      <c r="V839" s="77"/>
      <c r="W839" s="76"/>
      <c r="X839" s="77"/>
      <c r="Y839" s="76"/>
      <c r="Z839" s="76"/>
      <c r="AA839" s="76"/>
      <c r="AB839" s="76"/>
      <c r="AC839" s="76"/>
      <c r="AD839" s="76"/>
      <c r="AE839" s="76"/>
      <c r="AF839" s="76"/>
      <c r="AG839" s="76"/>
      <c r="AH839" s="76"/>
      <c r="AI839" s="76"/>
      <c r="AJ839" s="76"/>
      <c r="AK839" s="76"/>
      <c r="AL839" s="77"/>
      <c r="AM839" s="76"/>
      <c r="AN839" s="76"/>
    </row>
    <row r="840" spans="1:40" ht="15">
      <c r="A840" s="83" t="e">
        <f>IF(#REF!&lt;&gt;#REF!,1,A839+1)</f>
        <v>#REF!</v>
      </c>
      <c r="O840" s="79"/>
      <c r="P840" s="79"/>
      <c r="Q840" s="76"/>
      <c r="R840" s="77"/>
      <c r="S840" s="76"/>
      <c r="T840" s="77"/>
      <c r="U840" s="76"/>
      <c r="V840" s="77"/>
      <c r="W840" s="76"/>
      <c r="X840" s="77"/>
      <c r="Y840" s="76"/>
      <c r="Z840" s="76"/>
      <c r="AA840" s="76"/>
      <c r="AB840" s="76"/>
      <c r="AC840" s="76"/>
      <c r="AD840" s="76"/>
      <c r="AE840" s="76"/>
      <c r="AF840" s="76"/>
      <c r="AG840" s="76"/>
      <c r="AH840" s="76"/>
      <c r="AI840" s="76"/>
      <c r="AJ840" s="76"/>
      <c r="AK840" s="76"/>
      <c r="AL840" s="77"/>
      <c r="AM840" s="76"/>
      <c r="AN840" s="76"/>
    </row>
    <row r="841" spans="1:40" ht="15">
      <c r="A841" s="83" t="e">
        <f>IF(#REF!&lt;&gt;#REF!,1,A840+1)</f>
        <v>#REF!</v>
      </c>
      <c r="O841" s="79"/>
      <c r="P841" s="79"/>
      <c r="Q841" s="76"/>
      <c r="R841" s="77"/>
      <c r="S841" s="76"/>
      <c r="T841" s="77"/>
      <c r="U841" s="76"/>
      <c r="V841" s="77"/>
      <c r="W841" s="76"/>
      <c r="X841" s="77"/>
      <c r="Y841" s="76"/>
      <c r="Z841" s="76"/>
      <c r="AA841" s="76"/>
      <c r="AB841" s="76"/>
      <c r="AC841" s="76"/>
      <c r="AD841" s="76"/>
      <c r="AE841" s="76"/>
      <c r="AF841" s="76"/>
      <c r="AG841" s="76"/>
      <c r="AH841" s="76"/>
      <c r="AI841" s="76"/>
      <c r="AJ841" s="76"/>
      <c r="AK841" s="76"/>
      <c r="AL841" s="77"/>
      <c r="AM841" s="76"/>
      <c r="AN841" s="76"/>
    </row>
    <row r="842" spans="1:40" ht="15">
      <c r="A842" s="83" t="e">
        <f>IF(#REF!&lt;&gt;#REF!,1,A841+1)</f>
        <v>#REF!</v>
      </c>
      <c r="O842" s="79"/>
      <c r="P842" s="79"/>
      <c r="Q842" s="76"/>
      <c r="R842" s="77"/>
      <c r="S842" s="76"/>
      <c r="T842" s="77"/>
      <c r="U842" s="76"/>
      <c r="V842" s="77"/>
      <c r="W842" s="76"/>
      <c r="X842" s="77"/>
      <c r="Y842" s="76"/>
      <c r="Z842" s="76"/>
      <c r="AA842" s="76"/>
      <c r="AB842" s="76"/>
      <c r="AC842" s="76"/>
      <c r="AD842" s="76"/>
      <c r="AE842" s="76"/>
      <c r="AF842" s="76"/>
      <c r="AG842" s="76"/>
      <c r="AH842" s="76"/>
      <c r="AI842" s="76"/>
      <c r="AJ842" s="76"/>
      <c r="AK842" s="76"/>
      <c r="AL842" s="77"/>
      <c r="AM842" s="76"/>
      <c r="AN842" s="76"/>
    </row>
    <row r="843" spans="1:40" ht="15">
      <c r="A843" s="83" t="e">
        <f>IF(#REF!&lt;&gt;#REF!,1,A842+1)</f>
        <v>#REF!</v>
      </c>
      <c r="O843" s="79"/>
      <c r="P843" s="79"/>
      <c r="Q843" s="76"/>
      <c r="R843" s="77"/>
      <c r="S843" s="76"/>
      <c r="T843" s="77"/>
      <c r="U843" s="76"/>
      <c r="V843" s="77"/>
      <c r="W843" s="76"/>
      <c r="X843" s="77"/>
      <c r="Y843" s="76"/>
      <c r="Z843" s="76"/>
      <c r="AA843" s="76"/>
      <c r="AB843" s="76"/>
      <c r="AC843" s="76"/>
      <c r="AD843" s="76"/>
      <c r="AE843" s="76"/>
      <c r="AF843" s="76"/>
      <c r="AG843" s="76"/>
      <c r="AH843" s="76"/>
      <c r="AI843" s="76"/>
      <c r="AJ843" s="76"/>
      <c r="AK843" s="76"/>
      <c r="AL843" s="77"/>
      <c r="AM843" s="76"/>
      <c r="AN843" s="76"/>
    </row>
    <row r="844" spans="1:40" ht="15">
      <c r="A844" s="83" t="e">
        <f>IF(#REF!&lt;&gt;#REF!,1,A843+1)</f>
        <v>#REF!</v>
      </c>
      <c r="O844" s="79"/>
      <c r="P844" s="79"/>
      <c r="Q844" s="76"/>
      <c r="R844" s="77"/>
      <c r="S844" s="76"/>
      <c r="T844" s="77"/>
      <c r="U844" s="76"/>
      <c r="V844" s="77"/>
      <c r="W844" s="76"/>
      <c r="X844" s="77"/>
      <c r="Y844" s="76"/>
      <c r="Z844" s="76"/>
      <c r="AA844" s="76"/>
      <c r="AB844" s="76"/>
      <c r="AC844" s="76"/>
      <c r="AD844" s="76"/>
      <c r="AE844" s="76"/>
      <c r="AF844" s="76"/>
      <c r="AG844" s="76"/>
      <c r="AH844" s="76"/>
      <c r="AI844" s="76"/>
      <c r="AJ844" s="76"/>
      <c r="AK844" s="76"/>
      <c r="AL844" s="77"/>
      <c r="AM844" s="76"/>
      <c r="AN844" s="76"/>
    </row>
    <row r="845" spans="1:40" ht="15">
      <c r="A845" s="83" t="e">
        <f>IF(#REF!&lt;&gt;#REF!,1,A844+1)</f>
        <v>#REF!</v>
      </c>
      <c r="O845" s="79"/>
      <c r="P845" s="79"/>
      <c r="Q845" s="76"/>
      <c r="R845" s="77"/>
      <c r="S845" s="76"/>
      <c r="T845" s="77"/>
      <c r="U845" s="76"/>
      <c r="V845" s="77"/>
      <c r="W845" s="76"/>
      <c r="X845" s="77"/>
      <c r="Y845" s="76"/>
      <c r="Z845" s="76"/>
      <c r="AA845" s="76"/>
      <c r="AB845" s="76"/>
      <c r="AC845" s="76"/>
      <c r="AD845" s="76"/>
      <c r="AE845" s="76"/>
      <c r="AF845" s="76"/>
      <c r="AG845" s="76"/>
      <c r="AH845" s="76"/>
      <c r="AI845" s="76"/>
      <c r="AJ845" s="76"/>
      <c r="AK845" s="76"/>
      <c r="AL845" s="77"/>
      <c r="AM845" s="76"/>
      <c r="AN845" s="76"/>
    </row>
    <row r="846" spans="1:40" ht="15">
      <c r="A846" s="83" t="e">
        <f>IF(#REF!&lt;&gt;#REF!,1,A845+1)</f>
        <v>#REF!</v>
      </c>
      <c r="O846" s="79"/>
      <c r="P846" s="79"/>
      <c r="Q846" s="76"/>
      <c r="R846" s="77"/>
      <c r="S846" s="76"/>
      <c r="T846" s="77"/>
      <c r="U846" s="76"/>
      <c r="V846" s="77"/>
      <c r="W846" s="76"/>
      <c r="X846" s="77"/>
      <c r="Y846" s="76"/>
      <c r="Z846" s="76"/>
      <c r="AA846" s="76"/>
      <c r="AB846" s="76"/>
      <c r="AC846" s="76"/>
      <c r="AD846" s="76"/>
      <c r="AE846" s="76"/>
      <c r="AF846" s="76"/>
      <c r="AG846" s="76"/>
      <c r="AH846" s="76"/>
      <c r="AI846" s="76"/>
      <c r="AJ846" s="76"/>
      <c r="AK846" s="76"/>
      <c r="AL846" s="77"/>
      <c r="AM846" s="76"/>
      <c r="AN846" s="76"/>
    </row>
    <row r="847" spans="1:40" ht="15">
      <c r="A847" s="83" t="e">
        <f>IF(#REF!&lt;&gt;#REF!,1,A846+1)</f>
        <v>#REF!</v>
      </c>
      <c r="O847" s="79"/>
      <c r="P847" s="79"/>
      <c r="Q847" s="76"/>
      <c r="R847" s="77"/>
      <c r="S847" s="76"/>
      <c r="T847" s="77"/>
      <c r="U847" s="76"/>
      <c r="V847" s="77"/>
      <c r="W847" s="76"/>
      <c r="X847" s="77"/>
      <c r="Y847" s="76"/>
      <c r="Z847" s="76"/>
      <c r="AA847" s="76"/>
      <c r="AB847" s="76"/>
      <c r="AC847" s="76"/>
      <c r="AD847" s="76"/>
      <c r="AE847" s="76"/>
      <c r="AF847" s="76"/>
      <c r="AG847" s="76"/>
      <c r="AH847" s="76"/>
      <c r="AI847" s="76"/>
      <c r="AJ847" s="76"/>
      <c r="AK847" s="76"/>
      <c r="AL847" s="77"/>
      <c r="AM847" s="76"/>
      <c r="AN847" s="76"/>
    </row>
    <row r="848" spans="1:40" ht="15">
      <c r="A848" s="83" t="e">
        <f>IF(#REF!&lt;&gt;#REF!,1,A847+1)</f>
        <v>#REF!</v>
      </c>
      <c r="O848" s="79"/>
      <c r="P848" s="79"/>
      <c r="Q848" s="76"/>
      <c r="R848" s="77"/>
      <c r="S848" s="76"/>
      <c r="T848" s="77"/>
      <c r="U848" s="76"/>
      <c r="V848" s="77"/>
      <c r="W848" s="76"/>
      <c r="X848" s="77"/>
      <c r="Y848" s="76"/>
      <c r="Z848" s="76"/>
      <c r="AA848" s="76"/>
      <c r="AB848" s="76"/>
      <c r="AC848" s="76"/>
      <c r="AD848" s="76"/>
      <c r="AE848" s="76"/>
      <c r="AF848" s="76"/>
      <c r="AG848" s="76"/>
      <c r="AH848" s="76"/>
      <c r="AI848" s="76"/>
      <c r="AJ848" s="76"/>
      <c r="AK848" s="76"/>
      <c r="AL848" s="77"/>
      <c r="AM848" s="76"/>
      <c r="AN848" s="76"/>
    </row>
    <row r="849" spans="1:40" ht="15">
      <c r="A849" s="83" t="e">
        <f>IF(#REF!&lt;&gt;#REF!,1,A848+1)</f>
        <v>#REF!</v>
      </c>
      <c r="O849" s="79"/>
      <c r="P849" s="79"/>
      <c r="Q849" s="76"/>
      <c r="R849" s="77"/>
      <c r="S849" s="76"/>
      <c r="T849" s="77"/>
      <c r="U849" s="76"/>
      <c r="V849" s="77"/>
      <c r="W849" s="76"/>
      <c r="X849" s="77"/>
      <c r="Y849" s="76"/>
      <c r="Z849" s="76"/>
      <c r="AA849" s="76"/>
      <c r="AB849" s="76"/>
      <c r="AC849" s="76"/>
      <c r="AD849" s="76"/>
      <c r="AE849" s="76"/>
      <c r="AF849" s="76"/>
      <c r="AG849" s="76"/>
      <c r="AH849" s="76"/>
      <c r="AI849" s="76"/>
      <c r="AJ849" s="76"/>
      <c r="AK849" s="76"/>
      <c r="AL849" s="77"/>
      <c r="AM849" s="76"/>
      <c r="AN849" s="76"/>
    </row>
    <row r="850" spans="1:40" ht="15">
      <c r="A850" s="83" t="e">
        <f>IF(#REF!&lt;&gt;#REF!,1,A849+1)</f>
        <v>#REF!</v>
      </c>
      <c r="O850" s="79"/>
      <c r="P850" s="79"/>
      <c r="Q850" s="76"/>
      <c r="R850" s="77"/>
      <c r="S850" s="76"/>
      <c r="T850" s="77"/>
      <c r="U850" s="76"/>
      <c r="V850" s="77"/>
      <c r="W850" s="76"/>
      <c r="X850" s="77"/>
      <c r="Y850" s="76"/>
      <c r="Z850" s="76"/>
      <c r="AA850" s="76"/>
      <c r="AB850" s="76"/>
      <c r="AC850" s="76"/>
      <c r="AD850" s="76"/>
      <c r="AE850" s="76"/>
      <c r="AF850" s="76"/>
      <c r="AG850" s="76"/>
      <c r="AH850" s="76"/>
      <c r="AI850" s="76"/>
      <c r="AJ850" s="76"/>
      <c r="AK850" s="76"/>
      <c r="AL850" s="77"/>
      <c r="AM850" s="76"/>
      <c r="AN850" s="76"/>
    </row>
    <row r="851" spans="1:40" ht="15">
      <c r="A851" s="83" t="e">
        <f>IF(#REF!&lt;&gt;#REF!,1,A850+1)</f>
        <v>#REF!</v>
      </c>
      <c r="O851" s="79"/>
      <c r="P851" s="79"/>
      <c r="Q851" s="76"/>
      <c r="R851" s="77"/>
      <c r="S851" s="76"/>
      <c r="T851" s="77"/>
      <c r="U851" s="76"/>
      <c r="V851" s="77"/>
      <c r="W851" s="76"/>
      <c r="X851" s="77"/>
      <c r="Y851" s="76"/>
      <c r="Z851" s="76"/>
      <c r="AA851" s="76"/>
      <c r="AB851" s="76"/>
      <c r="AC851" s="76"/>
      <c r="AD851" s="76"/>
      <c r="AE851" s="76"/>
      <c r="AF851" s="76"/>
      <c r="AG851" s="76"/>
      <c r="AH851" s="76"/>
      <c r="AI851" s="76"/>
      <c r="AJ851" s="76"/>
      <c r="AK851" s="76"/>
      <c r="AL851" s="77"/>
      <c r="AM851" s="76"/>
      <c r="AN851" s="76"/>
    </row>
    <row r="852" spans="1:40" ht="15">
      <c r="A852" s="83" t="e">
        <f>IF(#REF!&lt;&gt;#REF!,1,A851+1)</f>
        <v>#REF!</v>
      </c>
      <c r="O852" s="79"/>
      <c r="P852" s="79"/>
      <c r="Q852" s="76"/>
      <c r="R852" s="77"/>
      <c r="S852" s="76"/>
      <c r="T852" s="77"/>
      <c r="U852" s="76"/>
      <c r="V852" s="77"/>
      <c r="W852" s="76"/>
      <c r="X852" s="77"/>
      <c r="Y852" s="76"/>
      <c r="Z852" s="76"/>
      <c r="AA852" s="76"/>
      <c r="AB852" s="76"/>
      <c r="AC852" s="76"/>
      <c r="AD852" s="76"/>
      <c r="AE852" s="76"/>
      <c r="AF852" s="76"/>
      <c r="AG852" s="76"/>
      <c r="AH852" s="76"/>
      <c r="AI852" s="76"/>
      <c r="AJ852" s="76"/>
      <c r="AK852" s="76"/>
      <c r="AL852" s="77"/>
      <c r="AM852" s="76"/>
      <c r="AN852" s="76"/>
    </row>
    <row r="853" spans="1:40" ht="15">
      <c r="A853" s="83" t="e">
        <f>IF(#REF!&lt;&gt;#REF!,1,A852+1)</f>
        <v>#REF!</v>
      </c>
      <c r="O853" s="79"/>
      <c r="P853" s="79"/>
      <c r="Q853" s="76"/>
      <c r="R853" s="77"/>
      <c r="S853" s="76"/>
      <c r="T853" s="77"/>
      <c r="U853" s="76"/>
      <c r="V853" s="77"/>
      <c r="W853" s="76"/>
      <c r="X853" s="77"/>
      <c r="Y853" s="76"/>
      <c r="Z853" s="76"/>
      <c r="AA853" s="76"/>
      <c r="AB853" s="76"/>
      <c r="AC853" s="76"/>
      <c r="AD853" s="76"/>
      <c r="AE853" s="76"/>
      <c r="AF853" s="76"/>
      <c r="AG853" s="76"/>
      <c r="AH853" s="76"/>
      <c r="AI853" s="76"/>
      <c r="AJ853" s="76"/>
      <c r="AK853" s="76"/>
      <c r="AL853" s="77"/>
      <c r="AM853" s="76"/>
      <c r="AN853" s="76"/>
    </row>
    <row r="854" spans="1:40" ht="15">
      <c r="A854" s="83" t="e">
        <f>IF(#REF!&lt;&gt;#REF!,1,A853+1)</f>
        <v>#REF!</v>
      </c>
      <c r="O854" s="79"/>
      <c r="P854" s="79"/>
      <c r="Q854" s="76"/>
      <c r="R854" s="77"/>
      <c r="S854" s="76"/>
      <c r="T854" s="77"/>
      <c r="U854" s="76"/>
      <c r="V854" s="77"/>
      <c r="W854" s="76"/>
      <c r="X854" s="77"/>
      <c r="Y854" s="76"/>
      <c r="Z854" s="76"/>
      <c r="AA854" s="76"/>
      <c r="AB854" s="76"/>
      <c r="AC854" s="76"/>
      <c r="AD854" s="76"/>
      <c r="AE854" s="76"/>
      <c r="AF854" s="76"/>
      <c r="AG854" s="76"/>
      <c r="AH854" s="76"/>
      <c r="AI854" s="76"/>
      <c r="AJ854" s="76"/>
      <c r="AK854" s="76"/>
      <c r="AL854" s="77"/>
      <c r="AM854" s="76"/>
      <c r="AN854" s="76"/>
    </row>
    <row r="855" spans="1:40" ht="15">
      <c r="A855" s="83" t="e">
        <f>IF(#REF!&lt;&gt;#REF!,1,A854+1)</f>
        <v>#REF!</v>
      </c>
      <c r="O855" s="79"/>
      <c r="P855" s="79"/>
      <c r="Q855" s="76"/>
      <c r="R855" s="77"/>
      <c r="S855" s="76"/>
      <c r="T855" s="77"/>
      <c r="U855" s="76"/>
      <c r="V855" s="77"/>
      <c r="W855" s="76"/>
      <c r="X855" s="77"/>
      <c r="Y855" s="76"/>
      <c r="Z855" s="76"/>
      <c r="AA855" s="76"/>
      <c r="AB855" s="76"/>
      <c r="AC855" s="76"/>
      <c r="AD855" s="76"/>
      <c r="AE855" s="76"/>
      <c r="AF855" s="76"/>
      <c r="AG855" s="76"/>
      <c r="AH855" s="76"/>
      <c r="AI855" s="76"/>
      <c r="AJ855" s="76"/>
      <c r="AK855" s="76"/>
      <c r="AL855" s="77"/>
      <c r="AM855" s="76"/>
      <c r="AN855" s="76"/>
    </row>
    <row r="856" spans="1:40" ht="15">
      <c r="A856" s="83" t="e">
        <f>IF(#REF!&lt;&gt;#REF!,1,A855+1)</f>
        <v>#REF!</v>
      </c>
      <c r="O856" s="79"/>
      <c r="P856" s="79"/>
      <c r="Q856" s="76"/>
      <c r="R856" s="77"/>
      <c r="S856" s="76"/>
      <c r="T856" s="77"/>
      <c r="U856" s="76"/>
      <c r="V856" s="77"/>
      <c r="W856" s="76"/>
      <c r="X856" s="77"/>
      <c r="Y856" s="76"/>
      <c r="Z856" s="76"/>
      <c r="AA856" s="76"/>
      <c r="AB856" s="76"/>
      <c r="AC856" s="76"/>
      <c r="AD856" s="76"/>
      <c r="AE856" s="76"/>
      <c r="AF856" s="76"/>
      <c r="AG856" s="76"/>
      <c r="AH856" s="76"/>
      <c r="AI856" s="76"/>
      <c r="AJ856" s="76"/>
      <c r="AK856" s="76"/>
      <c r="AL856" s="77"/>
      <c r="AM856" s="76"/>
      <c r="AN856" s="76"/>
    </row>
    <row r="857" spans="1:40" ht="15">
      <c r="A857" s="83" t="e">
        <f>IF(#REF!&lt;&gt;#REF!,1,A856+1)</f>
        <v>#REF!</v>
      </c>
      <c r="O857" s="79"/>
      <c r="P857" s="79"/>
      <c r="Q857" s="76"/>
      <c r="R857" s="77"/>
      <c r="S857" s="76"/>
      <c r="T857" s="77"/>
      <c r="U857" s="76"/>
      <c r="V857" s="77"/>
      <c r="W857" s="76"/>
      <c r="X857" s="77"/>
      <c r="Y857" s="76"/>
      <c r="Z857" s="76"/>
      <c r="AA857" s="76"/>
      <c r="AB857" s="76"/>
      <c r="AC857" s="76"/>
      <c r="AD857" s="76"/>
      <c r="AE857" s="76"/>
      <c r="AF857" s="76"/>
      <c r="AG857" s="76"/>
      <c r="AH857" s="76"/>
      <c r="AI857" s="76"/>
      <c r="AJ857" s="76"/>
      <c r="AK857" s="76"/>
      <c r="AL857" s="77"/>
      <c r="AM857" s="76"/>
      <c r="AN857" s="76"/>
    </row>
    <row r="858" spans="1:40" ht="15">
      <c r="A858" s="83" t="e">
        <f>IF(#REF!&lt;&gt;#REF!,1,A857+1)</f>
        <v>#REF!</v>
      </c>
      <c r="O858" s="79"/>
      <c r="P858" s="79"/>
      <c r="Q858" s="76"/>
      <c r="R858" s="77"/>
      <c r="S858" s="76"/>
      <c r="T858" s="77"/>
      <c r="U858" s="76"/>
      <c r="V858" s="77"/>
      <c r="W858" s="76"/>
      <c r="X858" s="77"/>
      <c r="Y858" s="76"/>
      <c r="Z858" s="76"/>
      <c r="AA858" s="76"/>
      <c r="AB858" s="76"/>
      <c r="AC858" s="76"/>
      <c r="AD858" s="76"/>
      <c r="AE858" s="76"/>
      <c r="AF858" s="76"/>
      <c r="AG858" s="76"/>
      <c r="AH858" s="76"/>
      <c r="AI858" s="76"/>
      <c r="AJ858" s="76"/>
      <c r="AK858" s="76"/>
      <c r="AL858" s="77"/>
      <c r="AM858" s="76"/>
      <c r="AN858" s="76"/>
    </row>
    <row r="859" spans="1:40" ht="15">
      <c r="A859" s="83" t="e">
        <f>IF(#REF!&lt;&gt;#REF!,1,A858+1)</f>
        <v>#REF!</v>
      </c>
      <c r="O859" s="79"/>
      <c r="P859" s="79"/>
      <c r="Q859" s="76"/>
      <c r="R859" s="77"/>
      <c r="S859" s="76"/>
      <c r="T859" s="77"/>
      <c r="U859" s="76"/>
      <c r="V859" s="77"/>
      <c r="W859" s="76"/>
      <c r="X859" s="77"/>
      <c r="Y859" s="76"/>
      <c r="Z859" s="76"/>
      <c r="AA859" s="76"/>
      <c r="AB859" s="76"/>
      <c r="AC859" s="76"/>
      <c r="AD859" s="76"/>
      <c r="AE859" s="76"/>
      <c r="AF859" s="76"/>
      <c r="AG859" s="76"/>
      <c r="AH859" s="76"/>
      <c r="AI859" s="76"/>
      <c r="AJ859" s="76"/>
      <c r="AK859" s="76"/>
      <c r="AL859" s="77"/>
      <c r="AM859" s="76"/>
      <c r="AN859" s="76"/>
    </row>
    <row r="860" spans="1:40" ht="15">
      <c r="A860" s="83" t="e">
        <f>IF(#REF!&lt;&gt;#REF!,1,A859+1)</f>
        <v>#REF!</v>
      </c>
      <c r="O860" s="79"/>
      <c r="P860" s="79"/>
      <c r="Q860" s="76"/>
      <c r="R860" s="77"/>
      <c r="S860" s="76"/>
      <c r="T860" s="77"/>
      <c r="U860" s="76"/>
      <c r="V860" s="77"/>
      <c r="W860" s="76"/>
      <c r="X860" s="77"/>
      <c r="Y860" s="76"/>
      <c r="Z860" s="76"/>
      <c r="AA860" s="76"/>
      <c r="AB860" s="76"/>
      <c r="AC860" s="76"/>
      <c r="AD860" s="76"/>
      <c r="AE860" s="76"/>
      <c r="AF860" s="76"/>
      <c r="AG860" s="76"/>
      <c r="AH860" s="76"/>
      <c r="AI860" s="76"/>
      <c r="AJ860" s="76"/>
      <c r="AK860" s="76"/>
      <c r="AL860" s="77"/>
      <c r="AM860" s="76"/>
      <c r="AN860" s="76"/>
    </row>
    <row r="861" spans="1:40" ht="15">
      <c r="A861" s="83" t="e">
        <f>IF(#REF!&lt;&gt;#REF!,1,A860+1)</f>
        <v>#REF!</v>
      </c>
      <c r="O861" s="79"/>
      <c r="P861" s="79"/>
      <c r="Q861" s="76"/>
      <c r="R861" s="77"/>
      <c r="S861" s="76"/>
      <c r="T861" s="77"/>
      <c r="U861" s="76"/>
      <c r="V861" s="77"/>
      <c r="W861" s="76"/>
      <c r="X861" s="77"/>
      <c r="Y861" s="76"/>
      <c r="Z861" s="76"/>
      <c r="AA861" s="76"/>
      <c r="AB861" s="76"/>
      <c r="AC861" s="76"/>
      <c r="AD861" s="76"/>
      <c r="AE861" s="76"/>
      <c r="AF861" s="76"/>
      <c r="AG861" s="76"/>
      <c r="AH861" s="76"/>
      <c r="AI861" s="76"/>
      <c r="AJ861" s="76"/>
      <c r="AK861" s="76"/>
      <c r="AL861" s="77"/>
      <c r="AM861" s="76"/>
      <c r="AN861" s="76"/>
    </row>
    <row r="862" spans="1:40" ht="15">
      <c r="A862" s="83" t="e">
        <f>IF(#REF!&lt;&gt;#REF!,1,A861+1)</f>
        <v>#REF!</v>
      </c>
      <c r="O862" s="79"/>
      <c r="P862" s="79"/>
      <c r="Q862" s="76"/>
      <c r="R862" s="77"/>
      <c r="S862" s="76"/>
      <c r="T862" s="77"/>
      <c r="U862" s="76"/>
      <c r="V862" s="77"/>
      <c r="W862" s="76"/>
      <c r="X862" s="77"/>
      <c r="Y862" s="76"/>
      <c r="Z862" s="76"/>
      <c r="AA862" s="76"/>
      <c r="AB862" s="76"/>
      <c r="AC862" s="76"/>
      <c r="AD862" s="76"/>
      <c r="AE862" s="76"/>
      <c r="AF862" s="76"/>
      <c r="AG862" s="76"/>
      <c r="AH862" s="76"/>
      <c r="AI862" s="76"/>
      <c r="AJ862" s="76"/>
      <c r="AK862" s="76"/>
      <c r="AL862" s="77"/>
      <c r="AM862" s="76"/>
      <c r="AN862" s="76"/>
    </row>
    <row r="863" spans="1:40" ht="15">
      <c r="A863" s="83" t="e">
        <f>IF(#REF!&lt;&gt;#REF!,1,A862+1)</f>
        <v>#REF!</v>
      </c>
      <c r="O863" s="79"/>
      <c r="P863" s="79"/>
      <c r="Q863" s="76"/>
      <c r="R863" s="77"/>
      <c r="S863" s="76"/>
      <c r="T863" s="77"/>
      <c r="U863" s="76"/>
      <c r="V863" s="77"/>
      <c r="W863" s="76"/>
      <c r="X863" s="77"/>
      <c r="Y863" s="76"/>
      <c r="Z863" s="76"/>
      <c r="AA863" s="76"/>
      <c r="AB863" s="76"/>
      <c r="AC863" s="76"/>
      <c r="AD863" s="76"/>
      <c r="AE863" s="76"/>
      <c r="AF863" s="76"/>
      <c r="AG863" s="76"/>
      <c r="AH863" s="76"/>
      <c r="AI863" s="76"/>
      <c r="AJ863" s="76"/>
      <c r="AK863" s="76"/>
      <c r="AL863" s="77"/>
      <c r="AM863" s="76"/>
      <c r="AN863" s="76"/>
    </row>
    <row r="864" spans="1:40" ht="15">
      <c r="A864" s="83" t="e">
        <f>IF(#REF!&lt;&gt;#REF!,1,A863+1)</f>
        <v>#REF!</v>
      </c>
      <c r="O864" s="79"/>
      <c r="P864" s="79"/>
      <c r="Q864" s="76"/>
      <c r="R864" s="77"/>
      <c r="S864" s="76"/>
      <c r="T864" s="77"/>
      <c r="U864" s="76"/>
      <c r="V864" s="77"/>
      <c r="W864" s="76"/>
      <c r="X864" s="77"/>
      <c r="Y864" s="76"/>
      <c r="Z864" s="76"/>
      <c r="AA864" s="76"/>
      <c r="AB864" s="76"/>
      <c r="AC864" s="76"/>
      <c r="AD864" s="76"/>
      <c r="AE864" s="76"/>
      <c r="AF864" s="76"/>
      <c r="AG864" s="76"/>
      <c r="AH864" s="76"/>
      <c r="AI864" s="76"/>
      <c r="AJ864" s="76"/>
      <c r="AK864" s="76"/>
      <c r="AL864" s="77"/>
      <c r="AM864" s="76"/>
      <c r="AN864" s="76"/>
    </row>
    <row r="865" spans="1:40" ht="15">
      <c r="A865" s="83" t="e">
        <f>IF(#REF!&lt;&gt;#REF!,1,A864+1)</f>
        <v>#REF!</v>
      </c>
      <c r="O865" s="79"/>
      <c r="P865" s="79"/>
      <c r="Q865" s="76"/>
      <c r="R865" s="77"/>
      <c r="S865" s="76"/>
      <c r="T865" s="77"/>
      <c r="U865" s="76"/>
      <c r="V865" s="77"/>
      <c r="W865" s="76"/>
      <c r="X865" s="77"/>
      <c r="Y865" s="76"/>
      <c r="Z865" s="76"/>
      <c r="AA865" s="76"/>
      <c r="AB865" s="76"/>
      <c r="AC865" s="76"/>
      <c r="AD865" s="76"/>
      <c r="AE865" s="76"/>
      <c r="AF865" s="76"/>
      <c r="AG865" s="76"/>
      <c r="AH865" s="76"/>
      <c r="AI865" s="76"/>
      <c r="AJ865" s="76"/>
      <c r="AK865" s="76"/>
      <c r="AL865" s="77"/>
      <c r="AM865" s="76"/>
      <c r="AN865" s="76"/>
    </row>
    <row r="866" spans="1:40" ht="15">
      <c r="A866" s="83" t="e">
        <f>IF(#REF!&lt;&gt;#REF!,1,A865+1)</f>
        <v>#REF!</v>
      </c>
      <c r="O866" s="79"/>
      <c r="P866" s="79"/>
      <c r="Q866" s="76"/>
      <c r="R866" s="77"/>
      <c r="S866" s="76"/>
      <c r="T866" s="77"/>
      <c r="U866" s="76"/>
      <c r="V866" s="77"/>
      <c r="W866" s="76"/>
      <c r="X866" s="77"/>
      <c r="Y866" s="76"/>
      <c r="Z866" s="76"/>
      <c r="AA866" s="76"/>
      <c r="AB866" s="76"/>
      <c r="AC866" s="76"/>
      <c r="AD866" s="76"/>
      <c r="AE866" s="76"/>
      <c r="AF866" s="76"/>
      <c r="AG866" s="76"/>
      <c r="AH866" s="76"/>
      <c r="AI866" s="76"/>
      <c r="AJ866" s="76"/>
      <c r="AK866" s="76"/>
      <c r="AL866" s="77"/>
      <c r="AM866" s="76"/>
      <c r="AN866" s="76"/>
    </row>
    <row r="867" spans="1:40" ht="15">
      <c r="A867" s="83" t="e">
        <f>IF(#REF!&lt;&gt;#REF!,1,A866+1)</f>
        <v>#REF!</v>
      </c>
      <c r="O867" s="79"/>
      <c r="P867" s="79"/>
      <c r="Q867" s="76"/>
      <c r="R867" s="77"/>
      <c r="S867" s="76"/>
      <c r="T867" s="77"/>
      <c r="U867" s="76"/>
      <c r="V867" s="77"/>
      <c r="W867" s="76"/>
      <c r="X867" s="77"/>
      <c r="Y867" s="76"/>
      <c r="Z867" s="76"/>
      <c r="AA867" s="76"/>
      <c r="AB867" s="76"/>
      <c r="AC867" s="76"/>
      <c r="AD867" s="76"/>
      <c r="AE867" s="76"/>
      <c r="AF867" s="76"/>
      <c r="AG867" s="76"/>
      <c r="AH867" s="76"/>
      <c r="AI867" s="76"/>
      <c r="AJ867" s="76"/>
      <c r="AK867" s="76"/>
      <c r="AL867" s="77"/>
      <c r="AM867" s="76"/>
      <c r="AN867" s="76"/>
    </row>
    <row r="868" spans="1:40" ht="15">
      <c r="A868" s="83" t="e">
        <f>IF(#REF!&lt;&gt;#REF!,1,A867+1)</f>
        <v>#REF!</v>
      </c>
      <c r="O868" s="79"/>
      <c r="P868" s="79"/>
      <c r="Q868" s="76"/>
      <c r="R868" s="77"/>
      <c r="S868" s="76"/>
      <c r="T868" s="77"/>
      <c r="U868" s="76"/>
      <c r="V868" s="77"/>
      <c r="W868" s="76"/>
      <c r="X868" s="77"/>
      <c r="Y868" s="76"/>
      <c r="Z868" s="76"/>
      <c r="AA868" s="76"/>
      <c r="AB868" s="76"/>
      <c r="AC868" s="76"/>
      <c r="AD868" s="76"/>
      <c r="AE868" s="76"/>
      <c r="AF868" s="76"/>
      <c r="AG868" s="76"/>
      <c r="AH868" s="76"/>
      <c r="AI868" s="76"/>
      <c r="AJ868" s="76"/>
      <c r="AK868" s="76"/>
      <c r="AL868" s="77"/>
      <c r="AM868" s="76"/>
      <c r="AN868" s="76"/>
    </row>
    <row r="869" spans="1:40" ht="15">
      <c r="A869" s="83" t="e">
        <f>IF(#REF!&lt;&gt;#REF!,1,A868+1)</f>
        <v>#REF!</v>
      </c>
      <c r="O869" s="79"/>
      <c r="P869" s="79"/>
      <c r="Q869" s="76"/>
      <c r="R869" s="77"/>
      <c r="S869" s="76"/>
      <c r="T869" s="77"/>
      <c r="U869" s="76"/>
      <c r="V869" s="77"/>
      <c r="W869" s="76"/>
      <c r="X869" s="77"/>
      <c r="Y869" s="76"/>
      <c r="Z869" s="76"/>
      <c r="AA869" s="76"/>
      <c r="AB869" s="76"/>
      <c r="AC869" s="76"/>
      <c r="AD869" s="76"/>
      <c r="AE869" s="76"/>
      <c r="AF869" s="76"/>
      <c r="AG869" s="76"/>
      <c r="AH869" s="76"/>
      <c r="AI869" s="76"/>
      <c r="AJ869" s="76"/>
      <c r="AK869" s="76"/>
      <c r="AL869" s="77"/>
      <c r="AM869" s="76"/>
      <c r="AN869" s="76"/>
    </row>
    <row r="870" spans="1:40" ht="15">
      <c r="A870" s="83" t="e">
        <f>IF(#REF!&lt;&gt;#REF!,1,A869+1)</f>
        <v>#REF!</v>
      </c>
      <c r="O870" s="79"/>
      <c r="P870" s="79"/>
      <c r="Q870" s="76"/>
      <c r="R870" s="77"/>
      <c r="S870" s="76"/>
      <c r="T870" s="77"/>
      <c r="U870" s="76"/>
      <c r="V870" s="77"/>
      <c r="W870" s="76"/>
      <c r="X870" s="77"/>
      <c r="Y870" s="76"/>
      <c r="Z870" s="76"/>
      <c r="AA870" s="76"/>
      <c r="AB870" s="76"/>
      <c r="AC870" s="76"/>
      <c r="AD870" s="76"/>
      <c r="AE870" s="76"/>
      <c r="AF870" s="76"/>
      <c r="AG870" s="76"/>
      <c r="AH870" s="76"/>
      <c r="AI870" s="76"/>
      <c r="AJ870" s="76"/>
      <c r="AK870" s="76"/>
      <c r="AL870" s="77"/>
      <c r="AM870" s="76"/>
      <c r="AN870" s="76"/>
    </row>
    <row r="871" spans="1:40" ht="15">
      <c r="A871" s="83" t="e">
        <f>IF(#REF!&lt;&gt;#REF!,1,A870+1)</f>
        <v>#REF!</v>
      </c>
      <c r="O871" s="79"/>
      <c r="P871" s="79"/>
      <c r="Q871" s="76"/>
      <c r="R871" s="77"/>
      <c r="S871" s="76"/>
      <c r="T871" s="77"/>
      <c r="U871" s="76"/>
      <c r="V871" s="77"/>
      <c r="W871" s="76"/>
      <c r="X871" s="77"/>
      <c r="Y871" s="76"/>
      <c r="Z871" s="76"/>
      <c r="AA871" s="76"/>
      <c r="AB871" s="76"/>
      <c r="AC871" s="76"/>
      <c r="AD871" s="76"/>
      <c r="AE871" s="76"/>
      <c r="AF871" s="76"/>
      <c r="AG871" s="76"/>
      <c r="AH871" s="76"/>
      <c r="AI871" s="76"/>
      <c r="AJ871" s="76"/>
      <c r="AK871" s="76"/>
      <c r="AL871" s="77"/>
      <c r="AM871" s="76"/>
      <c r="AN871" s="76"/>
    </row>
    <row r="872" spans="1:40" ht="15">
      <c r="A872" s="83" t="e">
        <f>IF(#REF!&lt;&gt;#REF!,1,A871+1)</f>
        <v>#REF!</v>
      </c>
      <c r="O872" s="79"/>
      <c r="P872" s="79"/>
      <c r="Q872" s="76"/>
      <c r="R872" s="77"/>
      <c r="S872" s="76"/>
      <c r="T872" s="77"/>
      <c r="U872" s="76"/>
      <c r="V872" s="77"/>
      <c r="W872" s="76"/>
      <c r="X872" s="77"/>
      <c r="Y872" s="76"/>
      <c r="Z872" s="76"/>
      <c r="AA872" s="76"/>
      <c r="AB872" s="76"/>
      <c r="AC872" s="76"/>
      <c r="AD872" s="76"/>
      <c r="AE872" s="76"/>
      <c r="AF872" s="76"/>
      <c r="AG872" s="76"/>
      <c r="AH872" s="76"/>
      <c r="AI872" s="76"/>
      <c r="AJ872" s="76"/>
      <c r="AK872" s="76"/>
      <c r="AL872" s="77"/>
      <c r="AM872" s="76"/>
      <c r="AN872" s="76"/>
    </row>
    <row r="873" spans="1:40" ht="15">
      <c r="A873" s="83" t="e">
        <f>IF(#REF!&lt;&gt;#REF!,1,A872+1)</f>
        <v>#REF!</v>
      </c>
      <c r="O873" s="79"/>
      <c r="P873" s="79"/>
      <c r="Q873" s="76"/>
      <c r="R873" s="77"/>
      <c r="S873" s="76"/>
      <c r="T873" s="77"/>
      <c r="U873" s="76"/>
      <c r="V873" s="77"/>
      <c r="W873" s="76"/>
      <c r="X873" s="77"/>
      <c r="Y873" s="76"/>
      <c r="Z873" s="76"/>
      <c r="AA873" s="76"/>
      <c r="AB873" s="76"/>
      <c r="AC873" s="76"/>
      <c r="AD873" s="76"/>
      <c r="AE873" s="76"/>
      <c r="AF873" s="76"/>
      <c r="AG873" s="76"/>
      <c r="AH873" s="76"/>
      <c r="AI873" s="76"/>
      <c r="AJ873" s="76"/>
      <c r="AK873" s="76"/>
      <c r="AL873" s="77"/>
      <c r="AM873" s="76"/>
      <c r="AN873" s="76"/>
    </row>
    <row r="874" spans="1:40" ht="15">
      <c r="A874" s="83" t="e">
        <f>IF(#REF!&lt;&gt;#REF!,1,A873+1)</f>
        <v>#REF!</v>
      </c>
      <c r="O874" s="79"/>
      <c r="P874" s="79"/>
      <c r="Q874" s="76"/>
      <c r="R874" s="77"/>
      <c r="S874" s="76"/>
      <c r="T874" s="77"/>
      <c r="U874" s="76"/>
      <c r="V874" s="77"/>
      <c r="W874" s="76"/>
      <c r="X874" s="77"/>
      <c r="Y874" s="76"/>
      <c r="Z874" s="76"/>
      <c r="AA874" s="76"/>
      <c r="AB874" s="76"/>
      <c r="AC874" s="76"/>
      <c r="AD874" s="76"/>
      <c r="AE874" s="76"/>
      <c r="AF874" s="76"/>
      <c r="AG874" s="76"/>
      <c r="AH874" s="76"/>
      <c r="AI874" s="76"/>
      <c r="AJ874" s="76"/>
      <c r="AK874" s="76"/>
      <c r="AL874" s="77"/>
      <c r="AM874" s="76"/>
      <c r="AN874" s="76"/>
    </row>
    <row r="875" spans="1:40" ht="15">
      <c r="A875" s="83" t="e">
        <f>IF(#REF!&lt;&gt;#REF!,1,A874+1)</f>
        <v>#REF!</v>
      </c>
      <c r="O875" s="79"/>
      <c r="P875" s="79"/>
      <c r="Q875" s="76"/>
      <c r="R875" s="77"/>
      <c r="S875" s="76"/>
      <c r="T875" s="77"/>
      <c r="U875" s="76"/>
      <c r="V875" s="77"/>
      <c r="W875" s="76"/>
      <c r="X875" s="77"/>
      <c r="Y875" s="76"/>
      <c r="Z875" s="76"/>
      <c r="AA875" s="76"/>
      <c r="AB875" s="76"/>
      <c r="AC875" s="76"/>
      <c r="AD875" s="76"/>
      <c r="AE875" s="76"/>
      <c r="AF875" s="76"/>
      <c r="AG875" s="76"/>
      <c r="AH875" s="76"/>
      <c r="AI875" s="76"/>
      <c r="AJ875" s="76"/>
      <c r="AK875" s="76"/>
      <c r="AL875" s="77"/>
      <c r="AM875" s="76"/>
      <c r="AN875" s="76"/>
    </row>
    <row r="876" spans="1:40" ht="15">
      <c r="A876" s="83" t="e">
        <f>IF(#REF!&lt;&gt;#REF!,1,A875+1)</f>
        <v>#REF!</v>
      </c>
      <c r="O876" s="79"/>
      <c r="P876" s="79"/>
      <c r="Q876" s="76"/>
      <c r="R876" s="77"/>
      <c r="S876" s="76"/>
      <c r="T876" s="77"/>
      <c r="U876" s="76"/>
      <c r="V876" s="77"/>
      <c r="W876" s="76"/>
      <c r="X876" s="77"/>
      <c r="Y876" s="76"/>
      <c r="Z876" s="76"/>
      <c r="AA876" s="76"/>
      <c r="AB876" s="76"/>
      <c r="AC876" s="76"/>
      <c r="AD876" s="76"/>
      <c r="AE876" s="76"/>
      <c r="AF876" s="76"/>
      <c r="AG876" s="76"/>
      <c r="AH876" s="76"/>
      <c r="AI876" s="76"/>
      <c r="AJ876" s="76"/>
      <c r="AK876" s="76"/>
      <c r="AL876" s="77"/>
      <c r="AM876" s="76"/>
      <c r="AN876" s="76"/>
    </row>
    <row r="877" spans="1:40" ht="15">
      <c r="A877" s="83" t="e">
        <f>IF(#REF!&lt;&gt;#REF!,1,A876+1)</f>
        <v>#REF!</v>
      </c>
      <c r="O877" s="79"/>
      <c r="P877" s="79"/>
      <c r="Q877" s="76"/>
      <c r="R877" s="77"/>
      <c r="S877" s="76"/>
      <c r="T877" s="77"/>
      <c r="U877" s="76"/>
      <c r="V877" s="77"/>
      <c r="W877" s="76"/>
      <c r="X877" s="77"/>
      <c r="Y877" s="76"/>
      <c r="Z877" s="76"/>
      <c r="AA877" s="76"/>
      <c r="AB877" s="76"/>
      <c r="AC877" s="76"/>
      <c r="AD877" s="76"/>
      <c r="AE877" s="76"/>
      <c r="AF877" s="76"/>
      <c r="AG877" s="76"/>
      <c r="AH877" s="76"/>
      <c r="AI877" s="76"/>
      <c r="AJ877" s="76"/>
      <c r="AK877" s="76"/>
      <c r="AL877" s="77"/>
      <c r="AM877" s="76"/>
      <c r="AN877" s="76"/>
    </row>
    <row r="878" spans="1:40" ht="15">
      <c r="A878" s="83" t="e">
        <f>IF(#REF!&lt;&gt;#REF!,1,A877+1)</f>
        <v>#REF!</v>
      </c>
      <c r="O878" s="79"/>
      <c r="P878" s="79"/>
      <c r="Q878" s="76"/>
      <c r="R878" s="77"/>
      <c r="S878" s="76"/>
      <c r="T878" s="77"/>
      <c r="U878" s="76"/>
      <c r="V878" s="77"/>
      <c r="W878" s="76"/>
      <c r="X878" s="77"/>
      <c r="Y878" s="76"/>
      <c r="Z878" s="76"/>
      <c r="AA878" s="76"/>
      <c r="AB878" s="76"/>
      <c r="AC878" s="76"/>
      <c r="AD878" s="76"/>
      <c r="AE878" s="76"/>
      <c r="AF878" s="76"/>
      <c r="AG878" s="76"/>
      <c r="AH878" s="76"/>
      <c r="AI878" s="76"/>
      <c r="AJ878" s="76"/>
      <c r="AK878" s="76"/>
      <c r="AL878" s="77"/>
      <c r="AM878" s="76"/>
      <c r="AN878" s="76"/>
    </row>
    <row r="879" spans="1:40" ht="15">
      <c r="A879" s="83" t="e">
        <f>IF(#REF!&lt;&gt;#REF!,1,A878+1)</f>
        <v>#REF!</v>
      </c>
      <c r="O879" s="79"/>
      <c r="P879" s="79"/>
      <c r="Q879" s="76"/>
      <c r="R879" s="77"/>
      <c r="S879" s="76"/>
      <c r="T879" s="77"/>
      <c r="U879" s="76"/>
      <c r="V879" s="77"/>
      <c r="W879" s="76"/>
      <c r="X879" s="77"/>
      <c r="Y879" s="76"/>
      <c r="Z879" s="76"/>
      <c r="AA879" s="76"/>
      <c r="AB879" s="76"/>
      <c r="AC879" s="76"/>
      <c r="AD879" s="76"/>
      <c r="AE879" s="76"/>
      <c r="AF879" s="76"/>
      <c r="AG879" s="76"/>
      <c r="AH879" s="76"/>
      <c r="AI879" s="76"/>
      <c r="AJ879" s="76"/>
      <c r="AK879" s="76"/>
      <c r="AL879" s="77"/>
      <c r="AM879" s="76"/>
      <c r="AN879" s="76"/>
    </row>
    <row r="880" spans="1:40" ht="15">
      <c r="A880" s="83" t="e">
        <f>IF(#REF!&lt;&gt;#REF!,1,A879+1)</f>
        <v>#REF!</v>
      </c>
      <c r="O880" s="79"/>
      <c r="P880" s="79"/>
      <c r="Q880" s="76"/>
      <c r="R880" s="77"/>
      <c r="S880" s="76"/>
      <c r="T880" s="77"/>
      <c r="U880" s="76"/>
      <c r="V880" s="77"/>
      <c r="W880" s="76"/>
      <c r="X880" s="77"/>
      <c r="Y880" s="76"/>
      <c r="Z880" s="76"/>
      <c r="AA880" s="76"/>
      <c r="AB880" s="76"/>
      <c r="AC880" s="76"/>
      <c r="AD880" s="76"/>
      <c r="AE880" s="76"/>
      <c r="AF880" s="76"/>
      <c r="AG880" s="76"/>
      <c r="AH880" s="76"/>
      <c r="AI880" s="76"/>
      <c r="AJ880" s="76"/>
      <c r="AK880" s="76"/>
      <c r="AL880" s="77"/>
      <c r="AM880" s="76"/>
      <c r="AN880" s="76"/>
    </row>
    <row r="881" spans="1:40" ht="15">
      <c r="A881" s="83" t="e">
        <f>IF(#REF!&lt;&gt;#REF!,1,A880+1)</f>
        <v>#REF!</v>
      </c>
      <c r="O881" s="79"/>
      <c r="P881" s="79"/>
      <c r="Q881" s="76"/>
      <c r="R881" s="77"/>
      <c r="S881" s="76"/>
      <c r="T881" s="77"/>
      <c r="U881" s="76"/>
      <c r="V881" s="77"/>
      <c r="W881" s="76"/>
      <c r="X881" s="77"/>
      <c r="Y881" s="76"/>
      <c r="Z881" s="76"/>
      <c r="AA881" s="76"/>
      <c r="AB881" s="76"/>
      <c r="AC881" s="76"/>
      <c r="AD881" s="76"/>
      <c r="AE881" s="76"/>
      <c r="AF881" s="76"/>
      <c r="AG881" s="76"/>
      <c r="AH881" s="76"/>
      <c r="AI881" s="76"/>
      <c r="AJ881" s="76"/>
      <c r="AK881" s="76"/>
      <c r="AL881" s="77"/>
      <c r="AM881" s="76"/>
      <c r="AN881" s="76"/>
    </row>
    <row r="882" spans="1:40" ht="15">
      <c r="A882" s="83" t="e">
        <f>IF(#REF!&lt;&gt;#REF!,1,A881+1)</f>
        <v>#REF!</v>
      </c>
      <c r="O882" s="79"/>
      <c r="P882" s="79"/>
      <c r="Q882" s="76"/>
      <c r="R882" s="77"/>
      <c r="S882" s="76"/>
      <c r="T882" s="77"/>
      <c r="U882" s="76"/>
      <c r="V882" s="77"/>
      <c r="W882" s="76"/>
      <c r="X882" s="77"/>
      <c r="Y882" s="76"/>
      <c r="Z882" s="76"/>
      <c r="AA882" s="76"/>
      <c r="AB882" s="76"/>
      <c r="AC882" s="76"/>
      <c r="AD882" s="76"/>
      <c r="AE882" s="76"/>
      <c r="AF882" s="76"/>
      <c r="AG882" s="76"/>
      <c r="AH882" s="76"/>
      <c r="AI882" s="76"/>
      <c r="AJ882" s="76"/>
      <c r="AK882" s="76"/>
      <c r="AL882" s="77"/>
      <c r="AM882" s="76"/>
      <c r="AN882" s="76"/>
    </row>
    <row r="883" spans="1:40" ht="15">
      <c r="A883" s="83" t="e">
        <f>IF(#REF!&lt;&gt;#REF!,1,A882+1)</f>
        <v>#REF!</v>
      </c>
      <c r="O883" s="79"/>
      <c r="P883" s="79"/>
      <c r="Q883" s="76"/>
      <c r="R883" s="77"/>
      <c r="S883" s="76"/>
      <c r="T883" s="77"/>
      <c r="U883" s="76"/>
      <c r="V883" s="77"/>
      <c r="W883" s="76"/>
      <c r="X883" s="77"/>
      <c r="Y883" s="76"/>
      <c r="Z883" s="76"/>
      <c r="AA883" s="76"/>
      <c r="AB883" s="76"/>
      <c r="AC883" s="76"/>
      <c r="AD883" s="76"/>
      <c r="AE883" s="76"/>
      <c r="AF883" s="76"/>
      <c r="AG883" s="76"/>
      <c r="AH883" s="76"/>
      <c r="AI883" s="76"/>
      <c r="AJ883" s="76"/>
      <c r="AK883" s="76"/>
      <c r="AL883" s="77"/>
      <c r="AM883" s="76"/>
      <c r="AN883" s="76"/>
    </row>
    <row r="884" spans="1:40" ht="15">
      <c r="A884" s="83" t="e">
        <f>IF(#REF!&lt;&gt;#REF!,1,A883+1)</f>
        <v>#REF!</v>
      </c>
      <c r="O884" s="79"/>
      <c r="P884" s="79"/>
      <c r="Q884" s="76"/>
      <c r="R884" s="77"/>
      <c r="S884" s="76"/>
      <c r="T884" s="77"/>
      <c r="U884" s="76"/>
      <c r="V884" s="77"/>
      <c r="W884" s="76"/>
      <c r="X884" s="77"/>
      <c r="Y884" s="76"/>
      <c r="Z884" s="76"/>
      <c r="AA884" s="76"/>
      <c r="AB884" s="76"/>
      <c r="AC884" s="76"/>
      <c r="AD884" s="76"/>
      <c r="AE884" s="76"/>
      <c r="AF884" s="76"/>
      <c r="AG884" s="76"/>
      <c r="AH884" s="76"/>
      <c r="AI884" s="76"/>
      <c r="AJ884" s="76"/>
      <c r="AK884" s="76"/>
      <c r="AL884" s="77"/>
      <c r="AM884" s="76"/>
      <c r="AN884" s="76"/>
    </row>
    <row r="885" spans="1:40" ht="15">
      <c r="A885" s="83" t="e">
        <f>IF(#REF!&lt;&gt;#REF!,1,A884+1)</f>
        <v>#REF!</v>
      </c>
      <c r="O885" s="79"/>
      <c r="P885" s="79"/>
      <c r="Q885" s="76"/>
      <c r="R885" s="77"/>
      <c r="S885" s="76"/>
      <c r="T885" s="77"/>
      <c r="U885" s="76"/>
      <c r="V885" s="77"/>
      <c r="W885" s="76"/>
      <c r="X885" s="77"/>
      <c r="Y885" s="76"/>
      <c r="Z885" s="76"/>
      <c r="AA885" s="76"/>
      <c r="AB885" s="76"/>
      <c r="AC885" s="76"/>
      <c r="AD885" s="76"/>
      <c r="AE885" s="76"/>
      <c r="AF885" s="76"/>
      <c r="AG885" s="76"/>
      <c r="AH885" s="76"/>
      <c r="AI885" s="76"/>
      <c r="AJ885" s="76"/>
      <c r="AK885" s="76"/>
      <c r="AL885" s="77"/>
      <c r="AM885" s="76"/>
      <c r="AN885" s="76"/>
    </row>
    <row r="886" spans="1:40" ht="15">
      <c r="A886" s="83" t="e">
        <f>IF(#REF!&lt;&gt;#REF!,1,A885+1)</f>
        <v>#REF!</v>
      </c>
      <c r="O886" s="79"/>
      <c r="P886" s="79"/>
      <c r="Q886" s="76"/>
      <c r="R886" s="77"/>
      <c r="S886" s="76"/>
      <c r="T886" s="77"/>
      <c r="U886" s="76"/>
      <c r="V886" s="77"/>
      <c r="W886" s="76"/>
      <c r="X886" s="77"/>
      <c r="Y886" s="76"/>
      <c r="Z886" s="76"/>
      <c r="AA886" s="76"/>
      <c r="AB886" s="76"/>
      <c r="AC886" s="76"/>
      <c r="AD886" s="76"/>
      <c r="AE886" s="76"/>
      <c r="AF886" s="76"/>
      <c r="AG886" s="76"/>
      <c r="AH886" s="76"/>
      <c r="AI886" s="76"/>
      <c r="AJ886" s="76"/>
      <c r="AK886" s="76"/>
      <c r="AL886" s="77"/>
      <c r="AM886" s="76"/>
      <c r="AN886" s="76"/>
    </row>
    <row r="887" spans="1:40" ht="15">
      <c r="A887" s="83" t="e">
        <f>IF(#REF!&lt;&gt;#REF!,1,A886+1)</f>
        <v>#REF!</v>
      </c>
      <c r="O887" s="79"/>
      <c r="P887" s="79"/>
      <c r="Q887" s="76"/>
      <c r="R887" s="77"/>
      <c r="S887" s="76"/>
      <c r="T887" s="77"/>
      <c r="U887" s="76"/>
      <c r="V887" s="77"/>
      <c r="W887" s="76"/>
      <c r="X887" s="77"/>
      <c r="Y887" s="76"/>
      <c r="Z887" s="76"/>
      <c r="AA887" s="76"/>
      <c r="AB887" s="76"/>
      <c r="AC887" s="76"/>
      <c r="AD887" s="76"/>
      <c r="AE887" s="76"/>
      <c r="AF887" s="76"/>
      <c r="AG887" s="76"/>
      <c r="AH887" s="76"/>
      <c r="AI887" s="76"/>
      <c r="AJ887" s="76"/>
      <c r="AK887" s="76"/>
      <c r="AL887" s="77"/>
      <c r="AM887" s="76"/>
      <c r="AN887" s="76"/>
    </row>
    <row r="888" spans="1:40" ht="15">
      <c r="A888" s="83" t="e">
        <f>IF(#REF!&lt;&gt;#REF!,1,A887+1)</f>
        <v>#REF!</v>
      </c>
      <c r="O888" s="79"/>
      <c r="P888" s="79"/>
      <c r="Q888" s="76"/>
      <c r="R888" s="77"/>
      <c r="S888" s="76"/>
      <c r="T888" s="77"/>
      <c r="U888" s="76"/>
      <c r="V888" s="77"/>
      <c r="W888" s="76"/>
      <c r="X888" s="77"/>
      <c r="Y888" s="76"/>
      <c r="Z888" s="76"/>
      <c r="AA888" s="76"/>
      <c r="AB888" s="76"/>
      <c r="AC888" s="76"/>
      <c r="AD888" s="76"/>
      <c r="AE888" s="76"/>
      <c r="AF888" s="76"/>
      <c r="AG888" s="76"/>
      <c r="AH888" s="76"/>
      <c r="AI888" s="76"/>
      <c r="AJ888" s="76"/>
      <c r="AK888" s="76"/>
      <c r="AL888" s="77"/>
      <c r="AM888" s="76"/>
      <c r="AN888" s="76"/>
    </row>
    <row r="889" spans="1:40" ht="15">
      <c r="A889" s="83" t="e">
        <f>IF(#REF!&lt;&gt;#REF!,1,A888+1)</f>
        <v>#REF!</v>
      </c>
      <c r="O889" s="79"/>
      <c r="P889" s="79"/>
      <c r="Q889" s="76"/>
      <c r="R889" s="77"/>
      <c r="S889" s="76"/>
      <c r="T889" s="77"/>
      <c r="U889" s="76"/>
      <c r="V889" s="77"/>
      <c r="W889" s="76"/>
      <c r="X889" s="77"/>
      <c r="Y889" s="76"/>
      <c r="Z889" s="76"/>
      <c r="AA889" s="76"/>
      <c r="AB889" s="76"/>
      <c r="AC889" s="76"/>
      <c r="AD889" s="76"/>
      <c r="AE889" s="76"/>
      <c r="AF889" s="76"/>
      <c r="AG889" s="76"/>
      <c r="AH889" s="76"/>
      <c r="AI889" s="76"/>
      <c r="AJ889" s="76"/>
      <c r="AK889" s="76"/>
      <c r="AL889" s="77"/>
      <c r="AM889" s="76"/>
      <c r="AN889" s="76"/>
    </row>
    <row r="890" spans="1:40" ht="15">
      <c r="A890" s="83" t="e">
        <f>IF(#REF!&lt;&gt;#REF!,1,A889+1)</f>
        <v>#REF!</v>
      </c>
      <c r="O890" s="79"/>
      <c r="P890" s="79"/>
      <c r="Q890" s="76"/>
      <c r="R890" s="77"/>
      <c r="S890" s="76"/>
      <c r="T890" s="77"/>
      <c r="U890" s="76"/>
      <c r="V890" s="77"/>
      <c r="W890" s="76"/>
      <c r="X890" s="77"/>
      <c r="Y890" s="76"/>
      <c r="Z890" s="76"/>
      <c r="AA890" s="76"/>
      <c r="AB890" s="76"/>
      <c r="AC890" s="76"/>
      <c r="AD890" s="76"/>
      <c r="AE890" s="76"/>
      <c r="AF890" s="76"/>
      <c r="AG890" s="76"/>
      <c r="AH890" s="76"/>
      <c r="AI890" s="76"/>
      <c r="AJ890" s="76"/>
      <c r="AK890" s="76"/>
      <c r="AL890" s="77"/>
      <c r="AM890" s="76"/>
      <c r="AN890" s="76"/>
    </row>
    <row r="891" spans="1:40" ht="15">
      <c r="A891" s="83" t="e">
        <f>IF(#REF!&lt;&gt;#REF!,1,A890+1)</f>
        <v>#REF!</v>
      </c>
      <c r="O891" s="79"/>
      <c r="P891" s="79"/>
      <c r="Q891" s="76"/>
      <c r="R891" s="77"/>
      <c r="S891" s="76"/>
      <c r="T891" s="77"/>
      <c r="U891" s="76"/>
      <c r="V891" s="77"/>
      <c r="W891" s="76"/>
      <c r="X891" s="77"/>
      <c r="Y891" s="76"/>
      <c r="Z891" s="76"/>
      <c r="AA891" s="76"/>
      <c r="AB891" s="76"/>
      <c r="AC891" s="76"/>
      <c r="AD891" s="76"/>
      <c r="AE891" s="76"/>
      <c r="AF891" s="76"/>
      <c r="AG891" s="76"/>
      <c r="AH891" s="76"/>
      <c r="AI891" s="76"/>
      <c r="AJ891" s="76"/>
      <c r="AK891" s="76"/>
      <c r="AL891" s="77"/>
      <c r="AM891" s="76"/>
      <c r="AN891" s="76"/>
    </row>
    <row r="892" spans="1:40" ht="15">
      <c r="A892" s="83" t="e">
        <f>IF(#REF!&lt;&gt;#REF!,1,A891+1)</f>
        <v>#REF!</v>
      </c>
      <c r="O892" s="79"/>
      <c r="P892" s="79"/>
      <c r="Q892" s="76"/>
      <c r="R892" s="77"/>
      <c r="S892" s="76"/>
      <c r="T892" s="77"/>
      <c r="U892" s="76"/>
      <c r="V892" s="77"/>
      <c r="W892" s="76"/>
      <c r="X892" s="77"/>
      <c r="Y892" s="76"/>
      <c r="Z892" s="76"/>
      <c r="AA892" s="76"/>
      <c r="AB892" s="76"/>
      <c r="AC892" s="76"/>
      <c r="AD892" s="76"/>
      <c r="AE892" s="76"/>
      <c r="AF892" s="76"/>
      <c r="AG892" s="76"/>
      <c r="AH892" s="76"/>
      <c r="AI892" s="76"/>
      <c r="AJ892" s="76"/>
      <c r="AK892" s="76"/>
      <c r="AL892" s="77"/>
      <c r="AM892" s="76"/>
      <c r="AN892" s="76"/>
    </row>
    <row r="893" spans="1:40" ht="15">
      <c r="A893" s="83" t="e">
        <f>IF(#REF!&lt;&gt;#REF!,1,A892+1)</f>
        <v>#REF!</v>
      </c>
      <c r="O893" s="79"/>
      <c r="P893" s="79"/>
      <c r="Q893" s="76"/>
      <c r="R893" s="77"/>
      <c r="S893" s="76"/>
      <c r="T893" s="77"/>
      <c r="U893" s="76"/>
      <c r="V893" s="77"/>
      <c r="W893" s="76"/>
      <c r="X893" s="77"/>
      <c r="Y893" s="76"/>
      <c r="Z893" s="76"/>
      <c r="AA893" s="76"/>
      <c r="AB893" s="76"/>
      <c r="AC893" s="76"/>
      <c r="AD893" s="76"/>
      <c r="AE893" s="76"/>
      <c r="AF893" s="76"/>
      <c r="AG893" s="76"/>
      <c r="AH893" s="76"/>
      <c r="AI893" s="76"/>
      <c r="AJ893" s="76"/>
      <c r="AK893" s="76"/>
      <c r="AL893" s="77"/>
      <c r="AM893" s="76"/>
      <c r="AN893" s="76"/>
    </row>
    <row r="894" spans="1:40" ht="15">
      <c r="A894" s="83" t="e">
        <f>IF(#REF!&lt;&gt;#REF!,1,A893+1)</f>
        <v>#REF!</v>
      </c>
      <c r="O894" s="79"/>
      <c r="P894" s="79"/>
      <c r="Q894" s="76"/>
      <c r="R894" s="77"/>
      <c r="S894" s="76"/>
      <c r="T894" s="77"/>
      <c r="U894" s="76"/>
      <c r="V894" s="77"/>
      <c r="W894" s="76"/>
      <c r="X894" s="77"/>
      <c r="Y894" s="76"/>
      <c r="Z894" s="76"/>
      <c r="AA894" s="76"/>
      <c r="AB894" s="76"/>
      <c r="AC894" s="76"/>
      <c r="AD894" s="76"/>
      <c r="AE894" s="76"/>
      <c r="AF894" s="76"/>
      <c r="AG894" s="76"/>
      <c r="AH894" s="76"/>
      <c r="AI894" s="76"/>
      <c r="AJ894" s="76"/>
      <c r="AK894" s="76"/>
      <c r="AL894" s="77"/>
      <c r="AM894" s="76"/>
      <c r="AN894" s="76"/>
    </row>
    <row r="895" spans="1:40" ht="15">
      <c r="A895" s="83" t="e">
        <f>IF(#REF!&lt;&gt;#REF!,1,A894+1)</f>
        <v>#REF!</v>
      </c>
      <c r="O895" s="79"/>
      <c r="P895" s="79"/>
      <c r="Q895" s="76"/>
      <c r="R895" s="77"/>
      <c r="S895" s="76"/>
      <c r="T895" s="77"/>
      <c r="U895" s="76"/>
      <c r="V895" s="77"/>
      <c r="W895" s="76"/>
      <c r="X895" s="77"/>
      <c r="Y895" s="76"/>
      <c r="Z895" s="76"/>
      <c r="AA895" s="76"/>
      <c r="AB895" s="76"/>
      <c r="AC895" s="76"/>
      <c r="AD895" s="76"/>
      <c r="AE895" s="76"/>
      <c r="AF895" s="76"/>
      <c r="AG895" s="76"/>
      <c r="AH895" s="76"/>
      <c r="AI895" s="76"/>
      <c r="AJ895" s="76"/>
      <c r="AK895" s="76"/>
      <c r="AL895" s="77"/>
      <c r="AM895" s="76"/>
      <c r="AN895" s="76"/>
    </row>
    <row r="896" spans="1:40" ht="15">
      <c r="A896" s="83" t="e">
        <f>IF(#REF!&lt;&gt;#REF!,1,A895+1)</f>
        <v>#REF!</v>
      </c>
      <c r="O896" s="79"/>
      <c r="P896" s="79"/>
      <c r="Q896" s="76"/>
      <c r="R896" s="77"/>
      <c r="S896" s="76"/>
      <c r="T896" s="77"/>
      <c r="U896" s="76"/>
      <c r="V896" s="77"/>
      <c r="W896" s="76"/>
      <c r="X896" s="77"/>
      <c r="Y896" s="76"/>
      <c r="Z896" s="76"/>
      <c r="AA896" s="76"/>
      <c r="AB896" s="76"/>
      <c r="AC896" s="76"/>
      <c r="AD896" s="76"/>
      <c r="AE896" s="76"/>
      <c r="AF896" s="76"/>
      <c r="AG896" s="76"/>
      <c r="AH896" s="76"/>
      <c r="AI896" s="76"/>
      <c r="AJ896" s="76"/>
      <c r="AK896" s="76"/>
      <c r="AL896" s="77"/>
      <c r="AM896" s="76"/>
      <c r="AN896" s="76"/>
    </row>
    <row r="897" spans="1:40" ht="15">
      <c r="A897" s="83" t="e">
        <f>IF(#REF!&lt;&gt;#REF!,1,A896+1)</f>
        <v>#REF!</v>
      </c>
      <c r="O897" s="79"/>
      <c r="P897" s="79"/>
      <c r="Q897" s="76"/>
      <c r="R897" s="77"/>
      <c r="S897" s="76"/>
      <c r="T897" s="77"/>
      <c r="U897" s="76"/>
      <c r="V897" s="77"/>
      <c r="W897" s="76"/>
      <c r="X897" s="77"/>
      <c r="Y897" s="76"/>
      <c r="Z897" s="76"/>
      <c r="AA897" s="76"/>
      <c r="AB897" s="76"/>
      <c r="AC897" s="76"/>
      <c r="AD897" s="76"/>
      <c r="AE897" s="76"/>
      <c r="AF897" s="76"/>
      <c r="AG897" s="76"/>
      <c r="AH897" s="76"/>
      <c r="AI897" s="76"/>
      <c r="AJ897" s="76"/>
      <c r="AK897" s="76"/>
      <c r="AL897" s="77"/>
      <c r="AM897" s="76"/>
      <c r="AN897" s="76"/>
    </row>
    <row r="898" spans="1:40" ht="15">
      <c r="A898" s="83" t="e">
        <f>IF(#REF!&lt;&gt;#REF!,1,A897+1)</f>
        <v>#REF!</v>
      </c>
      <c r="O898" s="79"/>
      <c r="P898" s="79"/>
      <c r="Q898" s="76"/>
      <c r="R898" s="77"/>
      <c r="S898" s="76"/>
      <c r="T898" s="77"/>
      <c r="U898" s="76"/>
      <c r="V898" s="77"/>
      <c r="W898" s="76"/>
      <c r="X898" s="77"/>
      <c r="Y898" s="76"/>
      <c r="Z898" s="76"/>
      <c r="AA898" s="76"/>
      <c r="AB898" s="76"/>
      <c r="AC898" s="76"/>
      <c r="AD898" s="76"/>
      <c r="AE898" s="76"/>
      <c r="AF898" s="76"/>
      <c r="AG898" s="76"/>
      <c r="AH898" s="76"/>
      <c r="AI898" s="76"/>
      <c r="AJ898" s="76"/>
      <c r="AK898" s="76"/>
      <c r="AL898" s="77"/>
      <c r="AM898" s="76"/>
      <c r="AN898" s="76"/>
    </row>
    <row r="899" spans="1:40" ht="15">
      <c r="A899" s="83" t="e">
        <f>IF(#REF!&lt;&gt;#REF!,1,A898+1)</f>
        <v>#REF!</v>
      </c>
      <c r="O899" s="79"/>
      <c r="P899" s="79"/>
      <c r="Q899" s="76"/>
      <c r="R899" s="77"/>
      <c r="S899" s="76"/>
      <c r="T899" s="77"/>
      <c r="U899" s="76"/>
      <c r="V899" s="77"/>
      <c r="W899" s="76"/>
      <c r="X899" s="77"/>
      <c r="Y899" s="76"/>
      <c r="Z899" s="76"/>
      <c r="AA899" s="76"/>
      <c r="AB899" s="76"/>
      <c r="AC899" s="76"/>
      <c r="AD899" s="76"/>
      <c r="AE899" s="76"/>
      <c r="AF899" s="76"/>
      <c r="AG899" s="76"/>
      <c r="AH899" s="76"/>
      <c r="AI899" s="76"/>
      <c r="AJ899" s="76"/>
      <c r="AK899" s="76"/>
      <c r="AL899" s="77"/>
      <c r="AM899" s="76"/>
      <c r="AN899" s="76"/>
    </row>
    <row r="900" spans="1:40" ht="15">
      <c r="A900" s="83" t="e">
        <f>IF(#REF!&lt;&gt;#REF!,1,A899+1)</f>
        <v>#REF!</v>
      </c>
      <c r="O900" s="79"/>
      <c r="P900" s="79"/>
      <c r="Q900" s="76"/>
      <c r="R900" s="77"/>
      <c r="S900" s="76"/>
      <c r="T900" s="77"/>
      <c r="U900" s="76"/>
      <c r="V900" s="77"/>
      <c r="W900" s="76"/>
      <c r="X900" s="77"/>
      <c r="Y900" s="76"/>
      <c r="Z900" s="76"/>
      <c r="AA900" s="76"/>
      <c r="AB900" s="76"/>
      <c r="AC900" s="76"/>
      <c r="AD900" s="76"/>
      <c r="AE900" s="76"/>
      <c r="AF900" s="76"/>
      <c r="AG900" s="76"/>
      <c r="AH900" s="76"/>
      <c r="AI900" s="76"/>
      <c r="AJ900" s="76"/>
      <c r="AK900" s="76"/>
      <c r="AL900" s="77"/>
      <c r="AM900" s="76"/>
      <c r="AN900" s="76"/>
    </row>
    <row r="901" spans="1:40" ht="15">
      <c r="A901" s="83" t="e">
        <f>IF(#REF!&lt;&gt;#REF!,1,A900+1)</f>
        <v>#REF!</v>
      </c>
      <c r="O901" s="79"/>
      <c r="P901" s="79"/>
      <c r="Q901" s="76"/>
      <c r="R901" s="77"/>
      <c r="S901" s="76"/>
      <c r="T901" s="77"/>
      <c r="U901" s="76"/>
      <c r="V901" s="77"/>
      <c r="W901" s="76"/>
      <c r="X901" s="77"/>
      <c r="Y901" s="76"/>
      <c r="Z901" s="76"/>
      <c r="AA901" s="76"/>
      <c r="AB901" s="76"/>
      <c r="AC901" s="76"/>
      <c r="AD901" s="76"/>
      <c r="AE901" s="76"/>
      <c r="AF901" s="76"/>
      <c r="AG901" s="76"/>
      <c r="AH901" s="76"/>
      <c r="AI901" s="76"/>
      <c r="AJ901" s="76"/>
      <c r="AK901" s="76"/>
      <c r="AL901" s="77"/>
      <c r="AM901" s="76"/>
      <c r="AN901" s="76"/>
    </row>
    <row r="902" spans="1:40" ht="15">
      <c r="A902" s="83" t="e">
        <f>IF(#REF!&lt;&gt;#REF!,1,A901+1)</f>
        <v>#REF!</v>
      </c>
      <c r="O902" s="79"/>
      <c r="P902" s="79"/>
      <c r="Q902" s="76"/>
      <c r="R902" s="77"/>
      <c r="S902" s="76"/>
      <c r="T902" s="77"/>
      <c r="U902" s="76"/>
      <c r="V902" s="77"/>
      <c r="W902" s="76"/>
      <c r="X902" s="77"/>
      <c r="Y902" s="76"/>
      <c r="Z902" s="76"/>
      <c r="AA902" s="76"/>
      <c r="AB902" s="76"/>
      <c r="AC902" s="76"/>
      <c r="AD902" s="76"/>
      <c r="AE902" s="76"/>
      <c r="AF902" s="76"/>
      <c r="AG902" s="76"/>
      <c r="AH902" s="76"/>
      <c r="AI902" s="76"/>
      <c r="AJ902" s="76"/>
      <c r="AK902" s="76"/>
      <c r="AL902" s="77"/>
      <c r="AM902" s="76"/>
      <c r="AN902" s="76"/>
    </row>
    <row r="903" spans="1:40" ht="15">
      <c r="A903" s="83" t="e">
        <f>IF(#REF!&lt;&gt;#REF!,1,A902+1)</f>
        <v>#REF!</v>
      </c>
      <c r="O903" s="79"/>
      <c r="P903" s="79"/>
      <c r="Q903" s="76"/>
      <c r="R903" s="77"/>
      <c r="S903" s="76"/>
      <c r="T903" s="77"/>
      <c r="U903" s="76"/>
      <c r="V903" s="77"/>
      <c r="W903" s="76"/>
      <c r="X903" s="77"/>
      <c r="Y903" s="76"/>
      <c r="Z903" s="76"/>
      <c r="AA903" s="76"/>
      <c r="AB903" s="76"/>
      <c r="AC903" s="76"/>
      <c r="AD903" s="76"/>
      <c r="AE903" s="76"/>
      <c r="AF903" s="76"/>
      <c r="AG903" s="76"/>
      <c r="AH903" s="76"/>
      <c r="AI903" s="76"/>
      <c r="AJ903" s="76"/>
      <c r="AK903" s="76"/>
      <c r="AL903" s="77"/>
      <c r="AM903" s="76"/>
      <c r="AN903" s="76"/>
    </row>
    <row r="904" spans="1:40" ht="15">
      <c r="A904" s="83" t="e">
        <f>IF(#REF!&lt;&gt;#REF!,1,A903+1)</f>
        <v>#REF!</v>
      </c>
      <c r="O904" s="79"/>
      <c r="P904" s="79"/>
      <c r="Q904" s="76"/>
      <c r="R904" s="77"/>
      <c r="S904" s="76"/>
      <c r="T904" s="77"/>
      <c r="U904" s="76"/>
      <c r="V904" s="77"/>
      <c r="W904" s="76"/>
      <c r="X904" s="77"/>
      <c r="Y904" s="76"/>
      <c r="Z904" s="76"/>
      <c r="AA904" s="76"/>
      <c r="AB904" s="76"/>
      <c r="AC904" s="76"/>
      <c r="AD904" s="76"/>
      <c r="AE904" s="76"/>
      <c r="AF904" s="76"/>
      <c r="AG904" s="76"/>
      <c r="AH904" s="76"/>
      <c r="AI904" s="76"/>
      <c r="AJ904" s="76"/>
      <c r="AK904" s="76"/>
      <c r="AL904" s="77"/>
      <c r="AM904" s="76"/>
      <c r="AN904" s="76"/>
    </row>
    <row r="905" spans="1:40" ht="15">
      <c r="A905" s="83" t="e">
        <f>IF(#REF!&lt;&gt;#REF!,1,A904+1)</f>
        <v>#REF!</v>
      </c>
      <c r="O905" s="79"/>
      <c r="P905" s="79"/>
      <c r="Q905" s="76"/>
      <c r="R905" s="77"/>
      <c r="S905" s="76"/>
      <c r="T905" s="77"/>
      <c r="U905" s="76"/>
      <c r="V905" s="77"/>
      <c r="W905" s="76"/>
      <c r="X905" s="77"/>
      <c r="Y905" s="76"/>
      <c r="Z905" s="76"/>
      <c r="AA905" s="76"/>
      <c r="AB905" s="76"/>
      <c r="AC905" s="76"/>
      <c r="AD905" s="76"/>
      <c r="AE905" s="76"/>
      <c r="AF905" s="76"/>
      <c r="AG905" s="76"/>
      <c r="AH905" s="76"/>
      <c r="AI905" s="76"/>
      <c r="AJ905" s="76"/>
      <c r="AK905" s="76"/>
      <c r="AL905" s="77"/>
      <c r="AM905" s="76"/>
      <c r="AN905" s="76"/>
    </row>
    <row r="906" spans="1:40" ht="15">
      <c r="A906" s="83" t="e">
        <f>IF(#REF!&lt;&gt;#REF!,1,A905+1)</f>
        <v>#REF!</v>
      </c>
      <c r="O906" s="79"/>
      <c r="P906" s="79"/>
      <c r="Q906" s="76"/>
      <c r="R906" s="77"/>
      <c r="S906" s="76"/>
      <c r="T906" s="77"/>
      <c r="U906" s="76"/>
      <c r="V906" s="77"/>
      <c r="W906" s="76"/>
      <c r="X906" s="77"/>
      <c r="Y906" s="76"/>
      <c r="Z906" s="76"/>
      <c r="AA906" s="76"/>
      <c r="AB906" s="76"/>
      <c r="AC906" s="76"/>
      <c r="AD906" s="76"/>
      <c r="AE906" s="76"/>
      <c r="AF906" s="76"/>
      <c r="AG906" s="76"/>
      <c r="AH906" s="76"/>
      <c r="AI906" s="76"/>
      <c r="AJ906" s="76"/>
      <c r="AK906" s="76"/>
      <c r="AL906" s="77"/>
      <c r="AM906" s="76"/>
      <c r="AN906" s="76"/>
    </row>
    <row r="907" spans="1:40" ht="15">
      <c r="A907" s="83" t="e">
        <f>IF(#REF!&lt;&gt;#REF!,1,A906+1)</f>
        <v>#REF!</v>
      </c>
      <c r="O907" s="79"/>
      <c r="P907" s="79"/>
      <c r="Q907" s="76"/>
      <c r="R907" s="77"/>
      <c r="S907" s="76"/>
      <c r="T907" s="77"/>
      <c r="U907" s="76"/>
      <c r="V907" s="77"/>
      <c r="W907" s="76"/>
      <c r="X907" s="77"/>
      <c r="Y907" s="76"/>
      <c r="Z907" s="76"/>
      <c r="AA907" s="76"/>
      <c r="AB907" s="76"/>
      <c r="AC907" s="76"/>
      <c r="AD907" s="76"/>
      <c r="AE907" s="76"/>
      <c r="AF907" s="76"/>
      <c r="AG907" s="76"/>
      <c r="AH907" s="76"/>
      <c r="AI907" s="76"/>
      <c r="AJ907" s="76"/>
      <c r="AK907" s="76"/>
      <c r="AL907" s="77"/>
      <c r="AM907" s="76"/>
      <c r="AN907" s="76"/>
    </row>
    <row r="908" spans="1:40" ht="15">
      <c r="A908" s="83" t="e">
        <f>IF(#REF!&lt;&gt;#REF!,1,A907+1)</f>
        <v>#REF!</v>
      </c>
      <c r="O908" s="79"/>
      <c r="P908" s="79"/>
      <c r="Q908" s="76"/>
      <c r="R908" s="77"/>
      <c r="S908" s="76"/>
      <c r="T908" s="77"/>
      <c r="U908" s="76"/>
      <c r="V908" s="77"/>
      <c r="W908" s="76"/>
      <c r="X908" s="77"/>
      <c r="Y908" s="76"/>
      <c r="Z908" s="76"/>
      <c r="AA908" s="76"/>
      <c r="AB908" s="76"/>
      <c r="AC908" s="76"/>
      <c r="AD908" s="76"/>
      <c r="AE908" s="76"/>
      <c r="AF908" s="76"/>
      <c r="AG908" s="76"/>
      <c r="AH908" s="76"/>
      <c r="AI908" s="76"/>
      <c r="AJ908" s="76"/>
      <c r="AK908" s="76"/>
      <c r="AL908" s="77"/>
      <c r="AM908" s="76"/>
      <c r="AN908" s="76"/>
    </row>
    <row r="909" spans="1:40" ht="15">
      <c r="A909" s="83" t="e">
        <f>IF(#REF!&lt;&gt;#REF!,1,A908+1)</f>
        <v>#REF!</v>
      </c>
      <c r="O909" s="79"/>
      <c r="P909" s="79"/>
      <c r="Q909" s="76"/>
      <c r="R909" s="77"/>
      <c r="S909" s="76"/>
      <c r="T909" s="77"/>
      <c r="U909" s="76"/>
      <c r="V909" s="77"/>
      <c r="W909" s="76"/>
      <c r="X909" s="77"/>
      <c r="Y909" s="76"/>
      <c r="Z909" s="76"/>
      <c r="AA909" s="76"/>
      <c r="AB909" s="76"/>
      <c r="AC909" s="76"/>
      <c r="AD909" s="76"/>
      <c r="AE909" s="76"/>
      <c r="AF909" s="76"/>
      <c r="AG909" s="76"/>
      <c r="AH909" s="76"/>
      <c r="AI909" s="76"/>
      <c r="AJ909" s="76"/>
      <c r="AK909" s="76"/>
      <c r="AL909" s="77"/>
      <c r="AM909" s="76"/>
      <c r="AN909" s="76"/>
    </row>
    <row r="910" spans="1:40" ht="15">
      <c r="A910" s="83" t="e">
        <f>IF(#REF!&lt;&gt;#REF!,1,A909+1)</f>
        <v>#REF!</v>
      </c>
      <c r="O910" s="79"/>
      <c r="P910" s="79"/>
      <c r="Q910" s="76"/>
      <c r="R910" s="77"/>
      <c r="S910" s="76"/>
      <c r="T910" s="77"/>
      <c r="U910" s="76"/>
      <c r="V910" s="77"/>
      <c r="W910" s="76"/>
      <c r="X910" s="77"/>
      <c r="Y910" s="76"/>
      <c r="Z910" s="76"/>
      <c r="AA910" s="76"/>
      <c r="AB910" s="76"/>
      <c r="AC910" s="76"/>
      <c r="AD910" s="76"/>
      <c r="AE910" s="76"/>
      <c r="AF910" s="76"/>
      <c r="AG910" s="76"/>
      <c r="AH910" s="76"/>
      <c r="AI910" s="76"/>
      <c r="AJ910" s="76"/>
      <c r="AK910" s="76"/>
      <c r="AL910" s="77"/>
      <c r="AM910" s="76"/>
      <c r="AN910" s="76"/>
    </row>
    <row r="911" spans="1:40" ht="15">
      <c r="A911" s="83" t="e">
        <f>IF(#REF!&lt;&gt;#REF!,1,A910+1)</f>
        <v>#REF!</v>
      </c>
      <c r="O911" s="79"/>
      <c r="P911" s="79"/>
      <c r="Q911" s="76"/>
      <c r="R911" s="77"/>
      <c r="S911" s="76"/>
      <c r="T911" s="77"/>
      <c r="U911" s="76"/>
      <c r="V911" s="77"/>
      <c r="W911" s="76"/>
      <c r="X911" s="77"/>
      <c r="Y911" s="76"/>
      <c r="Z911" s="76"/>
      <c r="AA911" s="76"/>
      <c r="AB911" s="76"/>
      <c r="AC911" s="76"/>
      <c r="AD911" s="76"/>
      <c r="AE911" s="76"/>
      <c r="AF911" s="76"/>
      <c r="AG911" s="76"/>
      <c r="AH911" s="76"/>
      <c r="AI911" s="76"/>
      <c r="AJ911" s="76"/>
      <c r="AK911" s="76"/>
      <c r="AL911" s="77"/>
      <c r="AM911" s="76"/>
      <c r="AN911" s="76"/>
    </row>
    <row r="912" spans="1:40" ht="15">
      <c r="A912" s="83" t="e">
        <f>IF(#REF!&lt;&gt;#REF!,1,A911+1)</f>
        <v>#REF!</v>
      </c>
      <c r="O912" s="79"/>
      <c r="P912" s="79"/>
      <c r="Q912" s="76"/>
      <c r="R912" s="77"/>
      <c r="S912" s="76"/>
      <c r="T912" s="77"/>
      <c r="U912" s="76"/>
      <c r="V912" s="77"/>
      <c r="W912" s="76"/>
      <c r="X912" s="77"/>
      <c r="Y912" s="76"/>
      <c r="Z912" s="76"/>
      <c r="AA912" s="76"/>
      <c r="AB912" s="76"/>
      <c r="AC912" s="76"/>
      <c r="AD912" s="76"/>
      <c r="AE912" s="76"/>
      <c r="AF912" s="76"/>
      <c r="AG912" s="76"/>
      <c r="AH912" s="76"/>
      <c r="AI912" s="76"/>
      <c r="AJ912" s="76"/>
      <c r="AK912" s="76"/>
      <c r="AL912" s="77"/>
      <c r="AM912" s="76"/>
      <c r="AN912" s="76"/>
    </row>
    <row r="913" spans="1:40" ht="15">
      <c r="A913" s="83" t="e">
        <f>IF(#REF!&lt;&gt;#REF!,1,A912+1)</f>
        <v>#REF!</v>
      </c>
      <c r="O913" s="79"/>
      <c r="P913" s="79"/>
      <c r="Q913" s="76"/>
      <c r="R913" s="77"/>
      <c r="S913" s="76"/>
      <c r="T913" s="77"/>
      <c r="U913" s="76"/>
      <c r="V913" s="77"/>
      <c r="W913" s="76"/>
      <c r="X913" s="77"/>
      <c r="Y913" s="76"/>
      <c r="Z913" s="76"/>
      <c r="AA913" s="76"/>
      <c r="AB913" s="76"/>
      <c r="AC913" s="76"/>
      <c r="AD913" s="76"/>
      <c r="AE913" s="76"/>
      <c r="AF913" s="76"/>
      <c r="AG913" s="76"/>
      <c r="AH913" s="76"/>
      <c r="AI913" s="76"/>
      <c r="AJ913" s="76"/>
      <c r="AK913" s="76"/>
      <c r="AL913" s="77"/>
      <c r="AM913" s="76"/>
      <c r="AN913" s="76"/>
    </row>
    <row r="914" spans="1:40" ht="15">
      <c r="A914" s="83" t="e">
        <f>IF(#REF!&lt;&gt;#REF!,1,A913+1)</f>
        <v>#REF!</v>
      </c>
      <c r="O914" s="79"/>
      <c r="P914" s="79"/>
      <c r="Q914" s="76"/>
      <c r="R914" s="77"/>
      <c r="S914" s="76"/>
      <c r="T914" s="77"/>
      <c r="U914" s="76"/>
      <c r="V914" s="77"/>
      <c r="W914" s="76"/>
      <c r="X914" s="77"/>
      <c r="Y914" s="76"/>
      <c r="Z914" s="76"/>
      <c r="AA914" s="76"/>
      <c r="AB914" s="76"/>
      <c r="AC914" s="76"/>
      <c r="AD914" s="76"/>
      <c r="AE914" s="76"/>
      <c r="AF914" s="76"/>
      <c r="AG914" s="76"/>
      <c r="AH914" s="76"/>
      <c r="AI914" s="76"/>
      <c r="AJ914" s="76"/>
      <c r="AK914" s="76"/>
      <c r="AL914" s="77"/>
      <c r="AM914" s="76"/>
      <c r="AN914" s="76"/>
    </row>
    <row r="915" spans="1:40" ht="15">
      <c r="A915" s="83" t="e">
        <f>IF(#REF!&lt;&gt;#REF!,1,A914+1)</f>
        <v>#REF!</v>
      </c>
      <c r="O915" s="79"/>
      <c r="P915" s="79"/>
      <c r="Q915" s="76"/>
      <c r="R915" s="77"/>
      <c r="S915" s="76"/>
      <c r="T915" s="77"/>
      <c r="U915" s="76"/>
      <c r="V915" s="77"/>
      <c r="W915" s="76"/>
      <c r="X915" s="77"/>
      <c r="Y915" s="76"/>
      <c r="Z915" s="76"/>
      <c r="AA915" s="76"/>
      <c r="AB915" s="76"/>
      <c r="AC915" s="76"/>
      <c r="AD915" s="76"/>
      <c r="AE915" s="76"/>
      <c r="AF915" s="76"/>
      <c r="AG915" s="76"/>
      <c r="AH915" s="76"/>
      <c r="AI915" s="76"/>
      <c r="AJ915" s="76"/>
      <c r="AK915" s="76"/>
      <c r="AL915" s="77"/>
      <c r="AM915" s="76"/>
      <c r="AN915" s="76"/>
    </row>
    <row r="916" spans="1:40" ht="15">
      <c r="A916" s="83" t="e">
        <f>IF(#REF!&lt;&gt;#REF!,1,A915+1)</f>
        <v>#REF!</v>
      </c>
      <c r="O916" s="79"/>
      <c r="P916" s="79"/>
      <c r="Q916" s="76"/>
      <c r="R916" s="77"/>
      <c r="S916" s="76"/>
      <c r="T916" s="77"/>
      <c r="U916" s="76"/>
      <c r="V916" s="77"/>
      <c r="W916" s="76"/>
      <c r="X916" s="77"/>
      <c r="Y916" s="76"/>
      <c r="Z916" s="76"/>
      <c r="AA916" s="76"/>
      <c r="AB916" s="76"/>
      <c r="AC916" s="76"/>
      <c r="AD916" s="76"/>
      <c r="AE916" s="76"/>
      <c r="AF916" s="76"/>
      <c r="AG916" s="76"/>
      <c r="AH916" s="76"/>
      <c r="AI916" s="76"/>
      <c r="AJ916" s="76"/>
      <c r="AK916" s="76"/>
      <c r="AL916" s="77"/>
      <c r="AM916" s="76"/>
      <c r="AN916" s="76"/>
    </row>
    <row r="917" spans="1:40" ht="15">
      <c r="A917" s="83" t="e">
        <f>IF(#REF!&lt;&gt;#REF!,1,A916+1)</f>
        <v>#REF!</v>
      </c>
      <c r="O917" s="79"/>
      <c r="P917" s="79"/>
      <c r="Q917" s="76"/>
      <c r="R917" s="77"/>
      <c r="S917" s="76"/>
      <c r="T917" s="77"/>
      <c r="U917" s="76"/>
      <c r="V917" s="77"/>
      <c r="W917" s="76"/>
      <c r="X917" s="77"/>
      <c r="Y917" s="76"/>
      <c r="Z917" s="76"/>
      <c r="AA917" s="76"/>
      <c r="AB917" s="76"/>
      <c r="AC917" s="76"/>
      <c r="AD917" s="76"/>
      <c r="AE917" s="76"/>
      <c r="AF917" s="76"/>
      <c r="AG917" s="76"/>
      <c r="AH917" s="76"/>
      <c r="AI917" s="76"/>
      <c r="AJ917" s="76"/>
      <c r="AK917" s="76"/>
      <c r="AL917" s="77"/>
      <c r="AM917" s="76"/>
      <c r="AN917" s="76"/>
    </row>
    <row r="918" spans="1:40" ht="15">
      <c r="A918" s="83" t="e">
        <f>IF(#REF!&lt;&gt;#REF!,1,A917+1)</f>
        <v>#REF!</v>
      </c>
      <c r="O918" s="79"/>
      <c r="P918" s="79"/>
      <c r="Q918" s="76"/>
      <c r="R918" s="77"/>
      <c r="S918" s="76"/>
      <c r="T918" s="77"/>
      <c r="U918" s="76"/>
      <c r="V918" s="77"/>
      <c r="W918" s="76"/>
      <c r="X918" s="77"/>
      <c r="Y918" s="76"/>
      <c r="Z918" s="76"/>
      <c r="AA918" s="76"/>
      <c r="AB918" s="76"/>
      <c r="AC918" s="76"/>
      <c r="AD918" s="76"/>
      <c r="AE918" s="76"/>
      <c r="AF918" s="76"/>
      <c r="AG918" s="76"/>
      <c r="AH918" s="76"/>
      <c r="AI918" s="76"/>
      <c r="AJ918" s="76"/>
      <c r="AK918" s="76"/>
      <c r="AL918" s="77"/>
      <c r="AM918" s="76"/>
      <c r="AN918" s="76"/>
    </row>
    <row r="919" spans="1:40" ht="15">
      <c r="A919" s="83" t="e">
        <f>IF(#REF!&lt;&gt;#REF!,1,A918+1)</f>
        <v>#REF!</v>
      </c>
      <c r="O919" s="79"/>
      <c r="P919" s="79"/>
      <c r="Q919" s="76"/>
      <c r="R919" s="77"/>
      <c r="S919" s="76"/>
      <c r="T919" s="77"/>
      <c r="U919" s="76"/>
      <c r="V919" s="77"/>
      <c r="W919" s="76"/>
      <c r="X919" s="77"/>
      <c r="Y919" s="76"/>
      <c r="Z919" s="76"/>
      <c r="AA919" s="76"/>
      <c r="AB919" s="76"/>
      <c r="AC919" s="76"/>
      <c r="AD919" s="76"/>
      <c r="AE919" s="76"/>
      <c r="AF919" s="76"/>
      <c r="AG919" s="76"/>
      <c r="AH919" s="76"/>
      <c r="AI919" s="76"/>
      <c r="AJ919" s="76"/>
      <c r="AK919" s="76"/>
      <c r="AL919" s="77"/>
      <c r="AM919" s="76"/>
      <c r="AN919" s="76"/>
    </row>
    <row r="920" spans="1:40" ht="15">
      <c r="A920" s="83" t="e">
        <f>IF(#REF!&lt;&gt;#REF!,1,A919+1)</f>
        <v>#REF!</v>
      </c>
      <c r="O920" s="79"/>
      <c r="P920" s="79"/>
      <c r="Q920" s="76"/>
      <c r="R920" s="77"/>
      <c r="S920" s="76"/>
      <c r="T920" s="77"/>
      <c r="U920" s="76"/>
      <c r="V920" s="77"/>
      <c r="W920" s="76"/>
      <c r="X920" s="77"/>
      <c r="Y920" s="76"/>
      <c r="Z920" s="76"/>
      <c r="AA920" s="76"/>
      <c r="AB920" s="76"/>
      <c r="AC920" s="76"/>
      <c r="AD920" s="76"/>
      <c r="AE920" s="76"/>
      <c r="AF920" s="76"/>
      <c r="AG920" s="76"/>
      <c r="AH920" s="76"/>
      <c r="AI920" s="76"/>
      <c r="AJ920" s="76"/>
      <c r="AK920" s="76"/>
      <c r="AL920" s="77"/>
      <c r="AM920" s="76"/>
      <c r="AN920" s="76"/>
    </row>
    <row r="921" spans="1:40" ht="15">
      <c r="A921" s="83" t="e">
        <f>IF(#REF!&lt;&gt;#REF!,1,A920+1)</f>
        <v>#REF!</v>
      </c>
      <c r="O921" s="79"/>
      <c r="P921" s="79"/>
      <c r="Q921" s="76"/>
      <c r="R921" s="77"/>
      <c r="S921" s="76"/>
      <c r="T921" s="77"/>
      <c r="U921" s="76"/>
      <c r="V921" s="77"/>
      <c r="W921" s="76"/>
      <c r="X921" s="77"/>
      <c r="Y921" s="76"/>
      <c r="Z921" s="76"/>
      <c r="AA921" s="76"/>
      <c r="AB921" s="76"/>
      <c r="AC921" s="76"/>
      <c r="AD921" s="76"/>
      <c r="AE921" s="76"/>
      <c r="AF921" s="76"/>
      <c r="AG921" s="76"/>
      <c r="AH921" s="76"/>
      <c r="AI921" s="76"/>
      <c r="AJ921" s="76"/>
      <c r="AK921" s="76"/>
      <c r="AL921" s="77"/>
      <c r="AM921" s="76"/>
      <c r="AN921" s="76"/>
    </row>
    <row r="922" spans="1:40" ht="15">
      <c r="A922" s="83" t="e">
        <f>IF(#REF!&lt;&gt;#REF!,1,A921+1)</f>
        <v>#REF!</v>
      </c>
      <c r="O922" s="79"/>
      <c r="P922" s="79"/>
      <c r="Q922" s="76"/>
      <c r="R922" s="77"/>
      <c r="S922" s="76"/>
      <c r="T922" s="77"/>
      <c r="U922" s="76"/>
      <c r="V922" s="77"/>
      <c r="W922" s="76"/>
      <c r="X922" s="77"/>
      <c r="Y922" s="76"/>
      <c r="Z922" s="76"/>
      <c r="AA922" s="76"/>
      <c r="AB922" s="76"/>
      <c r="AC922" s="76"/>
      <c r="AD922" s="76"/>
      <c r="AE922" s="76"/>
      <c r="AF922" s="76"/>
      <c r="AG922" s="76"/>
      <c r="AH922" s="76"/>
      <c r="AI922" s="76"/>
      <c r="AJ922" s="76"/>
      <c r="AK922" s="76"/>
      <c r="AL922" s="77"/>
      <c r="AM922" s="76"/>
      <c r="AN922" s="76"/>
    </row>
    <row r="923" spans="1:40" ht="15">
      <c r="A923" s="83" t="e">
        <f>IF(#REF!&lt;&gt;#REF!,1,A922+1)</f>
        <v>#REF!</v>
      </c>
      <c r="O923" s="79"/>
      <c r="P923" s="79"/>
      <c r="Q923" s="76"/>
      <c r="R923" s="77"/>
      <c r="S923" s="76"/>
      <c r="T923" s="77"/>
      <c r="U923" s="76"/>
      <c r="V923" s="77"/>
      <c r="W923" s="76"/>
      <c r="X923" s="77"/>
      <c r="Y923" s="76"/>
      <c r="Z923" s="76"/>
      <c r="AA923" s="76"/>
      <c r="AB923" s="76"/>
      <c r="AC923" s="76"/>
      <c r="AD923" s="76"/>
      <c r="AE923" s="76"/>
      <c r="AF923" s="76"/>
      <c r="AG923" s="76"/>
      <c r="AH923" s="76"/>
      <c r="AI923" s="76"/>
      <c r="AJ923" s="76"/>
      <c r="AK923" s="76"/>
      <c r="AL923" s="77"/>
      <c r="AM923" s="76"/>
      <c r="AN923" s="76"/>
    </row>
    <row r="924" spans="1:40" ht="15">
      <c r="A924" s="83" t="e">
        <f>IF(#REF!&lt;&gt;#REF!,1,A923+1)</f>
        <v>#REF!</v>
      </c>
      <c r="O924" s="79"/>
      <c r="P924" s="79"/>
      <c r="Q924" s="76"/>
      <c r="R924" s="77"/>
      <c r="S924" s="76"/>
      <c r="T924" s="77"/>
      <c r="U924" s="76"/>
      <c r="V924" s="77"/>
      <c r="W924" s="76"/>
      <c r="X924" s="77"/>
      <c r="Y924" s="76"/>
      <c r="Z924" s="76"/>
      <c r="AA924" s="76"/>
      <c r="AB924" s="76"/>
      <c r="AC924" s="76"/>
      <c r="AD924" s="76"/>
      <c r="AE924" s="76"/>
      <c r="AF924" s="76"/>
      <c r="AG924" s="76"/>
      <c r="AH924" s="76"/>
      <c r="AI924" s="76"/>
      <c r="AJ924" s="76"/>
      <c r="AK924" s="76"/>
      <c r="AL924" s="77"/>
      <c r="AM924" s="76"/>
      <c r="AN924" s="76"/>
    </row>
    <row r="925" spans="1:40" ht="15">
      <c r="A925" s="83" t="e">
        <f>IF(#REF!&lt;&gt;#REF!,1,A924+1)</f>
        <v>#REF!</v>
      </c>
      <c r="O925" s="79"/>
      <c r="P925" s="79"/>
      <c r="Q925" s="76"/>
      <c r="R925" s="77"/>
      <c r="S925" s="76"/>
      <c r="T925" s="77"/>
      <c r="U925" s="76"/>
      <c r="V925" s="77"/>
      <c r="W925" s="76"/>
      <c r="X925" s="77"/>
      <c r="Y925" s="76"/>
      <c r="Z925" s="76"/>
      <c r="AA925" s="76"/>
      <c r="AB925" s="76"/>
      <c r="AC925" s="76"/>
      <c r="AD925" s="76"/>
      <c r="AE925" s="76"/>
      <c r="AF925" s="76"/>
      <c r="AG925" s="76"/>
      <c r="AH925" s="76"/>
      <c r="AI925" s="76"/>
      <c r="AJ925" s="76"/>
      <c r="AK925" s="76"/>
      <c r="AL925" s="77"/>
      <c r="AM925" s="76"/>
      <c r="AN925" s="76"/>
    </row>
    <row r="926" spans="1:40" ht="15">
      <c r="A926" s="83" t="e">
        <f>IF(#REF!&lt;&gt;#REF!,1,A925+1)</f>
        <v>#REF!</v>
      </c>
      <c r="O926" s="79"/>
      <c r="P926" s="79"/>
      <c r="Q926" s="76"/>
      <c r="R926" s="77"/>
      <c r="S926" s="76"/>
      <c r="T926" s="77"/>
      <c r="U926" s="76"/>
      <c r="V926" s="77"/>
      <c r="W926" s="76"/>
      <c r="X926" s="77"/>
      <c r="Y926" s="76"/>
      <c r="Z926" s="76"/>
      <c r="AA926" s="76"/>
      <c r="AB926" s="76"/>
      <c r="AC926" s="76"/>
      <c r="AD926" s="76"/>
      <c r="AE926" s="76"/>
      <c r="AF926" s="76"/>
      <c r="AG926" s="76"/>
      <c r="AH926" s="76"/>
      <c r="AI926" s="76"/>
      <c r="AJ926" s="76"/>
      <c r="AK926" s="76"/>
      <c r="AL926" s="77"/>
      <c r="AM926" s="76"/>
      <c r="AN926" s="76"/>
    </row>
    <row r="927" spans="1:40" ht="15">
      <c r="A927" s="83" t="e">
        <f>IF(#REF!&lt;&gt;#REF!,1,A926+1)</f>
        <v>#REF!</v>
      </c>
      <c r="O927" s="79"/>
      <c r="P927" s="79"/>
      <c r="Q927" s="76"/>
      <c r="R927" s="77"/>
      <c r="S927" s="76"/>
      <c r="T927" s="77"/>
      <c r="U927" s="76"/>
      <c r="V927" s="77"/>
      <c r="W927" s="76"/>
      <c r="X927" s="77"/>
      <c r="Y927" s="76"/>
      <c r="Z927" s="76"/>
      <c r="AA927" s="76"/>
      <c r="AB927" s="76"/>
      <c r="AC927" s="76"/>
      <c r="AD927" s="76"/>
      <c r="AE927" s="76"/>
      <c r="AF927" s="76"/>
      <c r="AG927" s="76"/>
      <c r="AH927" s="76"/>
      <c r="AI927" s="76"/>
      <c r="AJ927" s="76"/>
      <c r="AK927" s="76"/>
      <c r="AL927" s="77"/>
      <c r="AM927" s="76"/>
      <c r="AN927" s="76"/>
    </row>
    <row r="928" spans="1:40" ht="15">
      <c r="A928" s="83" t="e">
        <f>IF(#REF!&lt;&gt;#REF!,1,A927+1)</f>
        <v>#REF!</v>
      </c>
      <c r="O928" s="79"/>
      <c r="P928" s="79"/>
      <c r="Q928" s="76"/>
      <c r="R928" s="77"/>
      <c r="S928" s="76"/>
      <c r="T928" s="77"/>
      <c r="U928" s="76"/>
      <c r="V928" s="77"/>
      <c r="W928" s="76"/>
      <c r="X928" s="77"/>
      <c r="Y928" s="76"/>
      <c r="Z928" s="76"/>
      <c r="AA928" s="76"/>
      <c r="AB928" s="76"/>
      <c r="AC928" s="76"/>
      <c r="AD928" s="76"/>
      <c r="AE928" s="76"/>
      <c r="AF928" s="76"/>
      <c r="AG928" s="76"/>
      <c r="AH928" s="76"/>
      <c r="AI928" s="76"/>
      <c r="AJ928" s="76"/>
      <c r="AK928" s="76"/>
      <c r="AL928" s="77"/>
      <c r="AM928" s="76"/>
      <c r="AN928" s="76"/>
    </row>
    <row r="929" spans="1:40" ht="15">
      <c r="A929" s="83" t="e">
        <f>IF(#REF!&lt;&gt;#REF!,1,A928+1)</f>
        <v>#REF!</v>
      </c>
      <c r="O929" s="79"/>
      <c r="P929" s="79"/>
      <c r="Q929" s="76"/>
      <c r="R929" s="77"/>
      <c r="S929" s="76"/>
      <c r="T929" s="77"/>
      <c r="U929" s="76"/>
      <c r="V929" s="77"/>
      <c r="W929" s="76"/>
      <c r="X929" s="77"/>
      <c r="Y929" s="76"/>
      <c r="Z929" s="76"/>
      <c r="AA929" s="76"/>
      <c r="AB929" s="76"/>
      <c r="AC929" s="76"/>
      <c r="AD929" s="76"/>
      <c r="AE929" s="76"/>
      <c r="AF929" s="76"/>
      <c r="AG929" s="76"/>
      <c r="AH929" s="76"/>
      <c r="AI929" s="76"/>
      <c r="AJ929" s="76"/>
      <c r="AK929" s="76"/>
      <c r="AL929" s="77"/>
      <c r="AM929" s="76"/>
      <c r="AN929" s="76"/>
    </row>
    <row r="930" spans="1:40" ht="15">
      <c r="A930" s="83" t="e">
        <f>IF(#REF!&lt;&gt;#REF!,1,A929+1)</f>
        <v>#REF!</v>
      </c>
      <c r="O930" s="79"/>
      <c r="P930" s="79"/>
      <c r="Q930" s="76"/>
      <c r="R930" s="77"/>
      <c r="S930" s="76"/>
      <c r="T930" s="77"/>
      <c r="U930" s="76"/>
      <c r="V930" s="77"/>
      <c r="W930" s="76"/>
      <c r="X930" s="77"/>
      <c r="Y930" s="76"/>
      <c r="Z930" s="76"/>
      <c r="AA930" s="76"/>
      <c r="AB930" s="76"/>
      <c r="AC930" s="76"/>
      <c r="AD930" s="76"/>
      <c r="AE930" s="76"/>
      <c r="AF930" s="76"/>
      <c r="AG930" s="76"/>
      <c r="AH930" s="76"/>
      <c r="AI930" s="76"/>
      <c r="AJ930" s="76"/>
      <c r="AK930" s="76"/>
      <c r="AL930" s="77"/>
      <c r="AM930" s="76"/>
      <c r="AN930" s="76"/>
    </row>
    <row r="931" spans="1:40" ht="15">
      <c r="A931" s="83" t="e">
        <f>IF(#REF!&lt;&gt;#REF!,1,A930+1)</f>
        <v>#REF!</v>
      </c>
      <c r="O931" s="79"/>
      <c r="P931" s="79"/>
      <c r="Q931" s="76"/>
      <c r="R931" s="77"/>
      <c r="S931" s="76"/>
      <c r="T931" s="77"/>
      <c r="U931" s="76"/>
      <c r="V931" s="77"/>
      <c r="W931" s="76"/>
      <c r="X931" s="77"/>
      <c r="Y931" s="76"/>
      <c r="Z931" s="76"/>
      <c r="AA931" s="76"/>
      <c r="AB931" s="76"/>
      <c r="AC931" s="76"/>
      <c r="AD931" s="76"/>
      <c r="AE931" s="76"/>
      <c r="AF931" s="76"/>
      <c r="AG931" s="76"/>
      <c r="AH931" s="76"/>
      <c r="AI931" s="76"/>
      <c r="AJ931" s="76"/>
      <c r="AK931" s="76"/>
      <c r="AL931" s="77"/>
      <c r="AM931" s="76"/>
      <c r="AN931" s="76"/>
    </row>
    <row r="932" spans="1:40" ht="15">
      <c r="A932" s="83" t="e">
        <f>IF(#REF!&lt;&gt;#REF!,1,A931+1)</f>
        <v>#REF!</v>
      </c>
      <c r="O932" s="79"/>
      <c r="P932" s="79"/>
      <c r="Q932" s="76"/>
      <c r="R932" s="77"/>
      <c r="S932" s="76"/>
      <c r="T932" s="77"/>
      <c r="U932" s="76"/>
      <c r="V932" s="77"/>
      <c r="W932" s="76"/>
      <c r="X932" s="77"/>
      <c r="Y932" s="76"/>
      <c r="Z932" s="76"/>
      <c r="AA932" s="76"/>
      <c r="AB932" s="76"/>
      <c r="AC932" s="76"/>
      <c r="AD932" s="76"/>
      <c r="AE932" s="76"/>
      <c r="AF932" s="76"/>
      <c r="AG932" s="76"/>
      <c r="AH932" s="76"/>
      <c r="AI932" s="76"/>
      <c r="AJ932" s="76"/>
      <c r="AK932" s="76"/>
      <c r="AL932" s="77"/>
      <c r="AM932" s="76"/>
      <c r="AN932" s="76"/>
    </row>
    <row r="933" spans="1:40" ht="15">
      <c r="A933" s="83" t="e">
        <f>IF(#REF!&lt;&gt;#REF!,1,A932+1)</f>
        <v>#REF!</v>
      </c>
      <c r="O933" s="79"/>
      <c r="P933" s="79"/>
      <c r="Q933" s="76"/>
      <c r="R933" s="77"/>
      <c r="S933" s="76"/>
      <c r="T933" s="77"/>
      <c r="U933" s="76"/>
      <c r="V933" s="77"/>
      <c r="W933" s="76"/>
      <c r="X933" s="77"/>
      <c r="Y933" s="76"/>
      <c r="Z933" s="76"/>
      <c r="AA933" s="76"/>
      <c r="AB933" s="76"/>
      <c r="AC933" s="76"/>
      <c r="AD933" s="76"/>
      <c r="AE933" s="76"/>
      <c r="AF933" s="76"/>
      <c r="AG933" s="76"/>
      <c r="AH933" s="76"/>
      <c r="AI933" s="76"/>
      <c r="AJ933" s="76"/>
      <c r="AK933" s="76"/>
      <c r="AL933" s="77"/>
      <c r="AM933" s="76"/>
      <c r="AN933" s="76"/>
    </row>
    <row r="934" spans="1:40" ht="15">
      <c r="A934" s="83" t="e">
        <f>IF(#REF!&lt;&gt;#REF!,1,A933+1)</f>
        <v>#REF!</v>
      </c>
      <c r="O934" s="79"/>
      <c r="P934" s="79"/>
      <c r="Q934" s="76"/>
      <c r="R934" s="77"/>
      <c r="S934" s="76"/>
      <c r="T934" s="77"/>
      <c r="U934" s="76"/>
      <c r="V934" s="77"/>
      <c r="W934" s="76"/>
      <c r="X934" s="77"/>
      <c r="Y934" s="76"/>
      <c r="Z934" s="76"/>
      <c r="AA934" s="76"/>
      <c r="AB934" s="76"/>
      <c r="AC934" s="76"/>
      <c r="AD934" s="76"/>
      <c r="AE934" s="76"/>
      <c r="AF934" s="76"/>
      <c r="AG934" s="76"/>
      <c r="AH934" s="76"/>
      <c r="AI934" s="76"/>
      <c r="AJ934" s="76"/>
      <c r="AK934" s="76"/>
      <c r="AL934" s="77"/>
      <c r="AM934" s="76"/>
      <c r="AN934" s="76"/>
    </row>
    <row r="935" spans="1:40" ht="15">
      <c r="A935" s="83" t="e">
        <f>IF(#REF!&lt;&gt;#REF!,1,A934+1)</f>
        <v>#REF!</v>
      </c>
      <c r="O935" s="79"/>
      <c r="P935" s="79"/>
      <c r="Q935" s="76"/>
      <c r="R935" s="77"/>
      <c r="S935" s="76"/>
      <c r="T935" s="77"/>
      <c r="U935" s="76"/>
      <c r="V935" s="77"/>
      <c r="W935" s="76"/>
      <c r="X935" s="77"/>
      <c r="Y935" s="76"/>
      <c r="Z935" s="76"/>
      <c r="AA935" s="76"/>
      <c r="AB935" s="76"/>
      <c r="AC935" s="76"/>
      <c r="AD935" s="76"/>
      <c r="AE935" s="76"/>
      <c r="AF935" s="76"/>
      <c r="AG935" s="76"/>
      <c r="AH935" s="76"/>
      <c r="AI935" s="76"/>
      <c r="AJ935" s="76"/>
      <c r="AK935" s="76"/>
      <c r="AL935" s="77"/>
      <c r="AM935" s="76"/>
      <c r="AN935" s="76"/>
    </row>
    <row r="936" spans="1:40" ht="15">
      <c r="A936" s="83" t="e">
        <f>IF(#REF!&lt;&gt;#REF!,1,A935+1)</f>
        <v>#REF!</v>
      </c>
      <c r="O936" s="79"/>
      <c r="P936" s="79"/>
      <c r="Q936" s="76"/>
      <c r="R936" s="77"/>
      <c r="S936" s="76"/>
      <c r="T936" s="77"/>
      <c r="U936" s="76"/>
      <c r="V936" s="77"/>
      <c r="W936" s="76"/>
      <c r="X936" s="77"/>
      <c r="Y936" s="76"/>
      <c r="Z936" s="76"/>
      <c r="AA936" s="76"/>
      <c r="AB936" s="76"/>
      <c r="AC936" s="76"/>
      <c r="AD936" s="76"/>
      <c r="AE936" s="76"/>
      <c r="AF936" s="76"/>
      <c r="AG936" s="76"/>
      <c r="AH936" s="76"/>
      <c r="AI936" s="76"/>
      <c r="AJ936" s="76"/>
      <c r="AK936" s="76"/>
      <c r="AL936" s="77"/>
      <c r="AM936" s="76"/>
      <c r="AN936" s="76"/>
    </row>
    <row r="937" spans="1:40" ht="15">
      <c r="A937" s="83" t="e">
        <f>IF(#REF!&lt;&gt;#REF!,1,A936+1)</f>
        <v>#REF!</v>
      </c>
      <c r="O937" s="79"/>
      <c r="P937" s="79"/>
      <c r="Q937" s="76"/>
      <c r="R937" s="77"/>
      <c r="S937" s="76"/>
      <c r="T937" s="77"/>
      <c r="U937" s="76"/>
      <c r="V937" s="77"/>
      <c r="W937" s="76"/>
      <c r="X937" s="77"/>
      <c r="Y937" s="76"/>
      <c r="Z937" s="76"/>
      <c r="AA937" s="76"/>
      <c r="AB937" s="76"/>
      <c r="AC937" s="76"/>
      <c r="AD937" s="76"/>
      <c r="AE937" s="76"/>
      <c r="AF937" s="76"/>
      <c r="AG937" s="76"/>
      <c r="AH937" s="76"/>
      <c r="AI937" s="76"/>
      <c r="AJ937" s="76"/>
      <c r="AK937" s="76"/>
      <c r="AL937" s="77"/>
      <c r="AM937" s="76"/>
      <c r="AN937" s="76"/>
    </row>
    <row r="938" spans="1:40" ht="15">
      <c r="A938" s="83" t="e">
        <f>IF(#REF!&lt;&gt;#REF!,1,A937+1)</f>
        <v>#REF!</v>
      </c>
      <c r="O938" s="79"/>
      <c r="P938" s="79"/>
      <c r="Q938" s="76"/>
      <c r="R938" s="77"/>
      <c r="S938" s="76"/>
      <c r="T938" s="77"/>
      <c r="U938" s="76"/>
      <c r="V938" s="77"/>
      <c r="W938" s="76"/>
      <c r="X938" s="77"/>
      <c r="Y938" s="76"/>
      <c r="Z938" s="76"/>
      <c r="AA938" s="76"/>
      <c r="AB938" s="76"/>
      <c r="AC938" s="76"/>
      <c r="AD938" s="76"/>
      <c r="AE938" s="76"/>
      <c r="AF938" s="76"/>
      <c r="AG938" s="76"/>
      <c r="AH938" s="76"/>
      <c r="AI938" s="76"/>
      <c r="AJ938" s="76"/>
      <c r="AK938" s="76"/>
      <c r="AL938" s="77"/>
      <c r="AM938" s="76"/>
      <c r="AN938" s="76"/>
    </row>
    <row r="939" spans="1:40" ht="15">
      <c r="A939" s="83" t="e">
        <f>IF(#REF!&lt;&gt;#REF!,1,A938+1)</f>
        <v>#REF!</v>
      </c>
      <c r="O939" s="79"/>
      <c r="P939" s="79"/>
      <c r="Q939" s="76"/>
      <c r="R939" s="77"/>
      <c r="S939" s="76"/>
      <c r="T939" s="77"/>
      <c r="U939" s="76"/>
      <c r="V939" s="77"/>
      <c r="W939" s="76"/>
      <c r="X939" s="77"/>
      <c r="Y939" s="76"/>
      <c r="Z939" s="76"/>
      <c r="AA939" s="76"/>
      <c r="AB939" s="76"/>
      <c r="AC939" s="76"/>
      <c r="AD939" s="76"/>
      <c r="AE939" s="76"/>
      <c r="AF939" s="76"/>
      <c r="AG939" s="76"/>
      <c r="AH939" s="76"/>
      <c r="AI939" s="76"/>
      <c r="AJ939" s="76"/>
      <c r="AK939" s="76"/>
      <c r="AL939" s="77"/>
      <c r="AM939" s="76"/>
      <c r="AN939" s="76"/>
    </row>
    <row r="940" spans="1:40" ht="15">
      <c r="A940" s="83" t="e">
        <f>IF(#REF!&lt;&gt;#REF!,1,A939+1)</f>
        <v>#REF!</v>
      </c>
      <c r="O940" s="79"/>
      <c r="P940" s="79"/>
      <c r="Q940" s="76"/>
      <c r="R940" s="77"/>
      <c r="S940" s="76"/>
      <c r="T940" s="77"/>
      <c r="U940" s="76"/>
      <c r="V940" s="77"/>
      <c r="W940" s="76"/>
      <c r="X940" s="77"/>
      <c r="Y940" s="76"/>
      <c r="Z940" s="76"/>
      <c r="AA940" s="76"/>
      <c r="AB940" s="76"/>
      <c r="AC940" s="76"/>
      <c r="AD940" s="76"/>
      <c r="AE940" s="76"/>
      <c r="AF940" s="76"/>
      <c r="AG940" s="76"/>
      <c r="AH940" s="76"/>
      <c r="AI940" s="76"/>
      <c r="AJ940" s="76"/>
      <c r="AK940" s="76"/>
      <c r="AL940" s="77"/>
      <c r="AM940" s="76"/>
      <c r="AN940" s="76"/>
    </row>
    <row r="941" spans="1:40" ht="15">
      <c r="A941" s="83" t="e">
        <f>IF(#REF!&lt;&gt;#REF!,1,A940+1)</f>
        <v>#REF!</v>
      </c>
      <c r="O941" s="79"/>
      <c r="P941" s="79"/>
      <c r="Q941" s="76"/>
      <c r="R941" s="77"/>
      <c r="S941" s="76"/>
      <c r="T941" s="77"/>
      <c r="U941" s="76"/>
      <c r="V941" s="77"/>
      <c r="W941" s="76"/>
      <c r="X941" s="77"/>
      <c r="Y941" s="76"/>
      <c r="Z941" s="76"/>
      <c r="AA941" s="76"/>
      <c r="AB941" s="76"/>
      <c r="AC941" s="76"/>
      <c r="AD941" s="76"/>
      <c r="AE941" s="76"/>
      <c r="AF941" s="76"/>
      <c r="AG941" s="76"/>
      <c r="AH941" s="76"/>
      <c r="AI941" s="76"/>
      <c r="AJ941" s="76"/>
      <c r="AK941" s="76"/>
      <c r="AL941" s="77"/>
      <c r="AM941" s="76"/>
      <c r="AN941" s="76"/>
    </row>
    <row r="942" spans="1:40" ht="15">
      <c r="A942" s="83" t="e">
        <f>IF(#REF!&lt;&gt;#REF!,1,A941+1)</f>
        <v>#REF!</v>
      </c>
      <c r="O942" s="79"/>
      <c r="P942" s="79"/>
      <c r="Q942" s="76"/>
      <c r="R942" s="77"/>
      <c r="S942" s="76"/>
      <c r="T942" s="77"/>
      <c r="U942" s="76"/>
      <c r="V942" s="77"/>
      <c r="W942" s="76"/>
      <c r="X942" s="77"/>
      <c r="Y942" s="76"/>
      <c r="Z942" s="76"/>
      <c r="AA942" s="76"/>
      <c r="AB942" s="76"/>
      <c r="AC942" s="76"/>
      <c r="AD942" s="76"/>
      <c r="AE942" s="76"/>
      <c r="AF942" s="76"/>
      <c r="AG942" s="76"/>
      <c r="AH942" s="76"/>
      <c r="AI942" s="76"/>
      <c r="AJ942" s="76"/>
      <c r="AK942" s="76"/>
      <c r="AL942" s="77"/>
      <c r="AM942" s="76"/>
      <c r="AN942" s="76"/>
    </row>
    <row r="943" spans="1:40" ht="15">
      <c r="A943" s="83" t="e">
        <f>IF(#REF!&lt;&gt;#REF!,1,A942+1)</f>
        <v>#REF!</v>
      </c>
      <c r="O943" s="79"/>
      <c r="P943" s="79"/>
      <c r="Q943" s="76"/>
      <c r="R943" s="77"/>
      <c r="S943" s="76"/>
      <c r="T943" s="77"/>
      <c r="U943" s="76"/>
      <c r="V943" s="77"/>
      <c r="W943" s="76"/>
      <c r="X943" s="77"/>
      <c r="Y943" s="76"/>
      <c r="Z943" s="76"/>
      <c r="AA943" s="76"/>
      <c r="AB943" s="76"/>
      <c r="AC943" s="76"/>
      <c r="AD943" s="76"/>
      <c r="AE943" s="76"/>
      <c r="AF943" s="76"/>
      <c r="AG943" s="76"/>
      <c r="AH943" s="76"/>
      <c r="AI943" s="76"/>
      <c r="AJ943" s="76"/>
      <c r="AK943" s="76"/>
      <c r="AL943" s="77"/>
      <c r="AM943" s="76"/>
      <c r="AN943" s="76"/>
    </row>
    <row r="944" spans="1:40" ht="15">
      <c r="A944" s="83" t="e">
        <f>IF(#REF!&lt;&gt;#REF!,1,A943+1)</f>
        <v>#REF!</v>
      </c>
      <c r="O944" s="79"/>
      <c r="P944" s="79"/>
      <c r="Q944" s="76"/>
      <c r="R944" s="77"/>
      <c r="S944" s="76"/>
      <c r="T944" s="77"/>
      <c r="U944" s="76"/>
      <c r="V944" s="77"/>
      <c r="W944" s="76"/>
      <c r="X944" s="77"/>
      <c r="Y944" s="76"/>
      <c r="Z944" s="76"/>
      <c r="AA944" s="76"/>
      <c r="AB944" s="76"/>
      <c r="AC944" s="76"/>
      <c r="AD944" s="76"/>
      <c r="AE944" s="76"/>
      <c r="AF944" s="76"/>
      <c r="AG944" s="76"/>
      <c r="AH944" s="76"/>
      <c r="AI944" s="76"/>
      <c r="AJ944" s="76"/>
      <c r="AK944" s="76"/>
      <c r="AL944" s="77"/>
      <c r="AM944" s="76"/>
      <c r="AN944" s="76"/>
    </row>
    <row r="945" spans="1:40" ht="15">
      <c r="A945" s="83" t="e">
        <f>IF(#REF!&lt;&gt;#REF!,1,A944+1)</f>
        <v>#REF!</v>
      </c>
      <c r="O945" s="79"/>
      <c r="P945" s="79"/>
      <c r="Q945" s="76"/>
      <c r="R945" s="77"/>
      <c r="S945" s="76"/>
      <c r="T945" s="77"/>
      <c r="U945" s="76"/>
      <c r="V945" s="77"/>
      <c r="W945" s="76"/>
      <c r="X945" s="77"/>
      <c r="Y945" s="76"/>
      <c r="Z945" s="76"/>
      <c r="AA945" s="76"/>
      <c r="AB945" s="76"/>
      <c r="AC945" s="76"/>
      <c r="AD945" s="76"/>
      <c r="AE945" s="76"/>
      <c r="AF945" s="76"/>
      <c r="AG945" s="76"/>
      <c r="AH945" s="76"/>
      <c r="AI945" s="76"/>
      <c r="AJ945" s="76"/>
      <c r="AK945" s="76"/>
      <c r="AL945" s="77"/>
      <c r="AM945" s="76"/>
      <c r="AN945" s="76"/>
    </row>
    <row r="946" spans="1:40" ht="15">
      <c r="A946" s="83" t="e">
        <f>IF(#REF!&lt;&gt;#REF!,1,A945+1)</f>
        <v>#REF!</v>
      </c>
      <c r="O946" s="79"/>
      <c r="P946" s="79"/>
      <c r="Q946" s="76"/>
      <c r="R946" s="77"/>
      <c r="S946" s="76"/>
      <c r="T946" s="77"/>
      <c r="U946" s="76"/>
      <c r="V946" s="77"/>
      <c r="W946" s="76"/>
      <c r="X946" s="77"/>
      <c r="Y946" s="76"/>
      <c r="Z946" s="76"/>
      <c r="AA946" s="76"/>
      <c r="AB946" s="76"/>
      <c r="AC946" s="76"/>
      <c r="AD946" s="76"/>
      <c r="AE946" s="76"/>
      <c r="AF946" s="76"/>
      <c r="AG946" s="76"/>
      <c r="AH946" s="76"/>
      <c r="AI946" s="76"/>
      <c r="AJ946" s="76"/>
      <c r="AK946" s="76"/>
      <c r="AL946" s="77"/>
      <c r="AM946" s="76"/>
      <c r="AN946" s="76"/>
    </row>
    <row r="947" spans="1:40" ht="15">
      <c r="A947" s="83" t="e">
        <f>IF(#REF!&lt;&gt;#REF!,1,A946+1)</f>
        <v>#REF!</v>
      </c>
      <c r="O947" s="79"/>
      <c r="P947" s="79"/>
      <c r="Q947" s="76"/>
      <c r="R947" s="77"/>
      <c r="S947" s="76"/>
      <c r="T947" s="77"/>
      <c r="U947" s="76"/>
      <c r="V947" s="77"/>
      <c r="W947" s="76"/>
      <c r="X947" s="77"/>
      <c r="Y947" s="76"/>
      <c r="Z947" s="76"/>
      <c r="AA947" s="76"/>
      <c r="AB947" s="76"/>
      <c r="AC947" s="76"/>
      <c r="AD947" s="76"/>
      <c r="AE947" s="76"/>
      <c r="AF947" s="76"/>
      <c r="AG947" s="76"/>
      <c r="AH947" s="76"/>
      <c r="AI947" s="76"/>
      <c r="AJ947" s="76"/>
      <c r="AK947" s="76"/>
      <c r="AL947" s="77"/>
      <c r="AM947" s="76"/>
      <c r="AN947" s="76"/>
    </row>
    <row r="948" spans="1:40" ht="15">
      <c r="A948" s="83" t="e">
        <f>IF(#REF!&lt;&gt;#REF!,1,A947+1)</f>
        <v>#REF!</v>
      </c>
      <c r="O948" s="79"/>
      <c r="P948" s="79"/>
      <c r="Q948" s="76"/>
      <c r="R948" s="77"/>
      <c r="S948" s="76"/>
      <c r="T948" s="77"/>
      <c r="U948" s="76"/>
      <c r="V948" s="77"/>
      <c r="W948" s="76"/>
      <c r="X948" s="77"/>
      <c r="Y948" s="76"/>
      <c r="Z948" s="76"/>
      <c r="AA948" s="76"/>
      <c r="AB948" s="76"/>
      <c r="AC948" s="76"/>
      <c r="AD948" s="76"/>
      <c r="AE948" s="76"/>
      <c r="AF948" s="76"/>
      <c r="AG948" s="76"/>
      <c r="AH948" s="76"/>
      <c r="AI948" s="76"/>
      <c r="AJ948" s="76"/>
      <c r="AK948" s="76"/>
      <c r="AL948" s="77"/>
      <c r="AM948" s="76"/>
      <c r="AN948" s="76"/>
    </row>
    <row r="949" spans="1:40" ht="15">
      <c r="A949" s="83" t="e">
        <f>IF(#REF!&lt;&gt;#REF!,1,A948+1)</f>
        <v>#REF!</v>
      </c>
      <c r="O949" s="79"/>
      <c r="P949" s="79"/>
      <c r="Q949" s="76"/>
      <c r="R949" s="77"/>
      <c r="S949" s="76"/>
      <c r="T949" s="77"/>
      <c r="U949" s="76"/>
      <c r="V949" s="77"/>
      <c r="W949" s="76"/>
      <c r="X949" s="77"/>
      <c r="Y949" s="76"/>
      <c r="Z949" s="76"/>
      <c r="AA949" s="76"/>
      <c r="AB949" s="76"/>
      <c r="AC949" s="76"/>
      <c r="AD949" s="76"/>
      <c r="AE949" s="76"/>
      <c r="AF949" s="76"/>
      <c r="AG949" s="76"/>
      <c r="AH949" s="76"/>
      <c r="AI949" s="76"/>
      <c r="AJ949" s="76"/>
      <c r="AK949" s="76"/>
      <c r="AL949" s="77"/>
      <c r="AM949" s="76"/>
      <c r="AN949" s="76"/>
    </row>
    <row r="950" spans="1:40" ht="15">
      <c r="A950" s="83" t="e">
        <f>IF(#REF!&lt;&gt;#REF!,1,A949+1)</f>
        <v>#REF!</v>
      </c>
      <c r="O950" s="79"/>
      <c r="P950" s="79"/>
      <c r="Q950" s="76"/>
      <c r="R950" s="77"/>
      <c r="S950" s="76"/>
      <c r="T950" s="77"/>
      <c r="U950" s="76"/>
      <c r="V950" s="77"/>
      <c r="W950" s="76"/>
      <c r="X950" s="77"/>
      <c r="Y950" s="76"/>
      <c r="Z950" s="76"/>
      <c r="AA950" s="76"/>
      <c r="AB950" s="76"/>
      <c r="AC950" s="76"/>
      <c r="AD950" s="76"/>
      <c r="AE950" s="76"/>
      <c r="AF950" s="76"/>
      <c r="AG950" s="76"/>
      <c r="AH950" s="76"/>
      <c r="AI950" s="76"/>
      <c r="AJ950" s="76"/>
      <c r="AK950" s="76"/>
      <c r="AL950" s="77"/>
      <c r="AM950" s="76"/>
      <c r="AN950" s="76"/>
    </row>
    <row r="951" spans="1:40" ht="15">
      <c r="A951" s="83" t="e">
        <f>IF(#REF!&lt;&gt;#REF!,1,A950+1)</f>
        <v>#REF!</v>
      </c>
      <c r="O951" s="79"/>
      <c r="P951" s="79"/>
      <c r="Q951" s="76"/>
      <c r="R951" s="77"/>
      <c r="S951" s="76"/>
      <c r="T951" s="77"/>
      <c r="U951" s="76"/>
      <c r="V951" s="77"/>
      <c r="W951" s="76"/>
      <c r="X951" s="77"/>
      <c r="Y951" s="76"/>
      <c r="Z951" s="76"/>
      <c r="AA951" s="76"/>
      <c r="AB951" s="76"/>
      <c r="AC951" s="76"/>
      <c r="AD951" s="76"/>
      <c r="AE951" s="76"/>
      <c r="AF951" s="76"/>
      <c r="AG951" s="76"/>
      <c r="AH951" s="76"/>
      <c r="AI951" s="76"/>
      <c r="AJ951" s="76"/>
      <c r="AK951" s="76"/>
      <c r="AL951" s="77"/>
      <c r="AM951" s="76"/>
      <c r="AN951" s="76"/>
    </row>
    <row r="952" spans="1:40" ht="15">
      <c r="A952" s="83" t="e">
        <f>IF(#REF!&lt;&gt;#REF!,1,A951+1)</f>
        <v>#REF!</v>
      </c>
      <c r="O952" s="79"/>
      <c r="P952" s="79"/>
      <c r="Q952" s="76"/>
      <c r="R952" s="77"/>
      <c r="S952" s="76"/>
      <c r="T952" s="77"/>
      <c r="U952" s="76"/>
      <c r="V952" s="77"/>
      <c r="W952" s="76"/>
      <c r="X952" s="77"/>
      <c r="Y952" s="76"/>
      <c r="Z952" s="76"/>
      <c r="AA952" s="76"/>
      <c r="AB952" s="76"/>
      <c r="AC952" s="76"/>
      <c r="AD952" s="76"/>
      <c r="AE952" s="76"/>
      <c r="AF952" s="76"/>
      <c r="AG952" s="76"/>
      <c r="AH952" s="76"/>
      <c r="AI952" s="76"/>
      <c r="AJ952" s="76"/>
      <c r="AK952" s="76"/>
      <c r="AL952" s="77"/>
      <c r="AM952" s="76"/>
      <c r="AN952" s="76"/>
    </row>
    <row r="953" spans="1:40" ht="15">
      <c r="A953" s="83" t="e">
        <f>IF(#REF!&lt;&gt;#REF!,1,A952+1)</f>
        <v>#REF!</v>
      </c>
      <c r="O953" s="79"/>
      <c r="P953" s="79"/>
      <c r="Q953" s="76"/>
      <c r="R953" s="77"/>
      <c r="S953" s="76"/>
      <c r="T953" s="77"/>
      <c r="U953" s="76"/>
      <c r="V953" s="77"/>
      <c r="W953" s="76"/>
      <c r="X953" s="77"/>
      <c r="Y953" s="76"/>
      <c r="Z953" s="76"/>
      <c r="AA953" s="76"/>
      <c r="AB953" s="76"/>
      <c r="AC953" s="76"/>
      <c r="AD953" s="76"/>
      <c r="AE953" s="76"/>
      <c r="AF953" s="76"/>
      <c r="AG953" s="76"/>
      <c r="AH953" s="76"/>
      <c r="AI953" s="76"/>
      <c r="AJ953" s="76"/>
      <c r="AK953" s="76"/>
      <c r="AL953" s="77"/>
      <c r="AM953" s="76"/>
      <c r="AN953" s="76"/>
    </row>
    <row r="954" spans="1:40" ht="15">
      <c r="A954" s="83" t="e">
        <f>IF(#REF!&lt;&gt;#REF!,1,A953+1)</f>
        <v>#REF!</v>
      </c>
      <c r="O954" s="79"/>
      <c r="P954" s="79"/>
      <c r="Q954" s="76"/>
      <c r="R954" s="77"/>
      <c r="S954" s="76"/>
      <c r="T954" s="77"/>
      <c r="U954" s="76"/>
      <c r="V954" s="77"/>
      <c r="W954" s="76"/>
      <c r="X954" s="77"/>
      <c r="Y954" s="76"/>
      <c r="Z954" s="76"/>
      <c r="AA954" s="76"/>
      <c r="AB954" s="76"/>
      <c r="AC954" s="76"/>
      <c r="AD954" s="76"/>
      <c r="AE954" s="76"/>
      <c r="AF954" s="76"/>
      <c r="AG954" s="76"/>
      <c r="AH954" s="76"/>
      <c r="AI954" s="76"/>
      <c r="AJ954" s="76"/>
      <c r="AK954" s="76"/>
      <c r="AL954" s="77"/>
      <c r="AM954" s="76"/>
      <c r="AN954" s="76"/>
    </row>
    <row r="955" spans="1:40" ht="15">
      <c r="A955" s="83" t="e">
        <f>IF(#REF!&lt;&gt;#REF!,1,A954+1)</f>
        <v>#REF!</v>
      </c>
      <c r="O955" s="79"/>
      <c r="P955" s="79"/>
      <c r="Q955" s="76"/>
      <c r="R955" s="77"/>
      <c r="S955" s="76"/>
      <c r="T955" s="77"/>
      <c r="U955" s="76"/>
      <c r="V955" s="77"/>
      <c r="W955" s="76"/>
      <c r="X955" s="77"/>
      <c r="Y955" s="76"/>
      <c r="Z955" s="76"/>
      <c r="AA955" s="76"/>
      <c r="AB955" s="76"/>
      <c r="AC955" s="76"/>
      <c r="AD955" s="76"/>
      <c r="AE955" s="76"/>
      <c r="AF955" s="76"/>
      <c r="AG955" s="76"/>
      <c r="AH955" s="76"/>
      <c r="AI955" s="76"/>
      <c r="AJ955" s="76"/>
      <c r="AK955" s="76"/>
      <c r="AL955" s="77"/>
      <c r="AM955" s="76"/>
      <c r="AN955" s="76"/>
    </row>
    <row r="956" spans="1:40" ht="15">
      <c r="A956" s="83" t="e">
        <f>IF(#REF!&lt;&gt;#REF!,1,A955+1)</f>
        <v>#REF!</v>
      </c>
      <c r="O956" s="79"/>
      <c r="P956" s="79"/>
      <c r="Q956" s="76"/>
      <c r="R956" s="77"/>
      <c r="S956" s="76"/>
      <c r="T956" s="77"/>
      <c r="U956" s="76"/>
      <c r="V956" s="77"/>
      <c r="W956" s="76"/>
      <c r="X956" s="77"/>
      <c r="Y956" s="76"/>
      <c r="Z956" s="76"/>
      <c r="AA956" s="76"/>
      <c r="AB956" s="76"/>
      <c r="AC956" s="76"/>
      <c r="AD956" s="76"/>
      <c r="AE956" s="76"/>
      <c r="AF956" s="76"/>
      <c r="AG956" s="76"/>
      <c r="AH956" s="76"/>
      <c r="AI956" s="76"/>
      <c r="AJ956" s="76"/>
      <c r="AK956" s="76"/>
      <c r="AL956" s="77"/>
      <c r="AM956" s="76"/>
      <c r="AN956" s="76"/>
    </row>
    <row r="957" spans="1:40" ht="15">
      <c r="A957" s="83" t="e">
        <f>IF(#REF!&lt;&gt;#REF!,1,A956+1)</f>
        <v>#REF!</v>
      </c>
      <c r="O957" s="79"/>
      <c r="P957" s="79"/>
      <c r="Q957" s="76"/>
      <c r="R957" s="77"/>
      <c r="S957" s="76"/>
      <c r="T957" s="77"/>
      <c r="U957" s="76"/>
      <c r="V957" s="77"/>
      <c r="W957" s="76"/>
      <c r="X957" s="77"/>
      <c r="Y957" s="76"/>
      <c r="Z957" s="76"/>
      <c r="AA957" s="76"/>
      <c r="AB957" s="76"/>
      <c r="AC957" s="76"/>
      <c r="AD957" s="76"/>
      <c r="AE957" s="76"/>
      <c r="AF957" s="76"/>
      <c r="AG957" s="76"/>
      <c r="AH957" s="76"/>
      <c r="AI957" s="76"/>
      <c r="AJ957" s="76"/>
      <c r="AK957" s="76"/>
      <c r="AL957" s="77"/>
      <c r="AM957" s="76"/>
      <c r="AN957" s="76"/>
    </row>
    <row r="958" spans="1:40" ht="15">
      <c r="A958" s="83" t="e">
        <f>IF(#REF!&lt;&gt;#REF!,1,A957+1)</f>
        <v>#REF!</v>
      </c>
      <c r="O958" s="79"/>
      <c r="P958" s="79"/>
      <c r="Q958" s="76"/>
      <c r="R958" s="77"/>
      <c r="S958" s="76"/>
      <c r="T958" s="77"/>
      <c r="U958" s="76"/>
      <c r="V958" s="77"/>
      <c r="W958" s="76"/>
      <c r="X958" s="77"/>
      <c r="Y958" s="76"/>
      <c r="Z958" s="76"/>
      <c r="AA958" s="76"/>
      <c r="AB958" s="76"/>
      <c r="AC958" s="76"/>
      <c r="AD958" s="76"/>
      <c r="AE958" s="76"/>
      <c r="AF958" s="76"/>
      <c r="AG958" s="76"/>
      <c r="AH958" s="76"/>
      <c r="AI958" s="76"/>
      <c r="AJ958" s="76"/>
      <c r="AK958" s="76"/>
      <c r="AL958" s="77"/>
      <c r="AM958" s="76"/>
      <c r="AN958" s="76"/>
    </row>
    <row r="959" spans="1:40" ht="15">
      <c r="A959" s="83" t="e">
        <f>IF(#REF!&lt;&gt;#REF!,1,A958+1)</f>
        <v>#REF!</v>
      </c>
      <c r="O959" s="79"/>
      <c r="P959" s="79"/>
      <c r="Q959" s="76"/>
      <c r="R959" s="77"/>
      <c r="S959" s="76"/>
      <c r="T959" s="77"/>
      <c r="U959" s="76"/>
      <c r="V959" s="77"/>
      <c r="W959" s="76"/>
      <c r="X959" s="77"/>
      <c r="Y959" s="76"/>
      <c r="Z959" s="76"/>
      <c r="AA959" s="76"/>
      <c r="AB959" s="76"/>
      <c r="AC959" s="76"/>
      <c r="AD959" s="76"/>
      <c r="AE959" s="76"/>
      <c r="AF959" s="76"/>
      <c r="AG959" s="76"/>
      <c r="AH959" s="76"/>
      <c r="AI959" s="76"/>
      <c r="AJ959" s="76"/>
      <c r="AK959" s="76"/>
      <c r="AL959" s="77"/>
      <c r="AM959" s="76"/>
      <c r="AN959" s="76"/>
    </row>
    <row r="960" spans="1:40" ht="15">
      <c r="A960" s="83" t="e">
        <f>IF(#REF!&lt;&gt;#REF!,1,A959+1)</f>
        <v>#REF!</v>
      </c>
      <c r="O960" s="79"/>
      <c r="P960" s="79"/>
      <c r="Q960" s="76"/>
      <c r="R960" s="77"/>
      <c r="S960" s="76"/>
      <c r="T960" s="77"/>
      <c r="U960" s="76"/>
      <c r="V960" s="77"/>
      <c r="W960" s="76"/>
      <c r="X960" s="77"/>
      <c r="Y960" s="76"/>
      <c r="Z960" s="76"/>
      <c r="AA960" s="76"/>
      <c r="AB960" s="76"/>
      <c r="AC960" s="76"/>
      <c r="AD960" s="76"/>
      <c r="AE960" s="76"/>
      <c r="AF960" s="76"/>
      <c r="AG960" s="76"/>
      <c r="AH960" s="76"/>
      <c r="AI960" s="76"/>
      <c r="AJ960" s="76"/>
      <c r="AK960" s="76"/>
      <c r="AL960" s="77"/>
      <c r="AM960" s="76"/>
      <c r="AN960" s="76"/>
    </row>
    <row r="961" spans="1:40" ht="15">
      <c r="A961" s="83" t="e">
        <f>IF(#REF!&lt;&gt;#REF!,1,A960+1)</f>
        <v>#REF!</v>
      </c>
      <c r="O961" s="79"/>
      <c r="P961" s="79"/>
      <c r="Q961" s="76"/>
      <c r="R961" s="77"/>
      <c r="S961" s="76"/>
      <c r="T961" s="77"/>
      <c r="U961" s="76"/>
      <c r="V961" s="77"/>
      <c r="W961" s="76"/>
      <c r="X961" s="77"/>
      <c r="Y961" s="76"/>
      <c r="Z961" s="76"/>
      <c r="AA961" s="76"/>
      <c r="AB961" s="76"/>
      <c r="AC961" s="76"/>
      <c r="AD961" s="76"/>
      <c r="AE961" s="76"/>
      <c r="AF961" s="76"/>
      <c r="AG961" s="76"/>
      <c r="AH961" s="76"/>
      <c r="AI961" s="76"/>
      <c r="AJ961" s="76"/>
      <c r="AK961" s="76"/>
      <c r="AL961" s="77"/>
      <c r="AM961" s="76"/>
      <c r="AN961" s="76"/>
    </row>
    <row r="962" spans="1:40" ht="15">
      <c r="A962" s="83" t="e">
        <f>IF(#REF!&lt;&gt;#REF!,1,A961+1)</f>
        <v>#REF!</v>
      </c>
      <c r="O962" s="79"/>
      <c r="P962" s="79"/>
      <c r="Q962" s="76"/>
      <c r="R962" s="77"/>
      <c r="S962" s="76"/>
      <c r="T962" s="77"/>
      <c r="U962" s="76"/>
      <c r="V962" s="77"/>
      <c r="W962" s="76"/>
      <c r="X962" s="77"/>
      <c r="Y962" s="76"/>
      <c r="Z962" s="76"/>
      <c r="AA962" s="76"/>
      <c r="AB962" s="76"/>
      <c r="AC962" s="76"/>
      <c r="AD962" s="76"/>
      <c r="AE962" s="76"/>
      <c r="AF962" s="76"/>
      <c r="AG962" s="76"/>
      <c r="AH962" s="76"/>
      <c r="AI962" s="76"/>
      <c r="AJ962" s="76"/>
      <c r="AK962" s="76"/>
      <c r="AL962" s="77"/>
      <c r="AM962" s="76"/>
      <c r="AN962" s="76"/>
    </row>
    <row r="963" spans="1:40" ht="15">
      <c r="A963" s="83" t="e">
        <f>IF(#REF!&lt;&gt;#REF!,1,A962+1)</f>
        <v>#REF!</v>
      </c>
      <c r="O963" s="79"/>
      <c r="P963" s="79"/>
      <c r="Q963" s="76"/>
      <c r="R963" s="77"/>
      <c r="S963" s="76"/>
      <c r="T963" s="77"/>
      <c r="U963" s="76"/>
      <c r="V963" s="77"/>
      <c r="W963" s="76"/>
      <c r="X963" s="77"/>
      <c r="Y963" s="76"/>
      <c r="Z963" s="76"/>
      <c r="AA963" s="76"/>
      <c r="AB963" s="76"/>
      <c r="AC963" s="76"/>
      <c r="AD963" s="76"/>
      <c r="AE963" s="76"/>
      <c r="AF963" s="76"/>
      <c r="AG963" s="76"/>
      <c r="AH963" s="76"/>
      <c r="AI963" s="76"/>
      <c r="AJ963" s="76"/>
      <c r="AK963" s="76"/>
      <c r="AL963" s="77"/>
      <c r="AM963" s="76"/>
      <c r="AN963" s="76"/>
    </row>
    <row r="964" spans="1:40" ht="15">
      <c r="A964" s="83" t="e">
        <f>IF(#REF!&lt;&gt;#REF!,1,A963+1)</f>
        <v>#REF!</v>
      </c>
      <c r="O964" s="79"/>
      <c r="P964" s="79"/>
      <c r="Q964" s="76"/>
      <c r="R964" s="77"/>
      <c r="S964" s="76"/>
      <c r="T964" s="77"/>
      <c r="U964" s="76"/>
      <c r="V964" s="77"/>
      <c r="W964" s="76"/>
      <c r="X964" s="77"/>
      <c r="Y964" s="76"/>
      <c r="Z964" s="76"/>
      <c r="AA964" s="76"/>
      <c r="AB964" s="76"/>
      <c r="AC964" s="76"/>
      <c r="AD964" s="76"/>
      <c r="AE964" s="76"/>
      <c r="AF964" s="76"/>
      <c r="AG964" s="76"/>
      <c r="AH964" s="76"/>
      <c r="AI964" s="76"/>
      <c r="AJ964" s="76"/>
      <c r="AK964" s="76"/>
      <c r="AL964" s="77"/>
      <c r="AM964" s="76"/>
      <c r="AN964" s="76"/>
    </row>
    <row r="965" spans="1:40" ht="15">
      <c r="A965" s="83" t="e">
        <f>IF(#REF!&lt;&gt;#REF!,1,A964+1)</f>
        <v>#REF!</v>
      </c>
      <c r="O965" s="79"/>
      <c r="P965" s="79"/>
      <c r="Q965" s="76"/>
      <c r="R965" s="77"/>
      <c r="S965" s="76"/>
      <c r="T965" s="77"/>
      <c r="U965" s="76"/>
      <c r="V965" s="77"/>
      <c r="W965" s="76"/>
      <c r="X965" s="77"/>
      <c r="Y965" s="76"/>
      <c r="Z965" s="76"/>
      <c r="AA965" s="76"/>
      <c r="AB965" s="76"/>
      <c r="AC965" s="76"/>
      <c r="AD965" s="76"/>
      <c r="AE965" s="76"/>
      <c r="AF965" s="76"/>
      <c r="AG965" s="76"/>
      <c r="AH965" s="76"/>
      <c r="AI965" s="76"/>
      <c r="AJ965" s="76"/>
      <c r="AK965" s="76"/>
      <c r="AL965" s="77"/>
      <c r="AM965" s="76"/>
      <c r="AN965" s="76"/>
    </row>
    <row r="966" spans="1:40" ht="15">
      <c r="A966" s="83" t="e">
        <f>IF(#REF!&lt;&gt;#REF!,1,A965+1)</f>
        <v>#REF!</v>
      </c>
      <c r="O966" s="79"/>
      <c r="P966" s="79"/>
      <c r="Q966" s="76"/>
      <c r="R966" s="77"/>
      <c r="S966" s="76"/>
      <c r="T966" s="77"/>
      <c r="U966" s="76"/>
      <c r="V966" s="77"/>
      <c r="W966" s="76"/>
      <c r="X966" s="77"/>
      <c r="Y966" s="76"/>
      <c r="Z966" s="76"/>
      <c r="AA966" s="76"/>
      <c r="AB966" s="76"/>
      <c r="AC966" s="76"/>
      <c r="AD966" s="76"/>
      <c r="AE966" s="76"/>
      <c r="AF966" s="76"/>
      <c r="AG966" s="76"/>
      <c r="AH966" s="76"/>
      <c r="AI966" s="76"/>
      <c r="AJ966" s="76"/>
      <c r="AK966" s="76"/>
      <c r="AL966" s="77"/>
      <c r="AM966" s="76"/>
      <c r="AN966" s="76"/>
    </row>
    <row r="967" spans="1:40" ht="15">
      <c r="A967" s="83" t="e">
        <f>IF(#REF!&lt;&gt;#REF!,1,A966+1)</f>
        <v>#REF!</v>
      </c>
      <c r="O967" s="79"/>
      <c r="P967" s="79"/>
      <c r="Q967" s="76"/>
      <c r="R967" s="77"/>
      <c r="S967" s="76"/>
      <c r="T967" s="77"/>
      <c r="U967" s="76"/>
      <c r="V967" s="77"/>
      <c r="W967" s="76"/>
      <c r="X967" s="77"/>
      <c r="Y967" s="76"/>
      <c r="Z967" s="76"/>
      <c r="AA967" s="76"/>
      <c r="AB967" s="76"/>
      <c r="AC967" s="76"/>
      <c r="AD967" s="76"/>
      <c r="AE967" s="76"/>
      <c r="AF967" s="76"/>
      <c r="AG967" s="76"/>
      <c r="AH967" s="76"/>
      <c r="AI967" s="76"/>
      <c r="AJ967" s="76"/>
      <c r="AK967" s="76"/>
      <c r="AL967" s="77"/>
      <c r="AM967" s="76"/>
      <c r="AN967" s="76"/>
    </row>
    <row r="968" spans="1:40" ht="15">
      <c r="A968" s="83" t="e">
        <f>IF(#REF!&lt;&gt;#REF!,1,A967+1)</f>
        <v>#REF!</v>
      </c>
      <c r="O968" s="79"/>
      <c r="P968" s="79"/>
      <c r="Q968" s="76"/>
      <c r="R968" s="77"/>
      <c r="S968" s="76"/>
      <c r="T968" s="77"/>
      <c r="U968" s="76"/>
      <c r="V968" s="77"/>
      <c r="W968" s="76"/>
      <c r="X968" s="77"/>
      <c r="Y968" s="76"/>
      <c r="Z968" s="76"/>
      <c r="AA968" s="76"/>
      <c r="AB968" s="76"/>
      <c r="AC968" s="76"/>
      <c r="AD968" s="76"/>
      <c r="AE968" s="76"/>
      <c r="AF968" s="76"/>
      <c r="AG968" s="76"/>
      <c r="AH968" s="76"/>
      <c r="AI968" s="76"/>
      <c r="AJ968" s="76"/>
      <c r="AK968" s="76"/>
      <c r="AL968" s="77"/>
      <c r="AM968" s="76"/>
      <c r="AN968" s="76"/>
    </row>
    <row r="969" spans="1:40" ht="15">
      <c r="A969" s="83" t="e">
        <f>IF(#REF!&lt;&gt;#REF!,1,A968+1)</f>
        <v>#REF!</v>
      </c>
      <c r="O969" s="79"/>
      <c r="P969" s="79"/>
      <c r="Q969" s="76"/>
      <c r="R969" s="77"/>
      <c r="S969" s="76"/>
      <c r="T969" s="77"/>
      <c r="U969" s="76"/>
      <c r="V969" s="77"/>
      <c r="W969" s="76"/>
      <c r="X969" s="77"/>
      <c r="Y969" s="76"/>
      <c r="Z969" s="76"/>
      <c r="AA969" s="76"/>
      <c r="AB969" s="76"/>
      <c r="AC969" s="76"/>
      <c r="AD969" s="76"/>
      <c r="AE969" s="76"/>
      <c r="AF969" s="76"/>
      <c r="AG969" s="76"/>
      <c r="AH969" s="76"/>
      <c r="AI969" s="76"/>
      <c r="AJ969" s="76"/>
      <c r="AK969" s="76"/>
      <c r="AL969" s="77"/>
      <c r="AM969" s="76"/>
      <c r="AN969" s="76"/>
    </row>
    <row r="970" spans="1:40" ht="15">
      <c r="A970" s="83" t="e">
        <f>IF(#REF!&lt;&gt;#REF!,1,A969+1)</f>
        <v>#REF!</v>
      </c>
      <c r="O970" s="79"/>
      <c r="P970" s="79"/>
      <c r="Q970" s="76"/>
      <c r="R970" s="77"/>
      <c r="S970" s="76"/>
      <c r="T970" s="77"/>
      <c r="U970" s="76"/>
      <c r="V970" s="77"/>
      <c r="W970" s="76"/>
      <c r="X970" s="77"/>
      <c r="Y970" s="76"/>
      <c r="Z970" s="76"/>
      <c r="AA970" s="76"/>
      <c r="AB970" s="76"/>
      <c r="AC970" s="76"/>
      <c r="AD970" s="76"/>
      <c r="AE970" s="76"/>
      <c r="AF970" s="76"/>
      <c r="AG970" s="76"/>
      <c r="AH970" s="76"/>
      <c r="AI970" s="76"/>
      <c r="AJ970" s="76"/>
      <c r="AK970" s="76"/>
      <c r="AL970" s="77"/>
      <c r="AM970" s="76"/>
      <c r="AN970" s="76"/>
    </row>
    <row r="971" spans="1:40" ht="15">
      <c r="A971" s="83" t="e">
        <f>IF(#REF!&lt;&gt;#REF!,1,A970+1)</f>
        <v>#REF!</v>
      </c>
      <c r="O971" s="79"/>
      <c r="P971" s="79"/>
      <c r="Q971" s="76"/>
      <c r="R971" s="77"/>
      <c r="S971" s="76"/>
      <c r="T971" s="77"/>
      <c r="U971" s="76"/>
      <c r="V971" s="77"/>
      <c r="W971" s="76"/>
      <c r="X971" s="77"/>
      <c r="Y971" s="76"/>
      <c r="Z971" s="76"/>
      <c r="AA971" s="76"/>
      <c r="AB971" s="76"/>
      <c r="AC971" s="76"/>
      <c r="AD971" s="76"/>
      <c r="AE971" s="76"/>
      <c r="AF971" s="76"/>
      <c r="AG971" s="76"/>
      <c r="AH971" s="76"/>
      <c r="AI971" s="76"/>
      <c r="AJ971" s="76"/>
      <c r="AK971" s="76"/>
      <c r="AL971" s="77"/>
      <c r="AM971" s="76"/>
      <c r="AN971" s="76"/>
    </row>
    <row r="972" spans="1:40" ht="15">
      <c r="A972" s="83" t="e">
        <f>IF(#REF!&lt;&gt;#REF!,1,A971+1)</f>
        <v>#REF!</v>
      </c>
      <c r="O972" s="79"/>
      <c r="P972" s="79"/>
      <c r="Q972" s="76"/>
      <c r="R972" s="77"/>
      <c r="S972" s="76"/>
      <c r="T972" s="77"/>
      <c r="U972" s="76"/>
      <c r="V972" s="77"/>
      <c r="W972" s="76"/>
      <c r="X972" s="77"/>
      <c r="Y972" s="76"/>
      <c r="Z972" s="76"/>
      <c r="AA972" s="76"/>
      <c r="AB972" s="76"/>
      <c r="AC972" s="76"/>
      <c r="AD972" s="76"/>
      <c r="AE972" s="76"/>
      <c r="AF972" s="76"/>
      <c r="AG972" s="76"/>
      <c r="AH972" s="76"/>
      <c r="AI972" s="76"/>
      <c r="AJ972" s="76"/>
      <c r="AK972" s="76"/>
      <c r="AL972" s="77"/>
      <c r="AM972" s="76"/>
      <c r="AN972" s="76"/>
    </row>
    <row r="973" spans="1:40" ht="15">
      <c r="A973" s="83" t="e">
        <f>IF(#REF!&lt;&gt;#REF!,1,A972+1)</f>
        <v>#REF!</v>
      </c>
      <c r="O973" s="79"/>
      <c r="P973" s="79"/>
      <c r="Q973" s="76"/>
      <c r="R973" s="77"/>
      <c r="S973" s="76"/>
      <c r="T973" s="77"/>
      <c r="U973" s="76"/>
      <c r="V973" s="77"/>
      <c r="W973" s="76"/>
      <c r="X973" s="77"/>
      <c r="Y973" s="76"/>
      <c r="Z973" s="76"/>
      <c r="AA973" s="76"/>
      <c r="AB973" s="76"/>
      <c r="AC973" s="76"/>
      <c r="AD973" s="76"/>
      <c r="AE973" s="76"/>
      <c r="AF973" s="76"/>
      <c r="AG973" s="76"/>
      <c r="AH973" s="76"/>
      <c r="AI973" s="76"/>
      <c r="AJ973" s="76"/>
      <c r="AK973" s="76"/>
      <c r="AL973" s="77"/>
      <c r="AM973" s="76"/>
      <c r="AN973" s="76"/>
    </row>
    <row r="974" spans="1:40" ht="15">
      <c r="A974" s="83" t="e">
        <f>IF(#REF!&lt;&gt;#REF!,1,A973+1)</f>
        <v>#REF!</v>
      </c>
      <c r="O974" s="79"/>
      <c r="P974" s="79"/>
      <c r="Q974" s="76"/>
      <c r="R974" s="77"/>
      <c r="S974" s="76"/>
      <c r="T974" s="77"/>
      <c r="U974" s="76"/>
      <c r="V974" s="77"/>
      <c r="W974" s="76"/>
      <c r="X974" s="77"/>
      <c r="Y974" s="76"/>
      <c r="Z974" s="76"/>
      <c r="AA974" s="76"/>
      <c r="AB974" s="76"/>
      <c r="AC974" s="76"/>
      <c r="AD974" s="76"/>
      <c r="AE974" s="76"/>
      <c r="AF974" s="76"/>
      <c r="AG974" s="76"/>
      <c r="AH974" s="76"/>
      <c r="AI974" s="76"/>
      <c r="AJ974" s="76"/>
      <c r="AK974" s="76"/>
      <c r="AL974" s="77"/>
      <c r="AM974" s="76"/>
      <c r="AN974" s="76"/>
    </row>
    <row r="975" spans="1:40" ht="15">
      <c r="A975" s="83" t="e">
        <f>IF(#REF!&lt;&gt;#REF!,1,A974+1)</f>
        <v>#REF!</v>
      </c>
      <c r="O975" s="79"/>
      <c r="P975" s="79"/>
      <c r="Q975" s="76"/>
      <c r="R975" s="77"/>
      <c r="S975" s="76"/>
      <c r="T975" s="77"/>
      <c r="U975" s="76"/>
      <c r="V975" s="77"/>
      <c r="W975" s="76"/>
      <c r="X975" s="77"/>
      <c r="Y975" s="76"/>
      <c r="Z975" s="76"/>
      <c r="AA975" s="76"/>
      <c r="AB975" s="76"/>
      <c r="AC975" s="76"/>
      <c r="AD975" s="76"/>
      <c r="AE975" s="76"/>
      <c r="AF975" s="76"/>
      <c r="AG975" s="76"/>
      <c r="AH975" s="76"/>
      <c r="AI975" s="76"/>
      <c r="AJ975" s="76"/>
      <c r="AK975" s="76"/>
      <c r="AL975" s="77"/>
      <c r="AM975" s="76"/>
      <c r="AN975" s="76"/>
    </row>
    <row r="976" spans="1:40" ht="15">
      <c r="A976" s="83" t="e">
        <f>IF(#REF!&lt;&gt;#REF!,1,A975+1)</f>
        <v>#REF!</v>
      </c>
      <c r="O976" s="79"/>
      <c r="P976" s="79"/>
      <c r="Q976" s="76"/>
      <c r="R976" s="77"/>
      <c r="S976" s="76"/>
      <c r="T976" s="77"/>
      <c r="U976" s="76"/>
      <c r="V976" s="77"/>
      <c r="W976" s="76"/>
      <c r="X976" s="77"/>
      <c r="Y976" s="76"/>
      <c r="Z976" s="76"/>
      <c r="AA976" s="76"/>
      <c r="AB976" s="76"/>
      <c r="AC976" s="76"/>
      <c r="AD976" s="76"/>
      <c r="AE976" s="76"/>
      <c r="AF976" s="76"/>
      <c r="AG976" s="76"/>
      <c r="AH976" s="76"/>
      <c r="AI976" s="76"/>
      <c r="AJ976" s="76"/>
      <c r="AK976" s="76"/>
      <c r="AL976" s="77"/>
      <c r="AM976" s="76"/>
      <c r="AN976" s="76"/>
    </row>
    <row r="977" spans="1:40" ht="15">
      <c r="A977" s="83" t="e">
        <f>IF(#REF!&lt;&gt;#REF!,1,A976+1)</f>
        <v>#REF!</v>
      </c>
      <c r="O977" s="79"/>
      <c r="P977" s="79"/>
      <c r="Q977" s="76"/>
      <c r="R977" s="77"/>
      <c r="S977" s="76"/>
      <c r="T977" s="77"/>
      <c r="U977" s="76"/>
      <c r="V977" s="77"/>
      <c r="W977" s="76"/>
      <c r="X977" s="77"/>
      <c r="Y977" s="76"/>
      <c r="Z977" s="76"/>
      <c r="AA977" s="76"/>
      <c r="AB977" s="76"/>
      <c r="AC977" s="76"/>
      <c r="AD977" s="76"/>
      <c r="AE977" s="76"/>
      <c r="AF977" s="76"/>
      <c r="AG977" s="76"/>
      <c r="AH977" s="76"/>
      <c r="AI977" s="76"/>
      <c r="AJ977" s="76"/>
      <c r="AK977" s="76"/>
      <c r="AL977" s="77"/>
      <c r="AM977" s="76"/>
      <c r="AN977" s="76"/>
    </row>
    <row r="978" spans="1:40" ht="15">
      <c r="A978" s="83" t="e">
        <f>IF(#REF!&lt;&gt;#REF!,1,A977+1)</f>
        <v>#REF!</v>
      </c>
      <c r="O978" s="79"/>
      <c r="P978" s="79"/>
      <c r="Q978" s="76"/>
      <c r="R978" s="77"/>
      <c r="S978" s="76"/>
      <c r="T978" s="77"/>
      <c r="U978" s="76"/>
      <c r="V978" s="77"/>
      <c r="W978" s="76"/>
      <c r="X978" s="77"/>
      <c r="Y978" s="76"/>
      <c r="Z978" s="76"/>
      <c r="AA978" s="76"/>
      <c r="AB978" s="76"/>
      <c r="AC978" s="76"/>
      <c r="AD978" s="76"/>
      <c r="AE978" s="76"/>
      <c r="AF978" s="76"/>
      <c r="AG978" s="76"/>
      <c r="AH978" s="76"/>
      <c r="AI978" s="76"/>
      <c r="AJ978" s="76"/>
      <c r="AK978" s="76"/>
      <c r="AL978" s="77"/>
      <c r="AM978" s="76"/>
      <c r="AN978" s="76"/>
    </row>
    <row r="979" spans="1:40" ht="15">
      <c r="A979" s="83" t="e">
        <f>IF(#REF!&lt;&gt;#REF!,1,A978+1)</f>
        <v>#REF!</v>
      </c>
      <c r="O979" s="79"/>
      <c r="P979" s="79"/>
      <c r="Q979" s="76"/>
      <c r="R979" s="77"/>
      <c r="S979" s="76"/>
      <c r="T979" s="77"/>
      <c r="U979" s="76"/>
      <c r="V979" s="77"/>
      <c r="W979" s="76"/>
      <c r="X979" s="77"/>
      <c r="Y979" s="76"/>
      <c r="Z979" s="76"/>
      <c r="AA979" s="76"/>
      <c r="AB979" s="76"/>
      <c r="AC979" s="76"/>
      <c r="AD979" s="76"/>
      <c r="AE979" s="76"/>
      <c r="AF979" s="76"/>
      <c r="AG979" s="76"/>
      <c r="AH979" s="76"/>
      <c r="AI979" s="76"/>
      <c r="AJ979" s="76"/>
      <c r="AK979" s="76"/>
      <c r="AL979" s="77"/>
      <c r="AM979" s="76"/>
      <c r="AN979" s="76"/>
    </row>
    <row r="980" spans="1:40" ht="15">
      <c r="A980" s="83" t="e">
        <f>IF(#REF!&lt;&gt;#REF!,1,A979+1)</f>
        <v>#REF!</v>
      </c>
      <c r="O980" s="79"/>
      <c r="P980" s="79"/>
      <c r="Q980" s="76"/>
      <c r="R980" s="77"/>
      <c r="S980" s="76"/>
      <c r="T980" s="77"/>
      <c r="U980" s="76"/>
      <c r="V980" s="77"/>
      <c r="W980" s="76"/>
      <c r="X980" s="77"/>
      <c r="Y980" s="76"/>
      <c r="Z980" s="76"/>
      <c r="AA980" s="76"/>
      <c r="AB980" s="76"/>
      <c r="AC980" s="76"/>
      <c r="AD980" s="76"/>
      <c r="AE980" s="76"/>
      <c r="AF980" s="76"/>
      <c r="AG980" s="76"/>
      <c r="AH980" s="76"/>
      <c r="AI980" s="76"/>
      <c r="AJ980" s="76"/>
      <c r="AK980" s="76"/>
      <c r="AL980" s="77"/>
      <c r="AM980" s="76"/>
      <c r="AN980" s="76"/>
    </row>
    <row r="981" spans="1:40" ht="15">
      <c r="A981" s="83" t="e">
        <f>IF(#REF!&lt;&gt;#REF!,1,A980+1)</f>
        <v>#REF!</v>
      </c>
      <c r="O981" s="79"/>
      <c r="P981" s="79"/>
      <c r="Q981" s="76"/>
      <c r="R981" s="77"/>
      <c r="S981" s="76"/>
      <c r="T981" s="77"/>
      <c r="U981" s="76"/>
      <c r="V981" s="77"/>
      <c r="W981" s="76"/>
      <c r="X981" s="77"/>
      <c r="Y981" s="76"/>
      <c r="Z981" s="76"/>
      <c r="AA981" s="76"/>
      <c r="AB981" s="76"/>
      <c r="AC981" s="76"/>
      <c r="AD981" s="76"/>
      <c r="AE981" s="76"/>
      <c r="AF981" s="76"/>
      <c r="AG981" s="76"/>
      <c r="AH981" s="76"/>
      <c r="AI981" s="76"/>
      <c r="AJ981" s="76"/>
      <c r="AK981" s="76"/>
      <c r="AL981" s="77"/>
      <c r="AM981" s="76"/>
      <c r="AN981" s="76"/>
    </row>
    <row r="982" spans="1:40" ht="15">
      <c r="A982" s="83" t="e">
        <f>IF(#REF!&lt;&gt;#REF!,1,A981+1)</f>
        <v>#REF!</v>
      </c>
      <c r="O982" s="79"/>
      <c r="P982" s="79"/>
      <c r="Q982" s="76"/>
      <c r="R982" s="77"/>
      <c r="S982" s="76"/>
      <c r="T982" s="77"/>
      <c r="U982" s="76"/>
      <c r="V982" s="77"/>
      <c r="W982" s="76"/>
      <c r="X982" s="77"/>
      <c r="Y982" s="76"/>
      <c r="Z982" s="76"/>
      <c r="AA982" s="76"/>
      <c r="AB982" s="76"/>
      <c r="AC982" s="76"/>
      <c r="AD982" s="76"/>
      <c r="AE982" s="76"/>
      <c r="AF982" s="76"/>
      <c r="AG982" s="76"/>
      <c r="AH982" s="76"/>
      <c r="AI982" s="76"/>
      <c r="AJ982" s="76"/>
      <c r="AK982" s="76"/>
      <c r="AL982" s="77"/>
      <c r="AM982" s="76"/>
      <c r="AN982" s="76"/>
    </row>
    <row r="983" spans="1:40" ht="15">
      <c r="A983" s="83" t="e">
        <f>IF(#REF!&lt;&gt;#REF!,1,A982+1)</f>
        <v>#REF!</v>
      </c>
      <c r="O983" s="79"/>
      <c r="P983" s="79"/>
      <c r="Q983" s="76"/>
      <c r="R983" s="77"/>
      <c r="S983" s="76"/>
      <c r="T983" s="77"/>
      <c r="U983" s="76"/>
      <c r="V983" s="77"/>
      <c r="W983" s="76"/>
      <c r="X983" s="77"/>
      <c r="Y983" s="76"/>
      <c r="Z983" s="76"/>
      <c r="AA983" s="76"/>
      <c r="AB983" s="76"/>
      <c r="AC983" s="76"/>
      <c r="AD983" s="76"/>
      <c r="AE983" s="76"/>
      <c r="AF983" s="76"/>
      <c r="AG983" s="76"/>
      <c r="AH983" s="76"/>
      <c r="AI983" s="76"/>
      <c r="AJ983" s="76"/>
      <c r="AK983" s="76"/>
      <c r="AL983" s="77"/>
      <c r="AM983" s="76"/>
      <c r="AN983" s="76"/>
    </row>
    <row r="984" spans="1:40" ht="15">
      <c r="A984" s="83" t="e">
        <f>IF(#REF!&lt;&gt;#REF!,1,A983+1)</f>
        <v>#REF!</v>
      </c>
      <c r="O984" s="79"/>
      <c r="P984" s="79"/>
      <c r="Q984" s="76"/>
      <c r="R984" s="77"/>
      <c r="S984" s="76"/>
      <c r="T984" s="77"/>
      <c r="U984" s="76"/>
      <c r="V984" s="77"/>
      <c r="W984" s="76"/>
      <c r="X984" s="77"/>
      <c r="Y984" s="76"/>
      <c r="Z984" s="76"/>
      <c r="AA984" s="76"/>
      <c r="AB984" s="76"/>
      <c r="AC984" s="76"/>
      <c r="AD984" s="76"/>
      <c r="AE984" s="76"/>
      <c r="AF984" s="76"/>
      <c r="AG984" s="76"/>
      <c r="AH984" s="76"/>
      <c r="AI984" s="76"/>
      <c r="AJ984" s="76"/>
      <c r="AK984" s="76"/>
      <c r="AL984" s="77"/>
      <c r="AM984" s="76"/>
      <c r="AN984" s="76"/>
    </row>
    <row r="985" spans="1:40" ht="15">
      <c r="A985" s="83" t="e">
        <f>IF(#REF!&lt;&gt;#REF!,1,A984+1)</f>
        <v>#REF!</v>
      </c>
      <c r="O985" s="79"/>
      <c r="P985" s="79"/>
      <c r="Q985" s="76"/>
      <c r="R985" s="77"/>
      <c r="S985" s="76"/>
      <c r="T985" s="77"/>
      <c r="U985" s="76"/>
      <c r="V985" s="77"/>
      <c r="W985" s="76"/>
      <c r="X985" s="77"/>
      <c r="Y985" s="76"/>
      <c r="Z985" s="76"/>
      <c r="AA985" s="76"/>
      <c r="AB985" s="76"/>
      <c r="AC985" s="76"/>
      <c r="AD985" s="76"/>
      <c r="AE985" s="76"/>
      <c r="AF985" s="76"/>
      <c r="AG985" s="76"/>
      <c r="AH985" s="76"/>
      <c r="AI985" s="76"/>
      <c r="AJ985" s="76"/>
      <c r="AK985" s="76"/>
      <c r="AL985" s="77"/>
      <c r="AM985" s="76"/>
      <c r="AN985" s="76"/>
    </row>
    <row r="986" spans="1:40" ht="15">
      <c r="A986" s="83" t="e">
        <f>IF(#REF!&lt;&gt;#REF!,1,A985+1)</f>
        <v>#REF!</v>
      </c>
      <c r="O986" s="79"/>
      <c r="P986" s="79"/>
      <c r="Q986" s="76"/>
      <c r="R986" s="77"/>
      <c r="S986" s="76"/>
      <c r="T986" s="77"/>
      <c r="U986" s="76"/>
      <c r="V986" s="77"/>
      <c r="W986" s="76"/>
      <c r="X986" s="77"/>
      <c r="Y986" s="76"/>
      <c r="Z986" s="76"/>
      <c r="AA986" s="76"/>
      <c r="AB986" s="76"/>
      <c r="AC986" s="76"/>
      <c r="AD986" s="76"/>
      <c r="AE986" s="76"/>
      <c r="AF986" s="76"/>
      <c r="AG986" s="76"/>
      <c r="AH986" s="76"/>
      <c r="AI986" s="76"/>
      <c r="AJ986" s="76"/>
      <c r="AK986" s="76"/>
      <c r="AL986" s="77"/>
      <c r="AM986" s="76"/>
      <c r="AN986" s="76"/>
    </row>
    <row r="987" spans="1:40" ht="15">
      <c r="A987" s="83" t="e">
        <f>IF(#REF!&lt;&gt;#REF!,1,A986+1)</f>
        <v>#REF!</v>
      </c>
      <c r="O987" s="79"/>
      <c r="P987" s="79"/>
      <c r="Q987" s="76"/>
      <c r="R987" s="77"/>
      <c r="S987" s="76"/>
      <c r="T987" s="77"/>
      <c r="U987" s="76"/>
      <c r="V987" s="77"/>
      <c r="W987" s="76"/>
      <c r="X987" s="77"/>
      <c r="Y987" s="76"/>
      <c r="Z987" s="76"/>
      <c r="AA987" s="76"/>
      <c r="AB987" s="76"/>
      <c r="AC987" s="76"/>
      <c r="AD987" s="76"/>
      <c r="AE987" s="76"/>
      <c r="AF987" s="76"/>
      <c r="AG987" s="76"/>
      <c r="AH987" s="76"/>
      <c r="AI987" s="76"/>
      <c r="AJ987" s="76"/>
      <c r="AK987" s="76"/>
      <c r="AL987" s="77"/>
      <c r="AM987" s="76"/>
      <c r="AN987" s="76"/>
    </row>
    <row r="988" spans="1:40" ht="15">
      <c r="A988" s="83" t="e">
        <f>IF(#REF!&lt;&gt;#REF!,1,A987+1)</f>
        <v>#REF!</v>
      </c>
      <c r="O988" s="79"/>
      <c r="P988" s="79"/>
      <c r="Q988" s="76"/>
      <c r="R988" s="77"/>
      <c r="S988" s="76"/>
      <c r="T988" s="77"/>
      <c r="U988" s="76"/>
      <c r="V988" s="77"/>
      <c r="W988" s="76"/>
      <c r="X988" s="77"/>
      <c r="Y988" s="76"/>
      <c r="Z988" s="76"/>
      <c r="AA988" s="76"/>
      <c r="AB988" s="76"/>
      <c r="AC988" s="76"/>
      <c r="AD988" s="76"/>
      <c r="AE988" s="76"/>
      <c r="AF988" s="76"/>
      <c r="AG988" s="76"/>
      <c r="AH988" s="76"/>
      <c r="AI988" s="76"/>
      <c r="AJ988" s="76"/>
      <c r="AK988" s="76"/>
      <c r="AL988" s="77"/>
      <c r="AM988" s="76"/>
      <c r="AN988" s="76"/>
    </row>
    <row r="989" spans="1:40" ht="15">
      <c r="A989" s="83" t="e">
        <f>IF(#REF!&lt;&gt;#REF!,1,A988+1)</f>
        <v>#REF!</v>
      </c>
      <c r="O989" s="79"/>
      <c r="P989" s="79"/>
      <c r="Q989" s="76"/>
      <c r="R989" s="77"/>
      <c r="S989" s="76"/>
      <c r="T989" s="77"/>
      <c r="U989" s="76"/>
      <c r="V989" s="77"/>
      <c r="W989" s="76"/>
      <c r="X989" s="77"/>
      <c r="Y989" s="76"/>
      <c r="Z989" s="76"/>
      <c r="AA989" s="76"/>
      <c r="AB989" s="76"/>
      <c r="AC989" s="76"/>
      <c r="AD989" s="76"/>
      <c r="AE989" s="76"/>
      <c r="AF989" s="76"/>
      <c r="AG989" s="76"/>
      <c r="AH989" s="76"/>
      <c r="AI989" s="76"/>
      <c r="AJ989" s="76"/>
      <c r="AK989" s="76"/>
      <c r="AL989" s="77"/>
      <c r="AM989" s="76"/>
      <c r="AN989" s="76"/>
    </row>
    <row r="990" spans="1:40" ht="15">
      <c r="A990" s="83" t="e">
        <f>IF(#REF!&lt;&gt;#REF!,1,A989+1)</f>
        <v>#REF!</v>
      </c>
      <c r="O990" s="79"/>
      <c r="P990" s="79"/>
      <c r="Q990" s="76"/>
      <c r="R990" s="77"/>
      <c r="S990" s="76"/>
      <c r="T990" s="77"/>
      <c r="U990" s="76"/>
      <c r="V990" s="77"/>
      <c r="W990" s="76"/>
      <c r="X990" s="77"/>
      <c r="Y990" s="76"/>
      <c r="Z990" s="76"/>
      <c r="AA990" s="76"/>
      <c r="AB990" s="76"/>
      <c r="AC990" s="76"/>
      <c r="AD990" s="76"/>
      <c r="AE990" s="76"/>
      <c r="AF990" s="76"/>
      <c r="AG990" s="76"/>
      <c r="AH990" s="76"/>
      <c r="AI990" s="76"/>
      <c r="AJ990" s="76"/>
      <c r="AK990" s="76"/>
      <c r="AL990" s="77"/>
      <c r="AM990" s="76"/>
      <c r="AN990" s="76"/>
    </row>
    <row r="991" spans="1:40" ht="15">
      <c r="A991" s="83" t="e">
        <f>IF(#REF!&lt;&gt;#REF!,1,A990+1)</f>
        <v>#REF!</v>
      </c>
      <c r="O991" s="79"/>
      <c r="P991" s="79"/>
      <c r="Q991" s="76"/>
      <c r="R991" s="77"/>
      <c r="S991" s="76"/>
      <c r="T991" s="77"/>
      <c r="U991" s="76"/>
      <c r="V991" s="77"/>
      <c r="W991" s="76"/>
      <c r="X991" s="77"/>
      <c r="Y991" s="76"/>
      <c r="Z991" s="76"/>
      <c r="AA991" s="76"/>
      <c r="AB991" s="76"/>
      <c r="AC991" s="76"/>
      <c r="AD991" s="76"/>
      <c r="AE991" s="76"/>
      <c r="AF991" s="76"/>
      <c r="AG991" s="76"/>
      <c r="AH991" s="76"/>
      <c r="AI991" s="76"/>
      <c r="AJ991" s="76"/>
      <c r="AK991" s="76"/>
      <c r="AL991" s="77"/>
      <c r="AM991" s="76"/>
      <c r="AN991" s="76"/>
    </row>
    <row r="992" spans="1:40" ht="15">
      <c r="A992" s="83" t="e">
        <f>IF(#REF!&lt;&gt;#REF!,1,A991+1)</f>
        <v>#REF!</v>
      </c>
      <c r="O992" s="79"/>
      <c r="P992" s="79"/>
      <c r="Q992" s="76"/>
      <c r="R992" s="77"/>
      <c r="S992" s="76"/>
      <c r="T992" s="77"/>
      <c r="U992" s="76"/>
      <c r="V992" s="77"/>
      <c r="W992" s="76"/>
      <c r="X992" s="77"/>
      <c r="Y992" s="76"/>
      <c r="Z992" s="76"/>
      <c r="AA992" s="76"/>
      <c r="AB992" s="76"/>
      <c r="AC992" s="76"/>
      <c r="AD992" s="76"/>
      <c r="AE992" s="76"/>
      <c r="AF992" s="76"/>
      <c r="AG992" s="76"/>
      <c r="AH992" s="76"/>
      <c r="AI992" s="76"/>
      <c r="AJ992" s="76"/>
      <c r="AK992" s="76"/>
      <c r="AL992" s="77"/>
      <c r="AM992" s="76"/>
      <c r="AN992" s="76"/>
    </row>
    <row r="993" spans="1:40" ht="15">
      <c r="A993" s="83" t="e">
        <f>IF(#REF!&lt;&gt;#REF!,1,A992+1)</f>
        <v>#REF!</v>
      </c>
      <c r="O993" s="79"/>
      <c r="P993" s="79"/>
      <c r="Q993" s="76"/>
      <c r="R993" s="77"/>
      <c r="S993" s="76"/>
      <c r="T993" s="77"/>
      <c r="U993" s="76"/>
      <c r="V993" s="77"/>
      <c r="W993" s="76"/>
      <c r="X993" s="77"/>
      <c r="Y993" s="76"/>
      <c r="Z993" s="76"/>
      <c r="AA993" s="76"/>
      <c r="AB993" s="76"/>
      <c r="AC993" s="76"/>
      <c r="AD993" s="76"/>
      <c r="AE993" s="76"/>
      <c r="AF993" s="76"/>
      <c r="AG993" s="76"/>
      <c r="AH993" s="76"/>
      <c r="AI993" s="76"/>
      <c r="AJ993" s="76"/>
      <c r="AK993" s="76"/>
      <c r="AL993" s="77"/>
      <c r="AM993" s="76"/>
      <c r="AN993" s="76"/>
    </row>
    <row r="994" spans="1:40" ht="15">
      <c r="A994" s="83" t="e">
        <f>IF(#REF!&lt;&gt;#REF!,1,A993+1)</f>
        <v>#REF!</v>
      </c>
      <c r="O994" s="79"/>
      <c r="P994" s="79"/>
      <c r="Q994" s="76"/>
      <c r="R994" s="77"/>
      <c r="S994" s="76"/>
      <c r="T994" s="77"/>
      <c r="U994" s="76"/>
      <c r="V994" s="77"/>
      <c r="W994" s="76"/>
      <c r="X994" s="77"/>
      <c r="Y994" s="76"/>
      <c r="Z994" s="76"/>
      <c r="AA994" s="76"/>
      <c r="AB994" s="76"/>
      <c r="AC994" s="76"/>
      <c r="AD994" s="76"/>
      <c r="AE994" s="76"/>
      <c r="AF994" s="76"/>
      <c r="AG994" s="76"/>
      <c r="AH994" s="76"/>
      <c r="AI994" s="76"/>
      <c r="AJ994" s="76"/>
      <c r="AK994" s="76"/>
      <c r="AL994" s="77"/>
      <c r="AM994" s="76"/>
      <c r="AN994" s="76"/>
    </row>
    <row r="995" spans="1:40" ht="15">
      <c r="A995" s="83" t="e">
        <f>IF(#REF!&lt;&gt;#REF!,1,A994+1)</f>
        <v>#REF!</v>
      </c>
      <c r="O995" s="79"/>
      <c r="P995" s="79"/>
      <c r="Q995" s="76"/>
      <c r="R995" s="77"/>
      <c r="S995" s="76"/>
      <c r="T995" s="77"/>
      <c r="U995" s="76"/>
      <c r="V995" s="77"/>
      <c r="W995" s="76"/>
      <c r="X995" s="77"/>
      <c r="Y995" s="76"/>
      <c r="Z995" s="76"/>
      <c r="AA995" s="76"/>
      <c r="AB995" s="76"/>
      <c r="AC995" s="76"/>
      <c r="AD995" s="76"/>
      <c r="AE995" s="76"/>
      <c r="AF995" s="76"/>
      <c r="AG995" s="76"/>
      <c r="AH995" s="76"/>
      <c r="AI995" s="76"/>
      <c r="AJ995" s="76"/>
      <c r="AK995" s="76"/>
      <c r="AL995" s="77"/>
      <c r="AM995" s="76"/>
      <c r="AN995" s="76"/>
    </row>
    <row r="996" spans="1:40" ht="15">
      <c r="A996" s="83" t="e">
        <f>IF(#REF!&lt;&gt;#REF!,1,A995+1)</f>
        <v>#REF!</v>
      </c>
      <c r="O996" s="79"/>
      <c r="P996" s="79"/>
      <c r="Q996" s="76"/>
      <c r="R996" s="77"/>
      <c r="S996" s="76"/>
      <c r="T996" s="77"/>
      <c r="U996" s="76"/>
      <c r="V996" s="77"/>
      <c r="W996" s="76"/>
      <c r="X996" s="77"/>
      <c r="Y996" s="76"/>
      <c r="Z996" s="76"/>
      <c r="AA996" s="76"/>
      <c r="AB996" s="76"/>
      <c r="AC996" s="76"/>
      <c r="AD996" s="76"/>
      <c r="AE996" s="76"/>
      <c r="AF996" s="76"/>
      <c r="AG996" s="76"/>
      <c r="AH996" s="76"/>
      <c r="AI996" s="76"/>
      <c r="AJ996" s="76"/>
      <c r="AK996" s="76"/>
      <c r="AL996" s="77"/>
      <c r="AM996" s="76"/>
      <c r="AN996" s="76"/>
    </row>
    <row r="997" spans="1:40" ht="15">
      <c r="A997" s="83" t="e">
        <f>IF(#REF!&lt;&gt;#REF!,1,A996+1)</f>
        <v>#REF!</v>
      </c>
      <c r="O997" s="79"/>
      <c r="P997" s="79"/>
      <c r="Q997" s="76"/>
      <c r="R997" s="77"/>
      <c r="S997" s="76"/>
      <c r="T997" s="77"/>
      <c r="U997" s="76"/>
      <c r="V997" s="77"/>
      <c r="W997" s="76"/>
      <c r="X997" s="77"/>
      <c r="Y997" s="76"/>
      <c r="Z997" s="76"/>
      <c r="AA997" s="76"/>
      <c r="AB997" s="76"/>
      <c r="AC997" s="76"/>
      <c r="AD997" s="76"/>
      <c r="AE997" s="76"/>
      <c r="AF997" s="76"/>
      <c r="AG997" s="76"/>
      <c r="AH997" s="76"/>
      <c r="AI997" s="76"/>
      <c r="AJ997" s="76"/>
      <c r="AK997" s="76"/>
      <c r="AL997" s="77"/>
      <c r="AM997" s="76"/>
      <c r="AN997" s="76"/>
    </row>
    <row r="998" spans="1:40" ht="15">
      <c r="A998" s="83" t="e">
        <f>IF(#REF!&lt;&gt;#REF!,1,A997+1)</f>
        <v>#REF!</v>
      </c>
      <c r="O998" s="79"/>
      <c r="P998" s="79"/>
      <c r="Q998" s="76"/>
      <c r="R998" s="77"/>
      <c r="S998" s="76"/>
      <c r="T998" s="77"/>
      <c r="U998" s="76"/>
      <c r="V998" s="77"/>
      <c r="W998" s="76"/>
      <c r="X998" s="77"/>
      <c r="Y998" s="76"/>
      <c r="Z998" s="76"/>
      <c r="AA998" s="76"/>
      <c r="AB998" s="76"/>
      <c r="AC998" s="76"/>
      <c r="AD998" s="76"/>
      <c r="AE998" s="76"/>
      <c r="AF998" s="76"/>
      <c r="AG998" s="76"/>
      <c r="AH998" s="76"/>
      <c r="AI998" s="76"/>
      <c r="AJ998" s="76"/>
      <c r="AK998" s="76"/>
      <c r="AL998" s="77"/>
      <c r="AM998" s="76"/>
      <c r="AN998" s="76"/>
    </row>
    <row r="999" spans="1:40" ht="15">
      <c r="A999" s="83" t="e">
        <f>IF(#REF!&lt;&gt;#REF!,1,A998+1)</f>
        <v>#REF!</v>
      </c>
      <c r="O999" s="79"/>
      <c r="P999" s="79"/>
      <c r="Q999" s="76"/>
      <c r="R999" s="77"/>
      <c r="S999" s="76"/>
      <c r="T999" s="77"/>
      <c r="U999" s="76"/>
      <c r="V999" s="77"/>
      <c r="W999" s="76"/>
      <c r="X999" s="77"/>
      <c r="Y999" s="76"/>
      <c r="Z999" s="76"/>
      <c r="AA999" s="76"/>
      <c r="AB999" s="76"/>
      <c r="AC999" s="76"/>
      <c r="AD999" s="76"/>
      <c r="AE999" s="76"/>
      <c r="AF999" s="76"/>
      <c r="AG999" s="76"/>
      <c r="AH999" s="76"/>
      <c r="AI999" s="76"/>
      <c r="AJ999" s="76"/>
      <c r="AK999" s="76"/>
      <c r="AL999" s="77"/>
      <c r="AM999" s="76"/>
      <c r="AN999" s="76"/>
    </row>
    <row r="1000" spans="1:40" ht="15">
      <c r="A1000" s="83" t="e">
        <f>IF(#REF!&lt;&gt;#REF!,1,A999+1)</f>
        <v>#REF!</v>
      </c>
      <c r="O1000" s="79"/>
      <c r="P1000" s="79"/>
      <c r="Q1000" s="76"/>
      <c r="R1000" s="77"/>
      <c r="S1000" s="76"/>
      <c r="T1000" s="77"/>
      <c r="U1000" s="76"/>
      <c r="V1000" s="77"/>
      <c r="W1000" s="76"/>
      <c r="X1000" s="77"/>
      <c r="Y1000" s="76"/>
      <c r="Z1000" s="76"/>
      <c r="AA1000" s="76"/>
      <c r="AB1000" s="76"/>
      <c r="AC1000" s="76"/>
      <c r="AD1000" s="76"/>
      <c r="AE1000" s="76"/>
      <c r="AF1000" s="76"/>
      <c r="AG1000" s="76"/>
      <c r="AH1000" s="76"/>
      <c r="AI1000" s="76"/>
      <c r="AJ1000" s="76"/>
      <c r="AK1000" s="76"/>
      <c r="AL1000" s="77"/>
      <c r="AM1000" s="76"/>
      <c r="AN1000" s="76"/>
    </row>
    <row r="1001" spans="1:40" ht="15">
      <c r="A1001" s="83" t="e">
        <f>IF(#REF!&lt;&gt;#REF!,1,A1000+1)</f>
        <v>#REF!</v>
      </c>
      <c r="O1001" s="79"/>
      <c r="P1001" s="79"/>
      <c r="Q1001" s="76"/>
      <c r="R1001" s="77"/>
      <c r="S1001" s="76"/>
      <c r="T1001" s="77"/>
      <c r="U1001" s="76"/>
      <c r="V1001" s="77"/>
      <c r="W1001" s="76"/>
      <c r="X1001" s="77"/>
      <c r="Y1001" s="76"/>
      <c r="Z1001" s="76"/>
      <c r="AA1001" s="76"/>
      <c r="AB1001" s="76"/>
      <c r="AC1001" s="76"/>
      <c r="AD1001" s="76"/>
      <c r="AE1001" s="76"/>
      <c r="AF1001" s="76"/>
      <c r="AG1001" s="76"/>
      <c r="AH1001" s="76"/>
      <c r="AI1001" s="76"/>
      <c r="AJ1001" s="76"/>
      <c r="AK1001" s="76"/>
      <c r="AL1001" s="77"/>
      <c r="AM1001" s="76"/>
      <c r="AN1001" s="76"/>
    </row>
    <row r="1002" spans="1:40" ht="15">
      <c r="A1002" s="83" t="e">
        <f>IF(#REF!&lt;&gt;#REF!,1,A1001+1)</f>
        <v>#REF!</v>
      </c>
      <c r="O1002" s="79"/>
      <c r="P1002" s="79"/>
      <c r="Q1002" s="76"/>
      <c r="R1002" s="77"/>
      <c r="S1002" s="76"/>
      <c r="T1002" s="77"/>
      <c r="U1002" s="76"/>
      <c r="V1002" s="77"/>
      <c r="W1002" s="76"/>
      <c r="X1002" s="77"/>
      <c r="Y1002" s="76"/>
      <c r="Z1002" s="76"/>
      <c r="AA1002" s="76"/>
      <c r="AB1002" s="76"/>
      <c r="AC1002" s="76"/>
      <c r="AD1002" s="76"/>
      <c r="AE1002" s="76"/>
      <c r="AF1002" s="76"/>
      <c r="AG1002" s="76"/>
      <c r="AH1002" s="76"/>
      <c r="AI1002" s="76"/>
      <c r="AJ1002" s="76"/>
      <c r="AK1002" s="76"/>
      <c r="AL1002" s="77"/>
      <c r="AM1002" s="76"/>
      <c r="AN1002" s="76"/>
    </row>
    <row r="1003" spans="1:40" ht="15">
      <c r="A1003" s="83" t="e">
        <f>IF(#REF!&lt;&gt;#REF!,1,A1002+1)</f>
        <v>#REF!</v>
      </c>
      <c r="O1003" s="79"/>
      <c r="P1003" s="79"/>
      <c r="Q1003" s="76"/>
      <c r="R1003" s="77"/>
      <c r="S1003" s="76"/>
      <c r="T1003" s="77"/>
      <c r="U1003" s="76"/>
      <c r="V1003" s="77"/>
      <c r="W1003" s="76"/>
      <c r="X1003" s="77"/>
      <c r="Y1003" s="76"/>
      <c r="Z1003" s="76"/>
      <c r="AA1003" s="76"/>
      <c r="AB1003" s="76"/>
      <c r="AC1003" s="76"/>
      <c r="AD1003" s="76"/>
      <c r="AE1003" s="76"/>
      <c r="AF1003" s="76"/>
      <c r="AG1003" s="76"/>
      <c r="AH1003" s="76"/>
      <c r="AI1003" s="76"/>
      <c r="AJ1003" s="76"/>
      <c r="AK1003" s="76"/>
      <c r="AL1003" s="77"/>
      <c r="AM1003" s="76"/>
      <c r="AN1003" s="76"/>
    </row>
    <row r="1004" spans="1:40" ht="15">
      <c r="A1004" s="83" t="e">
        <f>IF(#REF!&lt;&gt;#REF!,1,A1003+1)</f>
        <v>#REF!</v>
      </c>
      <c r="O1004" s="79"/>
      <c r="P1004" s="79"/>
      <c r="Q1004" s="76"/>
      <c r="R1004" s="77"/>
      <c r="S1004" s="76"/>
      <c r="T1004" s="77"/>
      <c r="U1004" s="76"/>
      <c r="V1004" s="77"/>
      <c r="W1004" s="76"/>
      <c r="X1004" s="77"/>
      <c r="Y1004" s="76"/>
      <c r="Z1004" s="76"/>
      <c r="AA1004" s="76"/>
      <c r="AB1004" s="76"/>
      <c r="AC1004" s="76"/>
      <c r="AD1004" s="76"/>
      <c r="AE1004" s="76"/>
      <c r="AF1004" s="76"/>
      <c r="AG1004" s="76"/>
      <c r="AH1004" s="76"/>
      <c r="AI1004" s="76"/>
      <c r="AJ1004" s="76"/>
      <c r="AK1004" s="76"/>
      <c r="AL1004" s="77"/>
      <c r="AM1004" s="76"/>
      <c r="AN1004" s="76"/>
    </row>
    <row r="1005" spans="1:40" ht="15">
      <c r="A1005" s="83" t="e">
        <f>IF(#REF!&lt;&gt;#REF!,1,A1004+1)</f>
        <v>#REF!</v>
      </c>
      <c r="O1005" s="79"/>
      <c r="P1005" s="79"/>
      <c r="Q1005" s="76"/>
      <c r="R1005" s="77"/>
      <c r="S1005" s="76"/>
      <c r="T1005" s="77"/>
      <c r="U1005" s="76"/>
      <c r="V1005" s="77"/>
      <c r="W1005" s="76"/>
      <c r="X1005" s="77"/>
      <c r="Y1005" s="76"/>
      <c r="Z1005" s="76"/>
      <c r="AA1005" s="76"/>
      <c r="AB1005" s="76"/>
      <c r="AC1005" s="76"/>
      <c r="AD1005" s="76"/>
      <c r="AE1005" s="76"/>
      <c r="AF1005" s="76"/>
      <c r="AG1005" s="76"/>
      <c r="AH1005" s="76"/>
      <c r="AI1005" s="76"/>
      <c r="AJ1005" s="76"/>
      <c r="AK1005" s="76"/>
      <c r="AL1005" s="77"/>
      <c r="AM1005" s="76"/>
      <c r="AN1005" s="76"/>
    </row>
    <row r="1006" spans="1:40" ht="15">
      <c r="A1006" s="83" t="e">
        <f>IF(#REF!&lt;&gt;#REF!,1,A1005+1)</f>
        <v>#REF!</v>
      </c>
      <c r="O1006" s="79"/>
      <c r="P1006" s="79"/>
      <c r="Q1006" s="76"/>
      <c r="R1006" s="77"/>
      <c r="S1006" s="76"/>
      <c r="T1006" s="77"/>
      <c r="U1006" s="76"/>
      <c r="V1006" s="77"/>
      <c r="W1006" s="76"/>
      <c r="X1006" s="77"/>
      <c r="Y1006" s="76"/>
      <c r="Z1006" s="76"/>
      <c r="AA1006" s="76"/>
      <c r="AB1006" s="76"/>
      <c r="AC1006" s="76"/>
      <c r="AD1006" s="76"/>
      <c r="AE1006" s="76"/>
      <c r="AF1006" s="76"/>
      <c r="AG1006" s="76"/>
      <c r="AH1006" s="76"/>
      <c r="AI1006" s="76"/>
      <c r="AJ1006" s="76"/>
      <c r="AK1006" s="76"/>
      <c r="AL1006" s="77"/>
      <c r="AM1006" s="76"/>
      <c r="AN1006" s="76"/>
    </row>
    <row r="1007" spans="1:40" ht="15">
      <c r="A1007" s="83" t="e">
        <f>IF(#REF!&lt;&gt;#REF!,1,A1006+1)</f>
        <v>#REF!</v>
      </c>
      <c r="O1007" s="79"/>
      <c r="P1007" s="79"/>
      <c r="Q1007" s="76"/>
      <c r="R1007" s="77"/>
      <c r="S1007" s="76"/>
      <c r="T1007" s="77"/>
      <c r="U1007" s="76"/>
      <c r="V1007" s="77"/>
      <c r="W1007" s="76"/>
      <c r="X1007" s="77"/>
      <c r="Y1007" s="76"/>
      <c r="Z1007" s="76"/>
      <c r="AA1007" s="76"/>
      <c r="AB1007" s="76"/>
      <c r="AC1007" s="76"/>
      <c r="AD1007" s="76"/>
      <c r="AE1007" s="76"/>
      <c r="AF1007" s="76"/>
      <c r="AG1007" s="76"/>
      <c r="AH1007" s="76"/>
      <c r="AI1007" s="76"/>
      <c r="AJ1007" s="76"/>
      <c r="AK1007" s="76"/>
      <c r="AL1007" s="77"/>
      <c r="AM1007" s="76"/>
      <c r="AN1007" s="76"/>
    </row>
    <row r="1008" spans="1:40" ht="15">
      <c r="A1008" s="83" t="e">
        <f>IF(#REF!&lt;&gt;#REF!,1,A1007+1)</f>
        <v>#REF!</v>
      </c>
      <c r="O1008" s="79"/>
      <c r="P1008" s="79"/>
      <c r="Q1008" s="76"/>
      <c r="R1008" s="77"/>
      <c r="S1008" s="76"/>
      <c r="T1008" s="77"/>
      <c r="U1008" s="76"/>
      <c r="V1008" s="77"/>
      <c r="W1008" s="76"/>
      <c r="X1008" s="77"/>
      <c r="Y1008" s="76"/>
      <c r="Z1008" s="76"/>
      <c r="AA1008" s="76"/>
      <c r="AB1008" s="76"/>
      <c r="AC1008" s="76"/>
      <c r="AD1008" s="76"/>
      <c r="AE1008" s="76"/>
      <c r="AF1008" s="76"/>
      <c r="AG1008" s="76"/>
      <c r="AH1008" s="76"/>
      <c r="AI1008" s="76"/>
      <c r="AJ1008" s="76"/>
      <c r="AK1008" s="76"/>
      <c r="AL1008" s="77"/>
      <c r="AM1008" s="76"/>
      <c r="AN1008" s="76"/>
    </row>
    <row r="1009" spans="1:40" ht="15">
      <c r="A1009" s="83" t="e">
        <f>IF(#REF!&lt;&gt;#REF!,1,A1008+1)</f>
        <v>#REF!</v>
      </c>
      <c r="O1009" s="79"/>
      <c r="P1009" s="79"/>
      <c r="Q1009" s="76"/>
      <c r="R1009" s="77"/>
      <c r="S1009" s="76"/>
      <c r="T1009" s="77"/>
      <c r="U1009" s="76"/>
      <c r="V1009" s="77"/>
      <c r="W1009" s="76"/>
      <c r="X1009" s="77"/>
      <c r="Y1009" s="76"/>
      <c r="Z1009" s="76"/>
      <c r="AA1009" s="76"/>
      <c r="AB1009" s="76"/>
      <c r="AC1009" s="76"/>
      <c r="AD1009" s="76"/>
      <c r="AE1009" s="76"/>
      <c r="AF1009" s="76"/>
      <c r="AG1009" s="76"/>
      <c r="AH1009" s="76"/>
      <c r="AI1009" s="76"/>
      <c r="AJ1009" s="76"/>
      <c r="AK1009" s="76"/>
      <c r="AL1009" s="77"/>
      <c r="AM1009" s="76"/>
      <c r="AN1009" s="76"/>
    </row>
    <row r="1010" spans="1:40" ht="15">
      <c r="A1010" s="83" t="e">
        <f>IF(#REF!&lt;&gt;#REF!,1,A1009+1)</f>
        <v>#REF!</v>
      </c>
      <c r="O1010" s="79"/>
      <c r="P1010" s="79"/>
      <c r="Q1010" s="76"/>
      <c r="R1010" s="77"/>
      <c r="S1010" s="76"/>
      <c r="T1010" s="77"/>
      <c r="U1010" s="76"/>
      <c r="V1010" s="77"/>
      <c r="W1010" s="76"/>
      <c r="X1010" s="77"/>
      <c r="Y1010" s="76"/>
      <c r="Z1010" s="76"/>
      <c r="AA1010" s="76"/>
      <c r="AB1010" s="76"/>
      <c r="AC1010" s="76"/>
      <c r="AD1010" s="76"/>
      <c r="AE1010" s="76"/>
      <c r="AF1010" s="76"/>
      <c r="AG1010" s="76"/>
      <c r="AH1010" s="76"/>
      <c r="AI1010" s="76"/>
      <c r="AJ1010" s="76"/>
      <c r="AK1010" s="76"/>
      <c r="AL1010" s="77"/>
      <c r="AM1010" s="76"/>
      <c r="AN1010" s="76"/>
    </row>
    <row r="1011" spans="1:40" ht="15">
      <c r="A1011" s="83" t="e">
        <f>IF(#REF!&lt;&gt;#REF!,1,A1010+1)</f>
        <v>#REF!</v>
      </c>
      <c r="O1011" s="79"/>
      <c r="P1011" s="79"/>
      <c r="Q1011" s="76"/>
      <c r="R1011" s="77"/>
      <c r="S1011" s="76"/>
      <c r="T1011" s="77"/>
      <c r="U1011" s="76"/>
      <c r="V1011" s="77"/>
      <c r="W1011" s="76"/>
      <c r="X1011" s="77"/>
      <c r="Y1011" s="76"/>
      <c r="Z1011" s="76"/>
      <c r="AA1011" s="76"/>
      <c r="AB1011" s="76"/>
      <c r="AC1011" s="76"/>
      <c r="AD1011" s="76"/>
      <c r="AE1011" s="76"/>
      <c r="AF1011" s="76"/>
      <c r="AG1011" s="76"/>
      <c r="AH1011" s="76"/>
      <c r="AI1011" s="76"/>
      <c r="AJ1011" s="76"/>
      <c r="AK1011" s="76"/>
      <c r="AL1011" s="77"/>
      <c r="AM1011" s="76"/>
      <c r="AN1011" s="76"/>
    </row>
    <row r="1012" spans="1:40" ht="15">
      <c r="A1012" s="83" t="e">
        <f>IF(#REF!&lt;&gt;#REF!,1,A1011+1)</f>
        <v>#REF!</v>
      </c>
      <c r="O1012" s="79"/>
      <c r="P1012" s="79"/>
      <c r="Q1012" s="76"/>
      <c r="R1012" s="77"/>
      <c r="S1012" s="76"/>
      <c r="T1012" s="77"/>
      <c r="U1012" s="76"/>
      <c r="V1012" s="77"/>
      <c r="W1012" s="76"/>
      <c r="X1012" s="77"/>
      <c r="Y1012" s="76"/>
      <c r="Z1012" s="76"/>
      <c r="AA1012" s="76"/>
      <c r="AB1012" s="76"/>
      <c r="AC1012" s="76"/>
      <c r="AD1012" s="76"/>
      <c r="AE1012" s="76"/>
      <c r="AF1012" s="76"/>
      <c r="AG1012" s="76"/>
      <c r="AH1012" s="76"/>
      <c r="AI1012" s="76"/>
      <c r="AJ1012" s="76"/>
      <c r="AK1012" s="76"/>
      <c r="AL1012" s="77"/>
      <c r="AM1012" s="76"/>
      <c r="AN1012" s="76"/>
    </row>
    <row r="1013" spans="1:40" ht="15">
      <c r="A1013" s="83" t="e">
        <f>IF(#REF!&lt;&gt;#REF!,1,A1012+1)</f>
        <v>#REF!</v>
      </c>
      <c r="O1013" s="79"/>
      <c r="P1013" s="79"/>
      <c r="Q1013" s="76"/>
      <c r="R1013" s="77"/>
      <c r="S1013" s="76"/>
      <c r="T1013" s="77"/>
      <c r="U1013" s="76"/>
      <c r="V1013" s="77"/>
      <c r="W1013" s="76"/>
      <c r="X1013" s="77"/>
      <c r="Y1013" s="76"/>
      <c r="Z1013" s="76"/>
      <c r="AA1013" s="76"/>
      <c r="AB1013" s="76"/>
      <c r="AC1013" s="76"/>
      <c r="AD1013" s="76"/>
      <c r="AE1013" s="76"/>
      <c r="AF1013" s="76"/>
      <c r="AG1013" s="76"/>
      <c r="AH1013" s="76"/>
      <c r="AI1013" s="76"/>
      <c r="AJ1013" s="76"/>
      <c r="AK1013" s="76"/>
      <c r="AL1013" s="77"/>
      <c r="AM1013" s="76"/>
      <c r="AN1013" s="76"/>
    </row>
    <row r="1014" spans="1:40" ht="15">
      <c r="A1014" s="83" t="e">
        <f>IF(#REF!&lt;&gt;#REF!,1,A1013+1)</f>
        <v>#REF!</v>
      </c>
      <c r="O1014" s="79"/>
      <c r="P1014" s="79"/>
      <c r="Q1014" s="76"/>
      <c r="R1014" s="77"/>
      <c r="S1014" s="76"/>
      <c r="T1014" s="77"/>
      <c r="U1014" s="76"/>
      <c r="V1014" s="77"/>
      <c r="W1014" s="76"/>
      <c r="X1014" s="77"/>
      <c r="Y1014" s="76"/>
      <c r="Z1014" s="76"/>
      <c r="AA1014" s="76"/>
      <c r="AB1014" s="76"/>
      <c r="AC1014" s="76"/>
      <c r="AD1014" s="76"/>
      <c r="AE1014" s="76"/>
      <c r="AF1014" s="76"/>
      <c r="AG1014" s="76"/>
      <c r="AH1014" s="76"/>
      <c r="AI1014" s="76"/>
      <c r="AJ1014" s="76"/>
      <c r="AK1014" s="76"/>
      <c r="AL1014" s="77"/>
      <c r="AM1014" s="76"/>
      <c r="AN1014" s="76"/>
    </row>
    <row r="1015" spans="1:40" ht="15">
      <c r="A1015" s="83" t="e">
        <f>IF(#REF!&lt;&gt;#REF!,1,A1014+1)</f>
        <v>#REF!</v>
      </c>
      <c r="O1015" s="79"/>
      <c r="P1015" s="79"/>
      <c r="Q1015" s="76"/>
      <c r="R1015" s="77"/>
      <c r="S1015" s="76"/>
      <c r="T1015" s="77"/>
      <c r="U1015" s="76"/>
      <c r="V1015" s="77"/>
      <c r="W1015" s="76"/>
      <c r="X1015" s="77"/>
      <c r="Y1015" s="76"/>
      <c r="Z1015" s="76"/>
      <c r="AA1015" s="76"/>
      <c r="AB1015" s="76"/>
      <c r="AC1015" s="76"/>
      <c r="AD1015" s="76"/>
      <c r="AE1015" s="76"/>
      <c r="AF1015" s="76"/>
      <c r="AG1015" s="76"/>
      <c r="AH1015" s="76"/>
      <c r="AI1015" s="76"/>
      <c r="AJ1015" s="76"/>
      <c r="AK1015" s="76"/>
      <c r="AL1015" s="77"/>
      <c r="AM1015" s="76"/>
      <c r="AN1015" s="76"/>
    </row>
    <row r="1016" spans="1:40" ht="15">
      <c r="A1016" s="83" t="e">
        <f>IF(#REF!&lt;&gt;#REF!,1,A1015+1)</f>
        <v>#REF!</v>
      </c>
      <c r="O1016" s="79"/>
      <c r="P1016" s="79"/>
      <c r="Q1016" s="76"/>
      <c r="R1016" s="77"/>
      <c r="S1016" s="76"/>
      <c r="T1016" s="77"/>
      <c r="U1016" s="76"/>
      <c r="V1016" s="77"/>
      <c r="W1016" s="76"/>
      <c r="X1016" s="77"/>
      <c r="Y1016" s="76"/>
      <c r="Z1016" s="76"/>
      <c r="AA1016" s="76"/>
      <c r="AB1016" s="76"/>
      <c r="AC1016" s="76"/>
      <c r="AD1016" s="76"/>
      <c r="AE1016" s="76"/>
      <c r="AF1016" s="76"/>
      <c r="AG1016" s="76"/>
      <c r="AH1016" s="76"/>
      <c r="AI1016" s="76"/>
      <c r="AJ1016" s="76"/>
      <c r="AK1016" s="76"/>
      <c r="AL1016" s="77"/>
      <c r="AM1016" s="76"/>
      <c r="AN1016" s="76"/>
    </row>
    <row r="1017" spans="1:40" ht="15">
      <c r="A1017" s="83" t="e">
        <f>IF(#REF!&lt;&gt;#REF!,1,A1016+1)</f>
        <v>#REF!</v>
      </c>
      <c r="O1017" s="79"/>
      <c r="P1017" s="79"/>
      <c r="Q1017" s="76"/>
      <c r="R1017" s="77"/>
      <c r="S1017" s="76"/>
      <c r="T1017" s="77"/>
      <c r="U1017" s="76"/>
      <c r="V1017" s="77"/>
      <c r="W1017" s="76"/>
      <c r="X1017" s="77"/>
      <c r="Y1017" s="76"/>
      <c r="Z1017" s="76"/>
      <c r="AA1017" s="76"/>
      <c r="AB1017" s="76"/>
      <c r="AC1017" s="76"/>
      <c r="AD1017" s="76"/>
      <c r="AE1017" s="76"/>
      <c r="AF1017" s="76"/>
      <c r="AG1017" s="76"/>
      <c r="AH1017" s="76"/>
      <c r="AI1017" s="76"/>
      <c r="AJ1017" s="76"/>
      <c r="AK1017" s="76"/>
      <c r="AL1017" s="77"/>
      <c r="AM1017" s="76"/>
      <c r="AN1017" s="76"/>
    </row>
    <row r="1018" spans="1:40" ht="15">
      <c r="A1018" s="83" t="e">
        <f>IF(#REF!&lt;&gt;#REF!,1,A1017+1)</f>
        <v>#REF!</v>
      </c>
      <c r="O1018" s="79"/>
      <c r="P1018" s="79"/>
      <c r="Q1018" s="76"/>
      <c r="R1018" s="77"/>
      <c r="S1018" s="76"/>
      <c r="T1018" s="77"/>
      <c r="U1018" s="76"/>
      <c r="V1018" s="77"/>
      <c r="W1018" s="76"/>
      <c r="X1018" s="77"/>
      <c r="Y1018" s="76"/>
      <c r="Z1018" s="76"/>
      <c r="AA1018" s="76"/>
      <c r="AB1018" s="76"/>
      <c r="AC1018" s="76"/>
      <c r="AD1018" s="76"/>
      <c r="AE1018" s="76"/>
      <c r="AF1018" s="76"/>
      <c r="AG1018" s="76"/>
      <c r="AH1018" s="76"/>
      <c r="AI1018" s="76"/>
      <c r="AJ1018" s="76"/>
      <c r="AK1018" s="76"/>
      <c r="AL1018" s="77"/>
      <c r="AM1018" s="76"/>
      <c r="AN1018" s="76"/>
    </row>
    <row r="1019" spans="1:40" ht="15">
      <c r="A1019" s="83" t="e">
        <f>IF(#REF!&lt;&gt;#REF!,1,A1018+1)</f>
        <v>#REF!</v>
      </c>
      <c r="O1019" s="79"/>
      <c r="P1019" s="79"/>
      <c r="Q1019" s="76"/>
      <c r="R1019" s="77"/>
      <c r="S1019" s="76"/>
      <c r="T1019" s="77"/>
      <c r="U1019" s="76"/>
      <c r="V1019" s="77"/>
      <c r="W1019" s="76"/>
      <c r="X1019" s="77"/>
      <c r="Y1019" s="76"/>
      <c r="Z1019" s="76"/>
      <c r="AA1019" s="76"/>
      <c r="AB1019" s="76"/>
      <c r="AC1019" s="76"/>
      <c r="AD1019" s="76"/>
      <c r="AE1019" s="76"/>
      <c r="AF1019" s="76"/>
      <c r="AG1019" s="76"/>
      <c r="AH1019" s="76"/>
      <c r="AI1019" s="76"/>
      <c r="AJ1019" s="76"/>
      <c r="AK1019" s="76"/>
      <c r="AL1019" s="77"/>
      <c r="AM1019" s="76"/>
      <c r="AN1019" s="76"/>
    </row>
    <row r="1020" spans="1:40" ht="15">
      <c r="A1020" s="83" t="e">
        <f>IF(#REF!&lt;&gt;#REF!,1,A1019+1)</f>
        <v>#REF!</v>
      </c>
      <c r="O1020" s="79"/>
      <c r="P1020" s="79"/>
      <c r="Q1020" s="76"/>
      <c r="R1020" s="77"/>
      <c r="S1020" s="76"/>
      <c r="T1020" s="77"/>
      <c r="U1020" s="76"/>
      <c r="V1020" s="77"/>
      <c r="W1020" s="76"/>
      <c r="X1020" s="77"/>
      <c r="Y1020" s="76"/>
      <c r="Z1020" s="76"/>
      <c r="AA1020" s="76"/>
      <c r="AB1020" s="76"/>
      <c r="AC1020" s="76"/>
      <c r="AD1020" s="76"/>
      <c r="AE1020" s="76"/>
      <c r="AF1020" s="76"/>
      <c r="AG1020" s="76"/>
      <c r="AH1020" s="76"/>
      <c r="AI1020" s="76"/>
      <c r="AJ1020" s="76"/>
      <c r="AK1020" s="76"/>
      <c r="AL1020" s="77"/>
      <c r="AM1020" s="76"/>
      <c r="AN1020" s="76"/>
    </row>
    <row r="1021" spans="1:40" ht="15">
      <c r="A1021" s="83" t="e">
        <f>IF(#REF!&lt;&gt;#REF!,1,A1020+1)</f>
        <v>#REF!</v>
      </c>
      <c r="O1021" s="79"/>
      <c r="P1021" s="79"/>
      <c r="Q1021" s="76"/>
      <c r="R1021" s="77"/>
      <c r="S1021" s="76"/>
      <c r="T1021" s="77"/>
      <c r="U1021" s="76"/>
      <c r="V1021" s="77"/>
      <c r="W1021" s="76"/>
      <c r="X1021" s="77"/>
      <c r="Y1021" s="76"/>
      <c r="Z1021" s="76"/>
      <c r="AA1021" s="76"/>
      <c r="AB1021" s="76"/>
      <c r="AC1021" s="76"/>
      <c r="AD1021" s="76"/>
      <c r="AE1021" s="76"/>
      <c r="AF1021" s="76"/>
      <c r="AG1021" s="76"/>
      <c r="AH1021" s="76"/>
      <c r="AI1021" s="76"/>
      <c r="AJ1021" s="76"/>
      <c r="AK1021" s="76"/>
      <c r="AL1021" s="77"/>
      <c r="AM1021" s="76"/>
      <c r="AN1021" s="76"/>
    </row>
    <row r="1022" spans="1:40" ht="15">
      <c r="A1022" s="83" t="e">
        <f>IF(#REF!&lt;&gt;#REF!,1,A1021+1)</f>
        <v>#REF!</v>
      </c>
      <c r="O1022" s="79"/>
      <c r="P1022" s="79"/>
      <c r="Q1022" s="76"/>
      <c r="R1022" s="77"/>
      <c r="S1022" s="76"/>
      <c r="T1022" s="77"/>
      <c r="U1022" s="76"/>
      <c r="V1022" s="77"/>
      <c r="W1022" s="76"/>
      <c r="X1022" s="77"/>
      <c r="Y1022" s="76"/>
      <c r="Z1022" s="76"/>
      <c r="AA1022" s="76"/>
      <c r="AB1022" s="76"/>
      <c r="AC1022" s="76"/>
      <c r="AD1022" s="76"/>
      <c r="AE1022" s="76"/>
      <c r="AF1022" s="76"/>
      <c r="AG1022" s="76"/>
      <c r="AH1022" s="76"/>
      <c r="AI1022" s="76"/>
      <c r="AJ1022" s="76"/>
      <c r="AK1022" s="76"/>
      <c r="AL1022" s="77"/>
      <c r="AM1022" s="76"/>
      <c r="AN1022" s="76"/>
    </row>
    <row r="1023" spans="1:40" ht="15">
      <c r="A1023" s="83" t="e">
        <f>IF(#REF!&lt;&gt;#REF!,1,A1022+1)</f>
        <v>#REF!</v>
      </c>
      <c r="O1023" s="79"/>
      <c r="P1023" s="79"/>
      <c r="Q1023" s="76"/>
      <c r="R1023" s="77"/>
      <c r="S1023" s="76"/>
      <c r="T1023" s="77"/>
      <c r="U1023" s="76"/>
      <c r="V1023" s="77"/>
      <c r="W1023" s="76"/>
      <c r="X1023" s="77"/>
      <c r="Y1023" s="76"/>
      <c r="Z1023" s="76"/>
      <c r="AA1023" s="76"/>
      <c r="AB1023" s="76"/>
      <c r="AC1023" s="76"/>
      <c r="AD1023" s="76"/>
      <c r="AE1023" s="76"/>
      <c r="AF1023" s="76"/>
      <c r="AG1023" s="76"/>
      <c r="AH1023" s="76"/>
      <c r="AI1023" s="76"/>
      <c r="AJ1023" s="76"/>
      <c r="AK1023" s="76"/>
      <c r="AL1023" s="77"/>
      <c r="AM1023" s="76"/>
      <c r="AN1023" s="76"/>
    </row>
    <row r="1024" spans="1:40" ht="15">
      <c r="A1024" s="83" t="e">
        <f>IF(#REF!&lt;&gt;#REF!,1,A1023+1)</f>
        <v>#REF!</v>
      </c>
      <c r="O1024" s="79"/>
      <c r="P1024" s="79"/>
      <c r="Q1024" s="76"/>
      <c r="R1024" s="77"/>
      <c r="S1024" s="76"/>
      <c r="T1024" s="77"/>
      <c r="U1024" s="76"/>
      <c r="V1024" s="77"/>
      <c r="W1024" s="76"/>
      <c r="X1024" s="77"/>
      <c r="Y1024" s="76"/>
      <c r="Z1024" s="76"/>
      <c r="AA1024" s="76"/>
      <c r="AB1024" s="76"/>
      <c r="AC1024" s="76"/>
      <c r="AD1024" s="76"/>
      <c r="AE1024" s="76"/>
      <c r="AF1024" s="76"/>
      <c r="AG1024" s="76"/>
      <c r="AH1024" s="76"/>
      <c r="AI1024" s="76"/>
      <c r="AJ1024" s="76"/>
      <c r="AK1024" s="76"/>
      <c r="AL1024" s="77"/>
      <c r="AM1024" s="76"/>
      <c r="AN1024" s="76"/>
    </row>
    <row r="1025" spans="1:40" ht="15">
      <c r="A1025" s="83" t="e">
        <f>IF(#REF!&lt;&gt;#REF!,1,A1024+1)</f>
        <v>#REF!</v>
      </c>
      <c r="O1025" s="79"/>
      <c r="P1025" s="79"/>
      <c r="Q1025" s="76"/>
      <c r="R1025" s="77"/>
      <c r="S1025" s="76"/>
      <c r="T1025" s="77"/>
      <c r="U1025" s="76"/>
      <c r="V1025" s="77"/>
      <c r="W1025" s="76"/>
      <c r="X1025" s="77"/>
      <c r="Y1025" s="76"/>
      <c r="Z1025" s="76"/>
      <c r="AA1025" s="76"/>
      <c r="AB1025" s="76"/>
      <c r="AC1025" s="76"/>
      <c r="AD1025" s="76"/>
      <c r="AE1025" s="76"/>
      <c r="AF1025" s="76"/>
      <c r="AG1025" s="76"/>
      <c r="AH1025" s="76"/>
      <c r="AI1025" s="76"/>
      <c r="AJ1025" s="76"/>
      <c r="AK1025" s="76"/>
      <c r="AL1025" s="77"/>
      <c r="AM1025" s="76"/>
      <c r="AN1025" s="76"/>
    </row>
    <row r="1026" spans="1:40" ht="15">
      <c r="A1026" s="83" t="e">
        <f>IF(#REF!&lt;&gt;#REF!,1,A1025+1)</f>
        <v>#REF!</v>
      </c>
      <c r="O1026" s="79"/>
      <c r="P1026" s="79"/>
      <c r="Q1026" s="76"/>
      <c r="R1026" s="77"/>
      <c r="S1026" s="76"/>
      <c r="T1026" s="77"/>
      <c r="U1026" s="76"/>
      <c r="V1026" s="77"/>
      <c r="W1026" s="76"/>
      <c r="X1026" s="77"/>
      <c r="Y1026" s="76"/>
      <c r="Z1026" s="76"/>
      <c r="AA1026" s="76"/>
      <c r="AB1026" s="76"/>
      <c r="AC1026" s="76"/>
      <c r="AD1026" s="76"/>
      <c r="AE1026" s="76"/>
      <c r="AF1026" s="76"/>
      <c r="AG1026" s="76"/>
      <c r="AH1026" s="76"/>
      <c r="AI1026" s="76"/>
      <c r="AJ1026" s="76"/>
      <c r="AK1026" s="76"/>
      <c r="AL1026" s="77"/>
      <c r="AM1026" s="76"/>
      <c r="AN1026" s="76"/>
    </row>
    <row r="1027" spans="1:40" ht="15">
      <c r="A1027" s="83" t="e">
        <f>IF(#REF!&lt;&gt;#REF!,1,A1026+1)</f>
        <v>#REF!</v>
      </c>
      <c r="O1027" s="79"/>
      <c r="P1027" s="79"/>
      <c r="Q1027" s="76"/>
      <c r="R1027" s="77"/>
      <c r="S1027" s="76"/>
      <c r="T1027" s="77"/>
      <c r="U1027" s="76"/>
      <c r="V1027" s="77"/>
      <c r="W1027" s="76"/>
      <c r="X1027" s="77"/>
      <c r="Y1027" s="76"/>
      <c r="Z1027" s="76"/>
      <c r="AA1027" s="76"/>
      <c r="AB1027" s="76"/>
      <c r="AC1027" s="76"/>
      <c r="AD1027" s="76"/>
      <c r="AE1027" s="76"/>
      <c r="AF1027" s="76"/>
      <c r="AG1027" s="76"/>
      <c r="AH1027" s="76"/>
      <c r="AI1027" s="76"/>
      <c r="AJ1027" s="76"/>
      <c r="AK1027" s="76"/>
      <c r="AL1027" s="77"/>
      <c r="AM1027" s="76"/>
      <c r="AN1027" s="76"/>
    </row>
    <row r="1028" spans="1:40" ht="15">
      <c r="A1028" s="83" t="e">
        <f>IF(#REF!&lt;&gt;#REF!,1,A1027+1)</f>
        <v>#REF!</v>
      </c>
      <c r="O1028" s="79"/>
      <c r="P1028" s="79"/>
      <c r="Q1028" s="76"/>
      <c r="R1028" s="77"/>
      <c r="S1028" s="76"/>
      <c r="T1028" s="77"/>
      <c r="U1028" s="76"/>
      <c r="V1028" s="77"/>
      <c r="W1028" s="76"/>
      <c r="X1028" s="77"/>
      <c r="Y1028" s="76"/>
      <c r="Z1028" s="76"/>
      <c r="AA1028" s="76"/>
      <c r="AB1028" s="76"/>
      <c r="AC1028" s="76"/>
      <c r="AD1028" s="76"/>
      <c r="AE1028" s="76"/>
      <c r="AF1028" s="76"/>
      <c r="AG1028" s="76"/>
      <c r="AH1028" s="76"/>
      <c r="AI1028" s="76"/>
      <c r="AJ1028" s="76"/>
      <c r="AK1028" s="76"/>
      <c r="AL1028" s="77"/>
      <c r="AM1028" s="76"/>
      <c r="AN1028" s="76"/>
    </row>
    <row r="1029" spans="1:40" ht="15">
      <c r="A1029" s="83" t="e">
        <f>IF(#REF!&lt;&gt;#REF!,1,A1028+1)</f>
        <v>#REF!</v>
      </c>
      <c r="O1029" s="79"/>
      <c r="P1029" s="79"/>
      <c r="Q1029" s="76"/>
      <c r="R1029" s="77"/>
      <c r="S1029" s="76"/>
      <c r="T1029" s="77"/>
      <c r="U1029" s="76"/>
      <c r="V1029" s="77"/>
      <c r="W1029" s="76"/>
      <c r="X1029" s="77"/>
      <c r="Y1029" s="76"/>
      <c r="Z1029" s="76"/>
      <c r="AA1029" s="76"/>
      <c r="AB1029" s="76"/>
      <c r="AC1029" s="76"/>
      <c r="AD1029" s="76"/>
      <c r="AE1029" s="76"/>
      <c r="AF1029" s="76"/>
      <c r="AG1029" s="76"/>
      <c r="AH1029" s="76"/>
      <c r="AI1029" s="76"/>
      <c r="AJ1029" s="76"/>
      <c r="AK1029" s="76"/>
      <c r="AL1029" s="77"/>
      <c r="AM1029" s="76"/>
      <c r="AN1029" s="76"/>
    </row>
    <row r="1030" spans="1:40" ht="15">
      <c r="A1030" s="83" t="e">
        <f>IF(#REF!&lt;&gt;#REF!,1,A1029+1)</f>
        <v>#REF!</v>
      </c>
      <c r="O1030" s="79"/>
      <c r="P1030" s="79"/>
      <c r="Q1030" s="76"/>
      <c r="R1030" s="77"/>
      <c r="S1030" s="76"/>
      <c r="T1030" s="77"/>
      <c r="U1030" s="76"/>
      <c r="V1030" s="77"/>
      <c r="W1030" s="76"/>
      <c r="X1030" s="77"/>
      <c r="Y1030" s="76"/>
      <c r="Z1030" s="76"/>
      <c r="AA1030" s="76"/>
      <c r="AB1030" s="76"/>
      <c r="AC1030" s="76"/>
      <c r="AD1030" s="76"/>
      <c r="AE1030" s="76"/>
      <c r="AF1030" s="76"/>
      <c r="AG1030" s="76"/>
      <c r="AH1030" s="76"/>
      <c r="AI1030" s="76"/>
      <c r="AJ1030" s="76"/>
      <c r="AK1030" s="76"/>
      <c r="AL1030" s="77"/>
      <c r="AM1030" s="76"/>
      <c r="AN1030" s="76"/>
    </row>
    <row r="1031" spans="1:40" ht="15">
      <c r="A1031" s="83" t="e">
        <f>IF(#REF!&lt;&gt;#REF!,1,A1030+1)</f>
        <v>#REF!</v>
      </c>
      <c r="O1031" s="79"/>
      <c r="P1031" s="79"/>
      <c r="Q1031" s="76"/>
      <c r="R1031" s="77"/>
      <c r="S1031" s="76"/>
      <c r="T1031" s="77"/>
      <c r="U1031" s="76"/>
      <c r="V1031" s="77"/>
      <c r="W1031" s="76"/>
      <c r="X1031" s="77"/>
      <c r="Y1031" s="76"/>
      <c r="Z1031" s="76"/>
      <c r="AA1031" s="76"/>
      <c r="AB1031" s="76"/>
      <c r="AC1031" s="76"/>
      <c r="AD1031" s="76"/>
      <c r="AE1031" s="76"/>
      <c r="AF1031" s="76"/>
      <c r="AG1031" s="76"/>
      <c r="AH1031" s="76"/>
      <c r="AI1031" s="76"/>
      <c r="AJ1031" s="76"/>
      <c r="AK1031" s="76"/>
      <c r="AL1031" s="77"/>
      <c r="AM1031" s="76"/>
      <c r="AN1031" s="76"/>
    </row>
    <row r="1032" spans="1:40" ht="15">
      <c r="A1032" s="83" t="e">
        <f>IF(#REF!&lt;&gt;#REF!,1,A1031+1)</f>
        <v>#REF!</v>
      </c>
      <c r="O1032" s="79"/>
      <c r="P1032" s="79"/>
      <c r="Q1032" s="76"/>
      <c r="R1032" s="77"/>
      <c r="S1032" s="76"/>
      <c r="T1032" s="77"/>
      <c r="U1032" s="76"/>
      <c r="V1032" s="77"/>
      <c r="W1032" s="76"/>
      <c r="X1032" s="77"/>
      <c r="Y1032" s="76"/>
      <c r="Z1032" s="76"/>
      <c r="AA1032" s="76"/>
      <c r="AB1032" s="76"/>
      <c r="AC1032" s="76"/>
      <c r="AD1032" s="76"/>
      <c r="AE1032" s="76"/>
      <c r="AF1032" s="76"/>
      <c r="AG1032" s="76"/>
      <c r="AH1032" s="76"/>
      <c r="AI1032" s="76"/>
      <c r="AJ1032" s="76"/>
      <c r="AK1032" s="76"/>
      <c r="AL1032" s="77"/>
      <c r="AM1032" s="76"/>
      <c r="AN1032" s="76"/>
    </row>
    <row r="1033" spans="1:40" ht="15">
      <c r="A1033" s="83" t="e">
        <f>IF(#REF!&lt;&gt;#REF!,1,A1032+1)</f>
        <v>#REF!</v>
      </c>
      <c r="O1033" s="79"/>
      <c r="P1033" s="79"/>
      <c r="Q1033" s="76"/>
      <c r="R1033" s="77"/>
      <c r="S1033" s="76"/>
      <c r="T1033" s="77"/>
      <c r="U1033" s="76"/>
      <c r="V1033" s="77"/>
      <c r="W1033" s="76"/>
      <c r="X1033" s="77"/>
      <c r="Y1033" s="76"/>
      <c r="Z1033" s="76"/>
      <c r="AA1033" s="76"/>
      <c r="AB1033" s="76"/>
      <c r="AC1033" s="76"/>
      <c r="AD1033" s="76"/>
      <c r="AE1033" s="76"/>
      <c r="AF1033" s="76"/>
      <c r="AG1033" s="76"/>
      <c r="AH1033" s="76"/>
      <c r="AI1033" s="76"/>
      <c r="AJ1033" s="76"/>
      <c r="AK1033" s="76"/>
      <c r="AL1033" s="77"/>
      <c r="AM1033" s="76"/>
      <c r="AN1033" s="76"/>
    </row>
    <row r="1034" spans="1:40" ht="15">
      <c r="A1034" s="83" t="e">
        <f>IF(#REF!&lt;&gt;#REF!,1,A1033+1)</f>
        <v>#REF!</v>
      </c>
      <c r="O1034" s="79"/>
      <c r="P1034" s="79"/>
      <c r="Q1034" s="76"/>
      <c r="R1034" s="77"/>
      <c r="S1034" s="76"/>
      <c r="T1034" s="77"/>
      <c r="U1034" s="76"/>
      <c r="V1034" s="77"/>
      <c r="W1034" s="76"/>
      <c r="X1034" s="77"/>
      <c r="Y1034" s="76"/>
      <c r="Z1034" s="76"/>
      <c r="AA1034" s="76"/>
      <c r="AB1034" s="76"/>
      <c r="AC1034" s="76"/>
      <c r="AD1034" s="76"/>
      <c r="AE1034" s="76"/>
      <c r="AF1034" s="76"/>
      <c r="AG1034" s="76"/>
      <c r="AH1034" s="76"/>
      <c r="AI1034" s="76"/>
      <c r="AJ1034" s="76"/>
      <c r="AK1034" s="76"/>
      <c r="AL1034" s="77"/>
      <c r="AM1034" s="76"/>
      <c r="AN1034" s="76"/>
    </row>
    <row r="1035" spans="1:40" ht="15">
      <c r="A1035" s="83" t="e">
        <f>IF(#REF!&lt;&gt;#REF!,1,A1034+1)</f>
        <v>#REF!</v>
      </c>
      <c r="O1035" s="79"/>
      <c r="P1035" s="79"/>
      <c r="Q1035" s="76"/>
      <c r="R1035" s="77"/>
      <c r="S1035" s="76"/>
      <c r="T1035" s="77"/>
      <c r="U1035" s="76"/>
      <c r="V1035" s="77"/>
      <c r="W1035" s="76"/>
      <c r="X1035" s="77"/>
      <c r="Y1035" s="76"/>
      <c r="Z1035" s="76"/>
      <c r="AA1035" s="76"/>
      <c r="AB1035" s="76"/>
      <c r="AC1035" s="76"/>
      <c r="AD1035" s="76"/>
      <c r="AE1035" s="76"/>
      <c r="AF1035" s="76"/>
      <c r="AG1035" s="76"/>
      <c r="AH1035" s="76"/>
      <c r="AI1035" s="76"/>
      <c r="AJ1035" s="76"/>
      <c r="AK1035" s="76"/>
      <c r="AL1035" s="77"/>
      <c r="AM1035" s="76"/>
      <c r="AN1035" s="76"/>
    </row>
    <row r="1036" spans="1:40" ht="15">
      <c r="A1036" s="83" t="e">
        <f>IF(#REF!&lt;&gt;#REF!,1,A1035+1)</f>
        <v>#REF!</v>
      </c>
      <c r="O1036" s="79"/>
      <c r="P1036" s="79"/>
      <c r="Q1036" s="76"/>
      <c r="R1036" s="77"/>
      <c r="S1036" s="76"/>
      <c r="T1036" s="77"/>
      <c r="U1036" s="76"/>
      <c r="V1036" s="77"/>
      <c r="W1036" s="76"/>
      <c r="X1036" s="77"/>
      <c r="Y1036" s="76"/>
      <c r="Z1036" s="76"/>
      <c r="AA1036" s="76"/>
      <c r="AB1036" s="76"/>
      <c r="AC1036" s="76"/>
      <c r="AD1036" s="76"/>
      <c r="AE1036" s="76"/>
      <c r="AF1036" s="76"/>
      <c r="AG1036" s="76"/>
      <c r="AH1036" s="76"/>
      <c r="AI1036" s="76"/>
      <c r="AJ1036" s="76"/>
      <c r="AK1036" s="76"/>
      <c r="AL1036" s="77"/>
      <c r="AM1036" s="76"/>
      <c r="AN1036" s="76"/>
    </row>
    <row r="1037" spans="1:40" ht="15">
      <c r="A1037" s="83" t="e">
        <f>IF(#REF!&lt;&gt;#REF!,1,A1036+1)</f>
        <v>#REF!</v>
      </c>
      <c r="O1037" s="79"/>
      <c r="P1037" s="79"/>
      <c r="Q1037" s="76"/>
      <c r="R1037" s="77"/>
      <c r="S1037" s="76"/>
      <c r="T1037" s="77"/>
      <c r="U1037" s="76"/>
      <c r="V1037" s="77"/>
      <c r="W1037" s="76"/>
      <c r="X1037" s="77"/>
      <c r="Y1037" s="76"/>
      <c r="Z1037" s="76"/>
      <c r="AA1037" s="76"/>
      <c r="AB1037" s="76"/>
      <c r="AC1037" s="76"/>
      <c r="AD1037" s="76"/>
      <c r="AE1037" s="76"/>
      <c r="AF1037" s="76"/>
      <c r="AG1037" s="76"/>
      <c r="AH1037" s="76"/>
      <c r="AI1037" s="76"/>
      <c r="AJ1037" s="76"/>
      <c r="AK1037" s="76"/>
      <c r="AL1037" s="77"/>
      <c r="AM1037" s="76"/>
      <c r="AN1037" s="76"/>
    </row>
    <row r="1038" spans="1:40" ht="15">
      <c r="A1038" s="83" t="e">
        <f>IF(#REF!&lt;&gt;#REF!,1,A1037+1)</f>
        <v>#REF!</v>
      </c>
      <c r="O1038" s="79"/>
      <c r="P1038" s="79"/>
      <c r="Q1038" s="76"/>
      <c r="R1038" s="77"/>
      <c r="S1038" s="76"/>
      <c r="T1038" s="77"/>
      <c r="U1038" s="76"/>
      <c r="V1038" s="77"/>
      <c r="W1038" s="76"/>
      <c r="X1038" s="77"/>
      <c r="Y1038" s="76"/>
      <c r="Z1038" s="76"/>
      <c r="AA1038" s="76"/>
      <c r="AB1038" s="76"/>
      <c r="AC1038" s="76"/>
      <c r="AD1038" s="76"/>
      <c r="AE1038" s="76"/>
      <c r="AF1038" s="76"/>
      <c r="AG1038" s="76"/>
      <c r="AH1038" s="76"/>
      <c r="AI1038" s="76"/>
      <c r="AJ1038" s="76"/>
      <c r="AK1038" s="76"/>
      <c r="AL1038" s="77"/>
      <c r="AM1038" s="76"/>
      <c r="AN1038" s="76"/>
    </row>
    <row r="1039" spans="1:40" ht="15">
      <c r="A1039" s="83" t="e">
        <f>IF(#REF!&lt;&gt;#REF!,1,A1038+1)</f>
        <v>#REF!</v>
      </c>
      <c r="O1039" s="79"/>
      <c r="P1039" s="79"/>
      <c r="Q1039" s="76"/>
      <c r="R1039" s="77"/>
      <c r="S1039" s="76"/>
      <c r="T1039" s="77"/>
      <c r="U1039" s="76"/>
      <c r="V1039" s="77"/>
      <c r="W1039" s="76"/>
      <c r="X1039" s="77"/>
      <c r="Y1039" s="76"/>
      <c r="Z1039" s="76"/>
      <c r="AA1039" s="76"/>
      <c r="AB1039" s="76"/>
      <c r="AC1039" s="76"/>
      <c r="AD1039" s="76"/>
      <c r="AE1039" s="76"/>
      <c r="AF1039" s="76"/>
      <c r="AG1039" s="76"/>
      <c r="AH1039" s="76"/>
      <c r="AI1039" s="76"/>
      <c r="AJ1039" s="76"/>
      <c r="AK1039" s="76"/>
      <c r="AL1039" s="77"/>
      <c r="AM1039" s="76"/>
      <c r="AN1039" s="76"/>
    </row>
    <row r="1040" spans="1:40" ht="15">
      <c r="A1040" s="83" t="e">
        <f>IF(#REF!&lt;&gt;#REF!,1,A1039+1)</f>
        <v>#REF!</v>
      </c>
      <c r="O1040" s="79"/>
      <c r="P1040" s="79"/>
      <c r="Q1040" s="76"/>
      <c r="R1040" s="77"/>
      <c r="S1040" s="76"/>
      <c r="T1040" s="77"/>
      <c r="U1040" s="76"/>
      <c r="V1040" s="77"/>
      <c r="W1040" s="76"/>
      <c r="X1040" s="77"/>
      <c r="Y1040" s="76"/>
      <c r="Z1040" s="76"/>
      <c r="AA1040" s="76"/>
      <c r="AB1040" s="76"/>
      <c r="AC1040" s="76"/>
      <c r="AD1040" s="76"/>
      <c r="AE1040" s="76"/>
      <c r="AF1040" s="76"/>
      <c r="AG1040" s="76"/>
      <c r="AH1040" s="76"/>
      <c r="AI1040" s="76"/>
      <c r="AJ1040" s="76"/>
      <c r="AK1040" s="76"/>
      <c r="AL1040" s="77"/>
      <c r="AM1040" s="76"/>
      <c r="AN1040" s="76"/>
    </row>
    <row r="1041" spans="1:40" ht="15">
      <c r="A1041" s="83" t="e">
        <f>IF(#REF!&lt;&gt;#REF!,1,A1040+1)</f>
        <v>#REF!</v>
      </c>
      <c r="O1041" s="79"/>
      <c r="P1041" s="79"/>
      <c r="Q1041" s="76"/>
      <c r="R1041" s="77"/>
      <c r="S1041" s="76"/>
      <c r="T1041" s="77"/>
      <c r="U1041" s="76"/>
      <c r="V1041" s="77"/>
      <c r="W1041" s="76"/>
      <c r="X1041" s="77"/>
      <c r="Y1041" s="76"/>
      <c r="Z1041" s="76"/>
      <c r="AA1041" s="76"/>
      <c r="AB1041" s="76"/>
      <c r="AC1041" s="76"/>
      <c r="AD1041" s="76"/>
      <c r="AE1041" s="76"/>
      <c r="AF1041" s="76"/>
      <c r="AG1041" s="76"/>
      <c r="AH1041" s="76"/>
      <c r="AI1041" s="76"/>
      <c r="AJ1041" s="76"/>
      <c r="AK1041" s="76"/>
      <c r="AL1041" s="77"/>
      <c r="AM1041" s="76"/>
      <c r="AN1041" s="76"/>
    </row>
    <row r="1042" spans="1:40" ht="15">
      <c r="A1042" s="83" t="e">
        <f>IF(#REF!&lt;&gt;#REF!,1,A1041+1)</f>
        <v>#REF!</v>
      </c>
      <c r="O1042" s="79"/>
      <c r="P1042" s="79"/>
      <c r="Q1042" s="76"/>
      <c r="R1042" s="77"/>
      <c r="S1042" s="76"/>
      <c r="T1042" s="77"/>
      <c r="U1042" s="76"/>
      <c r="V1042" s="77"/>
      <c r="W1042" s="76"/>
      <c r="X1042" s="77"/>
      <c r="Y1042" s="76"/>
      <c r="Z1042" s="76"/>
      <c r="AA1042" s="76"/>
      <c r="AB1042" s="76"/>
      <c r="AC1042" s="76"/>
      <c r="AD1042" s="76"/>
      <c r="AE1042" s="76"/>
      <c r="AF1042" s="76"/>
      <c r="AG1042" s="76"/>
      <c r="AH1042" s="76"/>
      <c r="AI1042" s="76"/>
      <c r="AJ1042" s="76"/>
      <c r="AK1042" s="76"/>
      <c r="AL1042" s="77"/>
      <c r="AM1042" s="76"/>
      <c r="AN1042" s="76"/>
    </row>
    <row r="1043" spans="1:40" ht="15">
      <c r="A1043" s="83" t="e">
        <f>IF(#REF!&lt;&gt;#REF!,1,A1042+1)</f>
        <v>#REF!</v>
      </c>
      <c r="O1043" s="79"/>
      <c r="P1043" s="79"/>
      <c r="Q1043" s="76"/>
      <c r="R1043" s="77"/>
      <c r="S1043" s="76"/>
      <c r="T1043" s="77"/>
      <c r="U1043" s="76"/>
      <c r="V1043" s="77"/>
      <c r="W1043" s="76"/>
      <c r="X1043" s="77"/>
      <c r="Y1043" s="76"/>
      <c r="Z1043" s="76"/>
      <c r="AA1043" s="76"/>
      <c r="AB1043" s="76"/>
      <c r="AC1043" s="76"/>
      <c r="AD1043" s="76"/>
      <c r="AE1043" s="76"/>
      <c r="AF1043" s="76"/>
      <c r="AG1043" s="76"/>
      <c r="AH1043" s="76"/>
      <c r="AI1043" s="76"/>
      <c r="AJ1043" s="76"/>
      <c r="AK1043" s="76"/>
      <c r="AL1043" s="77"/>
      <c r="AM1043" s="76"/>
      <c r="AN1043" s="76"/>
    </row>
    <row r="1044" spans="1:40" ht="15">
      <c r="A1044" s="83" t="e">
        <f>IF(#REF!&lt;&gt;#REF!,1,A1043+1)</f>
        <v>#REF!</v>
      </c>
      <c r="O1044" s="79"/>
      <c r="P1044" s="79"/>
      <c r="Q1044" s="76"/>
      <c r="R1044" s="77"/>
      <c r="S1044" s="76"/>
      <c r="T1044" s="77"/>
      <c r="U1044" s="76"/>
      <c r="V1044" s="77"/>
      <c r="W1044" s="76"/>
      <c r="X1044" s="77"/>
      <c r="Y1044" s="76"/>
      <c r="Z1044" s="76"/>
      <c r="AA1044" s="76"/>
      <c r="AB1044" s="76"/>
      <c r="AC1044" s="76"/>
      <c r="AD1044" s="76"/>
      <c r="AE1044" s="76"/>
      <c r="AF1044" s="76"/>
      <c r="AG1044" s="76"/>
      <c r="AH1044" s="76"/>
      <c r="AI1044" s="76"/>
      <c r="AJ1044" s="76"/>
      <c r="AK1044" s="76"/>
      <c r="AL1044" s="77"/>
      <c r="AM1044" s="76"/>
      <c r="AN1044" s="76"/>
    </row>
    <row r="1045" spans="1:40" ht="15">
      <c r="A1045" s="83" t="e">
        <f>IF(#REF!&lt;&gt;#REF!,1,A1044+1)</f>
        <v>#REF!</v>
      </c>
      <c r="O1045" s="79"/>
      <c r="P1045" s="79"/>
      <c r="Q1045" s="76"/>
      <c r="R1045" s="77"/>
      <c r="S1045" s="76"/>
      <c r="T1045" s="77"/>
      <c r="U1045" s="76"/>
      <c r="V1045" s="77"/>
      <c r="W1045" s="76"/>
      <c r="X1045" s="77"/>
      <c r="Y1045" s="76"/>
      <c r="Z1045" s="76"/>
      <c r="AA1045" s="76"/>
      <c r="AB1045" s="76"/>
      <c r="AC1045" s="76"/>
      <c r="AD1045" s="76"/>
      <c r="AE1045" s="76"/>
      <c r="AF1045" s="76"/>
      <c r="AG1045" s="76"/>
      <c r="AH1045" s="76"/>
      <c r="AI1045" s="76"/>
      <c r="AJ1045" s="76"/>
      <c r="AK1045" s="76"/>
      <c r="AL1045" s="77"/>
      <c r="AM1045" s="76"/>
      <c r="AN1045" s="76"/>
    </row>
    <row r="1046" spans="1:40" ht="15">
      <c r="A1046" s="83" t="e">
        <f>IF(#REF!&lt;&gt;#REF!,1,A1045+1)</f>
        <v>#REF!</v>
      </c>
      <c r="O1046" s="79"/>
      <c r="P1046" s="79"/>
      <c r="Q1046" s="76"/>
      <c r="R1046" s="77"/>
      <c r="S1046" s="76"/>
      <c r="T1046" s="77"/>
      <c r="U1046" s="76"/>
      <c r="V1046" s="77"/>
      <c r="W1046" s="76"/>
      <c r="X1046" s="77"/>
      <c r="Y1046" s="76"/>
      <c r="Z1046" s="76"/>
      <c r="AA1046" s="76"/>
      <c r="AB1046" s="76"/>
      <c r="AC1046" s="76"/>
      <c r="AD1046" s="76"/>
      <c r="AE1046" s="76"/>
      <c r="AF1046" s="76"/>
      <c r="AG1046" s="76"/>
      <c r="AH1046" s="76"/>
      <c r="AI1046" s="76"/>
      <c r="AJ1046" s="76"/>
      <c r="AK1046" s="76"/>
      <c r="AL1046" s="77"/>
      <c r="AM1046" s="76"/>
      <c r="AN1046" s="76"/>
    </row>
    <row r="1047" spans="1:40" ht="15">
      <c r="A1047" s="83" t="e">
        <f>IF(#REF!&lt;&gt;#REF!,1,A1046+1)</f>
        <v>#REF!</v>
      </c>
      <c r="O1047" s="79"/>
      <c r="P1047" s="79"/>
      <c r="Q1047" s="76"/>
      <c r="R1047" s="77"/>
      <c r="S1047" s="76"/>
      <c r="T1047" s="77"/>
      <c r="U1047" s="76"/>
      <c r="V1047" s="77"/>
      <c r="W1047" s="76"/>
      <c r="X1047" s="77"/>
      <c r="Y1047" s="76"/>
      <c r="Z1047" s="76"/>
      <c r="AA1047" s="76"/>
      <c r="AB1047" s="76"/>
      <c r="AC1047" s="76"/>
      <c r="AD1047" s="76"/>
      <c r="AE1047" s="76"/>
      <c r="AF1047" s="76"/>
      <c r="AG1047" s="76"/>
      <c r="AH1047" s="76"/>
      <c r="AI1047" s="76"/>
      <c r="AJ1047" s="76"/>
      <c r="AK1047" s="76"/>
      <c r="AL1047" s="77"/>
      <c r="AM1047" s="76"/>
      <c r="AN1047" s="76"/>
    </row>
    <row r="1048" spans="1:40" ht="15">
      <c r="A1048" s="83" t="e">
        <f>IF(#REF!&lt;&gt;#REF!,1,A1047+1)</f>
        <v>#REF!</v>
      </c>
      <c r="O1048" s="79"/>
      <c r="P1048" s="79"/>
      <c r="Q1048" s="76"/>
      <c r="R1048" s="77"/>
      <c r="S1048" s="76"/>
      <c r="T1048" s="77"/>
      <c r="U1048" s="76"/>
      <c r="V1048" s="77"/>
      <c r="W1048" s="76"/>
      <c r="X1048" s="77"/>
      <c r="Y1048" s="76"/>
      <c r="Z1048" s="76"/>
      <c r="AA1048" s="76"/>
      <c r="AB1048" s="76"/>
      <c r="AC1048" s="76"/>
      <c r="AD1048" s="76"/>
      <c r="AE1048" s="76"/>
      <c r="AF1048" s="76"/>
      <c r="AG1048" s="76"/>
      <c r="AH1048" s="76"/>
      <c r="AI1048" s="76"/>
      <c r="AJ1048" s="76"/>
      <c r="AK1048" s="76"/>
      <c r="AL1048" s="77"/>
      <c r="AM1048" s="76"/>
      <c r="AN1048" s="76"/>
    </row>
    <row r="1049" spans="1:40" ht="15">
      <c r="A1049" s="83" t="e">
        <f>IF(#REF!&lt;&gt;#REF!,1,A1048+1)</f>
        <v>#REF!</v>
      </c>
      <c r="O1049" s="79"/>
      <c r="P1049" s="79"/>
      <c r="Q1049" s="76"/>
      <c r="R1049" s="77"/>
      <c r="S1049" s="76"/>
      <c r="T1049" s="77"/>
      <c r="U1049" s="76"/>
      <c r="V1049" s="77"/>
      <c r="W1049" s="76"/>
      <c r="X1049" s="77"/>
      <c r="Y1049" s="76"/>
      <c r="Z1049" s="76"/>
      <c r="AA1049" s="76"/>
      <c r="AB1049" s="76"/>
      <c r="AC1049" s="76"/>
      <c r="AD1049" s="76"/>
      <c r="AE1049" s="76"/>
      <c r="AF1049" s="76"/>
      <c r="AG1049" s="76"/>
      <c r="AH1049" s="76"/>
      <c r="AI1049" s="76"/>
      <c r="AJ1049" s="76"/>
      <c r="AK1049" s="76"/>
      <c r="AL1049" s="77"/>
      <c r="AM1049" s="76"/>
      <c r="AN1049" s="76"/>
    </row>
    <row r="1050" spans="1:40" ht="15">
      <c r="A1050" s="83" t="e">
        <f>IF(#REF!&lt;&gt;#REF!,1,A1049+1)</f>
        <v>#REF!</v>
      </c>
      <c r="O1050" s="79"/>
      <c r="P1050" s="79"/>
      <c r="Q1050" s="76"/>
      <c r="R1050" s="77"/>
      <c r="S1050" s="76"/>
      <c r="T1050" s="77"/>
      <c r="U1050" s="76"/>
      <c r="V1050" s="77"/>
      <c r="W1050" s="76"/>
      <c r="X1050" s="77"/>
      <c r="Y1050" s="76"/>
      <c r="Z1050" s="76"/>
      <c r="AA1050" s="76"/>
      <c r="AB1050" s="76"/>
      <c r="AC1050" s="76"/>
      <c r="AD1050" s="76"/>
      <c r="AE1050" s="76"/>
      <c r="AF1050" s="76"/>
      <c r="AG1050" s="76"/>
      <c r="AH1050" s="76"/>
      <c r="AI1050" s="76"/>
      <c r="AJ1050" s="76"/>
      <c r="AK1050" s="76"/>
      <c r="AL1050" s="77"/>
      <c r="AM1050" s="76"/>
      <c r="AN1050" s="76"/>
    </row>
    <row r="1051" spans="1:40" ht="15">
      <c r="A1051" s="83" t="e">
        <f>IF(#REF!&lt;&gt;#REF!,1,A1050+1)</f>
        <v>#REF!</v>
      </c>
      <c r="O1051" s="79"/>
      <c r="P1051" s="79"/>
      <c r="Q1051" s="76"/>
      <c r="R1051" s="77"/>
      <c r="S1051" s="76"/>
      <c r="T1051" s="77"/>
      <c r="U1051" s="76"/>
      <c r="V1051" s="77"/>
      <c r="W1051" s="76"/>
      <c r="X1051" s="77"/>
      <c r="Y1051" s="76"/>
      <c r="Z1051" s="76"/>
      <c r="AA1051" s="76"/>
      <c r="AB1051" s="76"/>
      <c r="AC1051" s="76"/>
      <c r="AD1051" s="76"/>
      <c r="AE1051" s="76"/>
      <c r="AF1051" s="76"/>
      <c r="AG1051" s="76"/>
      <c r="AH1051" s="76"/>
      <c r="AI1051" s="76"/>
      <c r="AJ1051" s="76"/>
      <c r="AK1051" s="76"/>
      <c r="AL1051" s="77"/>
      <c r="AM1051" s="76"/>
      <c r="AN1051" s="76"/>
    </row>
    <row r="1052" spans="1:40" ht="15">
      <c r="A1052" s="83" t="e">
        <f>IF(#REF!&lt;&gt;#REF!,1,A1051+1)</f>
        <v>#REF!</v>
      </c>
      <c r="O1052" s="79"/>
      <c r="P1052" s="79"/>
      <c r="Q1052" s="76"/>
      <c r="R1052" s="77"/>
      <c r="S1052" s="76"/>
      <c r="T1052" s="77"/>
      <c r="U1052" s="76"/>
      <c r="V1052" s="77"/>
      <c r="W1052" s="76"/>
      <c r="X1052" s="77"/>
      <c r="Y1052" s="76"/>
      <c r="Z1052" s="76"/>
      <c r="AA1052" s="76"/>
      <c r="AB1052" s="76"/>
      <c r="AC1052" s="76"/>
      <c r="AD1052" s="76"/>
      <c r="AE1052" s="76"/>
      <c r="AF1052" s="76"/>
      <c r="AG1052" s="76"/>
      <c r="AH1052" s="76"/>
      <c r="AI1052" s="76"/>
      <c r="AJ1052" s="76"/>
      <c r="AK1052" s="76"/>
      <c r="AL1052" s="77"/>
      <c r="AM1052" s="76"/>
      <c r="AN1052" s="76"/>
    </row>
    <row r="1053" spans="1:40" ht="15">
      <c r="A1053" s="83" t="e">
        <f>IF(#REF!&lt;&gt;#REF!,1,A1052+1)</f>
        <v>#REF!</v>
      </c>
      <c r="O1053" s="79"/>
      <c r="P1053" s="79"/>
      <c r="Q1053" s="76"/>
      <c r="R1053" s="77"/>
      <c r="S1053" s="76"/>
      <c r="T1053" s="77"/>
      <c r="U1053" s="76"/>
      <c r="V1053" s="77"/>
      <c r="W1053" s="76"/>
      <c r="X1053" s="77"/>
      <c r="Y1053" s="76"/>
      <c r="Z1053" s="76"/>
      <c r="AA1053" s="76"/>
      <c r="AB1053" s="76"/>
      <c r="AC1053" s="76"/>
      <c r="AD1053" s="76"/>
      <c r="AE1053" s="76"/>
      <c r="AF1053" s="76"/>
      <c r="AG1053" s="76"/>
      <c r="AH1053" s="76"/>
      <c r="AI1053" s="76"/>
      <c r="AJ1053" s="76"/>
      <c r="AK1053" s="76"/>
      <c r="AL1053" s="77"/>
      <c r="AM1053" s="76"/>
      <c r="AN1053" s="76"/>
    </row>
    <row r="1054" spans="1:40" ht="15">
      <c r="A1054" s="83" t="e">
        <f>IF(#REF!&lt;&gt;#REF!,1,A1053+1)</f>
        <v>#REF!</v>
      </c>
      <c r="O1054" s="79"/>
      <c r="P1054" s="79"/>
      <c r="Q1054" s="76"/>
      <c r="R1054" s="77"/>
      <c r="S1054" s="76"/>
      <c r="T1054" s="77"/>
      <c r="U1054" s="76"/>
      <c r="V1054" s="77"/>
      <c r="W1054" s="76"/>
      <c r="X1054" s="77"/>
      <c r="Y1054" s="76"/>
      <c r="Z1054" s="76"/>
      <c r="AA1054" s="76"/>
      <c r="AB1054" s="76"/>
      <c r="AC1054" s="76"/>
      <c r="AD1054" s="76"/>
      <c r="AE1054" s="76"/>
      <c r="AF1054" s="76"/>
      <c r="AG1054" s="76"/>
      <c r="AH1054" s="76"/>
      <c r="AI1054" s="76"/>
      <c r="AJ1054" s="76"/>
      <c r="AK1054" s="76"/>
      <c r="AL1054" s="77"/>
      <c r="AM1054" s="76"/>
      <c r="AN1054" s="76"/>
    </row>
    <row r="1055" spans="1:40" ht="15">
      <c r="A1055" s="83" t="e">
        <f>IF(#REF!&lt;&gt;#REF!,1,A1054+1)</f>
        <v>#REF!</v>
      </c>
      <c r="O1055" s="79"/>
      <c r="P1055" s="79"/>
      <c r="Q1055" s="76"/>
      <c r="R1055" s="77"/>
      <c r="S1055" s="76"/>
      <c r="T1055" s="77"/>
      <c r="U1055" s="76"/>
      <c r="V1055" s="77"/>
      <c r="W1055" s="76"/>
      <c r="X1055" s="77"/>
      <c r="Y1055" s="76"/>
      <c r="Z1055" s="76"/>
      <c r="AA1055" s="76"/>
      <c r="AB1055" s="76"/>
      <c r="AC1055" s="76"/>
      <c r="AD1055" s="76"/>
      <c r="AE1055" s="76"/>
      <c r="AF1055" s="76"/>
      <c r="AG1055" s="76"/>
      <c r="AH1055" s="76"/>
      <c r="AI1055" s="76"/>
      <c r="AJ1055" s="76"/>
      <c r="AK1055" s="76"/>
      <c r="AL1055" s="77"/>
      <c r="AM1055" s="76"/>
      <c r="AN1055" s="76"/>
    </row>
    <row r="1056" spans="1:40" ht="15">
      <c r="A1056" s="83" t="e">
        <f>IF(#REF!&lt;&gt;#REF!,1,A1055+1)</f>
        <v>#REF!</v>
      </c>
      <c r="O1056" s="79"/>
      <c r="P1056" s="79"/>
      <c r="Q1056" s="76"/>
      <c r="R1056" s="77"/>
      <c r="S1056" s="76"/>
      <c r="T1056" s="77"/>
      <c r="U1056" s="76"/>
      <c r="V1056" s="77"/>
      <c r="W1056" s="76"/>
      <c r="X1056" s="77"/>
      <c r="Y1056" s="76"/>
      <c r="Z1056" s="76"/>
      <c r="AA1056" s="76"/>
      <c r="AB1056" s="76"/>
      <c r="AC1056" s="76"/>
      <c r="AD1056" s="76"/>
      <c r="AE1056" s="76"/>
      <c r="AF1056" s="76"/>
      <c r="AG1056" s="76"/>
      <c r="AH1056" s="76"/>
      <c r="AI1056" s="76"/>
      <c r="AJ1056" s="76"/>
      <c r="AK1056" s="76"/>
      <c r="AL1056" s="77"/>
      <c r="AM1056" s="76"/>
      <c r="AN1056" s="76"/>
    </row>
    <row r="1057" spans="1:40" ht="15">
      <c r="A1057" s="83" t="e">
        <f>IF(#REF!&lt;&gt;#REF!,1,A1056+1)</f>
        <v>#REF!</v>
      </c>
      <c r="O1057" s="79"/>
      <c r="P1057" s="79"/>
      <c r="Q1057" s="76"/>
      <c r="R1057" s="77"/>
      <c r="S1057" s="76"/>
      <c r="T1057" s="77"/>
      <c r="U1057" s="76"/>
      <c r="V1057" s="77"/>
      <c r="W1057" s="76"/>
      <c r="X1057" s="77"/>
      <c r="Y1057" s="76"/>
      <c r="Z1057" s="76"/>
      <c r="AA1057" s="76"/>
      <c r="AB1057" s="76"/>
      <c r="AC1057" s="76"/>
      <c r="AD1057" s="76"/>
      <c r="AE1057" s="76"/>
      <c r="AF1057" s="76"/>
      <c r="AG1057" s="76"/>
      <c r="AH1057" s="76"/>
      <c r="AI1057" s="76"/>
      <c r="AJ1057" s="76"/>
      <c r="AK1057" s="76"/>
      <c r="AL1057" s="77"/>
      <c r="AM1057" s="76"/>
      <c r="AN1057" s="76"/>
    </row>
    <row r="1058" spans="1:40" ht="15">
      <c r="A1058" s="83" t="e">
        <f>IF(#REF!&lt;&gt;#REF!,1,A1057+1)</f>
        <v>#REF!</v>
      </c>
      <c r="O1058" s="79"/>
      <c r="P1058" s="79"/>
      <c r="Q1058" s="76"/>
      <c r="R1058" s="77"/>
      <c r="S1058" s="76"/>
      <c r="T1058" s="77"/>
      <c r="U1058" s="76"/>
      <c r="V1058" s="77"/>
      <c r="W1058" s="76"/>
      <c r="X1058" s="77"/>
      <c r="Y1058" s="76"/>
      <c r="Z1058" s="76"/>
      <c r="AA1058" s="76"/>
      <c r="AB1058" s="76"/>
      <c r="AC1058" s="76"/>
      <c r="AD1058" s="76"/>
      <c r="AE1058" s="76"/>
      <c r="AF1058" s="76"/>
      <c r="AG1058" s="76"/>
      <c r="AH1058" s="76"/>
      <c r="AI1058" s="76"/>
      <c r="AJ1058" s="76"/>
      <c r="AK1058" s="76"/>
      <c r="AL1058" s="77"/>
      <c r="AM1058" s="76"/>
      <c r="AN1058" s="76"/>
    </row>
    <row r="1059" spans="1:40" ht="15">
      <c r="A1059" s="83" t="e">
        <f>IF(#REF!&lt;&gt;#REF!,1,A1058+1)</f>
        <v>#REF!</v>
      </c>
      <c r="O1059" s="79"/>
      <c r="P1059" s="79"/>
      <c r="Q1059" s="76"/>
      <c r="R1059" s="77"/>
      <c r="S1059" s="76"/>
      <c r="T1059" s="77"/>
      <c r="U1059" s="76"/>
      <c r="V1059" s="77"/>
      <c r="W1059" s="76"/>
      <c r="X1059" s="77"/>
      <c r="Y1059" s="76"/>
      <c r="Z1059" s="76"/>
      <c r="AA1059" s="76"/>
      <c r="AB1059" s="76"/>
      <c r="AC1059" s="76"/>
      <c r="AD1059" s="76"/>
      <c r="AE1059" s="76"/>
      <c r="AF1059" s="76"/>
      <c r="AG1059" s="76"/>
      <c r="AH1059" s="76"/>
      <c r="AI1059" s="76"/>
      <c r="AJ1059" s="76"/>
      <c r="AK1059" s="76"/>
      <c r="AL1059" s="77"/>
      <c r="AM1059" s="76"/>
      <c r="AN1059" s="76"/>
    </row>
    <row r="1060" spans="1:40" ht="15">
      <c r="A1060" s="83" t="e">
        <f>IF(#REF!&lt;&gt;#REF!,1,A1059+1)</f>
        <v>#REF!</v>
      </c>
      <c r="O1060" s="79"/>
      <c r="P1060" s="79"/>
      <c r="Q1060" s="76"/>
      <c r="R1060" s="77"/>
      <c r="S1060" s="76"/>
      <c r="T1060" s="77"/>
      <c r="U1060" s="76"/>
      <c r="V1060" s="77"/>
      <c r="W1060" s="76"/>
      <c r="X1060" s="77"/>
      <c r="Y1060" s="76"/>
      <c r="Z1060" s="76"/>
      <c r="AA1060" s="76"/>
      <c r="AB1060" s="76"/>
      <c r="AC1060" s="76"/>
      <c r="AD1060" s="76"/>
      <c r="AE1060" s="76"/>
      <c r="AF1060" s="76"/>
      <c r="AG1060" s="76"/>
      <c r="AH1060" s="76"/>
      <c r="AI1060" s="76"/>
      <c r="AJ1060" s="76"/>
      <c r="AK1060" s="76"/>
      <c r="AL1060" s="77"/>
      <c r="AM1060" s="76"/>
      <c r="AN1060" s="76"/>
    </row>
    <row r="1061" spans="1:40" ht="15">
      <c r="A1061" s="83" t="e">
        <f>IF(#REF!&lt;&gt;#REF!,1,A1060+1)</f>
        <v>#REF!</v>
      </c>
      <c r="O1061" s="79"/>
      <c r="P1061" s="79"/>
      <c r="Q1061" s="76"/>
      <c r="R1061" s="77"/>
      <c r="S1061" s="76"/>
      <c r="T1061" s="77"/>
      <c r="U1061" s="76"/>
      <c r="V1061" s="77"/>
      <c r="W1061" s="76"/>
      <c r="X1061" s="77"/>
      <c r="Y1061" s="76"/>
      <c r="Z1061" s="76"/>
      <c r="AA1061" s="76"/>
      <c r="AB1061" s="76"/>
      <c r="AC1061" s="76"/>
      <c r="AD1061" s="76"/>
      <c r="AE1061" s="76"/>
      <c r="AF1061" s="76"/>
      <c r="AG1061" s="76"/>
      <c r="AH1061" s="76"/>
      <c r="AI1061" s="76"/>
      <c r="AJ1061" s="76"/>
      <c r="AK1061" s="76"/>
      <c r="AL1061" s="77"/>
      <c r="AM1061" s="76"/>
      <c r="AN1061" s="76"/>
    </row>
    <row r="1062" spans="1:40" ht="15">
      <c r="A1062" s="83" t="e">
        <f>IF(#REF!&lt;&gt;#REF!,1,A1061+1)</f>
        <v>#REF!</v>
      </c>
      <c r="O1062" s="79"/>
      <c r="P1062" s="79"/>
      <c r="Q1062" s="76"/>
      <c r="R1062" s="77"/>
      <c r="S1062" s="76"/>
      <c r="T1062" s="77"/>
      <c r="U1062" s="76"/>
      <c r="V1062" s="77"/>
      <c r="W1062" s="76"/>
      <c r="X1062" s="77"/>
      <c r="Y1062" s="76"/>
      <c r="Z1062" s="76"/>
      <c r="AA1062" s="76"/>
      <c r="AB1062" s="76"/>
      <c r="AC1062" s="76"/>
      <c r="AD1062" s="76"/>
      <c r="AE1062" s="76"/>
      <c r="AF1062" s="76"/>
      <c r="AG1062" s="76"/>
      <c r="AH1062" s="76"/>
      <c r="AI1062" s="76"/>
      <c r="AJ1062" s="76"/>
      <c r="AK1062" s="76"/>
      <c r="AL1062" s="77"/>
      <c r="AM1062" s="76"/>
      <c r="AN1062" s="76"/>
    </row>
    <row r="1063" spans="1:40" ht="15">
      <c r="A1063" s="83" t="e">
        <f>IF(#REF!&lt;&gt;#REF!,1,A1062+1)</f>
        <v>#REF!</v>
      </c>
      <c r="O1063" s="79"/>
      <c r="P1063" s="79"/>
      <c r="Q1063" s="76"/>
      <c r="R1063" s="77"/>
      <c r="S1063" s="76"/>
      <c r="T1063" s="77"/>
      <c r="U1063" s="76"/>
      <c r="V1063" s="77"/>
      <c r="W1063" s="76"/>
      <c r="X1063" s="77"/>
      <c r="Y1063" s="76"/>
      <c r="Z1063" s="76"/>
      <c r="AA1063" s="76"/>
      <c r="AB1063" s="76"/>
      <c r="AC1063" s="76"/>
      <c r="AD1063" s="76"/>
      <c r="AE1063" s="76"/>
      <c r="AF1063" s="76"/>
      <c r="AG1063" s="76"/>
      <c r="AH1063" s="76"/>
      <c r="AI1063" s="76"/>
      <c r="AJ1063" s="76"/>
      <c r="AK1063" s="76"/>
      <c r="AL1063" s="77"/>
      <c r="AM1063" s="76"/>
      <c r="AN1063" s="76"/>
    </row>
    <row r="1064" spans="1:40" ht="15">
      <c r="A1064" s="83" t="e">
        <f>IF(#REF!&lt;&gt;#REF!,1,A1063+1)</f>
        <v>#REF!</v>
      </c>
      <c r="O1064" s="79"/>
      <c r="P1064" s="79"/>
      <c r="Q1064" s="76"/>
      <c r="R1064" s="77"/>
      <c r="S1064" s="76"/>
      <c r="T1064" s="77"/>
      <c r="U1064" s="76"/>
      <c r="V1064" s="77"/>
      <c r="W1064" s="76"/>
      <c r="X1064" s="77"/>
      <c r="Y1064" s="76"/>
      <c r="Z1064" s="76"/>
      <c r="AA1064" s="76"/>
      <c r="AB1064" s="76"/>
      <c r="AC1064" s="76"/>
      <c r="AD1064" s="76"/>
      <c r="AE1064" s="76"/>
      <c r="AF1064" s="76"/>
      <c r="AG1064" s="76"/>
      <c r="AH1064" s="76"/>
      <c r="AI1064" s="76"/>
      <c r="AJ1064" s="76"/>
      <c r="AK1064" s="76"/>
      <c r="AL1064" s="77"/>
      <c r="AM1064" s="76"/>
      <c r="AN1064" s="76"/>
    </row>
    <row r="1065" spans="1:40" ht="15">
      <c r="A1065" s="83" t="e">
        <f>IF(#REF!&lt;&gt;#REF!,1,A1064+1)</f>
        <v>#REF!</v>
      </c>
      <c r="O1065" s="79"/>
      <c r="P1065" s="79"/>
      <c r="Q1065" s="76"/>
      <c r="R1065" s="77"/>
      <c r="S1065" s="76"/>
      <c r="T1065" s="77"/>
      <c r="U1065" s="76"/>
      <c r="V1065" s="77"/>
      <c r="W1065" s="76"/>
      <c r="X1065" s="77"/>
      <c r="Y1065" s="76"/>
      <c r="Z1065" s="76"/>
      <c r="AA1065" s="76"/>
      <c r="AB1065" s="76"/>
      <c r="AC1065" s="76"/>
      <c r="AD1065" s="76"/>
      <c r="AE1065" s="76"/>
      <c r="AF1065" s="76"/>
      <c r="AG1065" s="76"/>
      <c r="AH1065" s="76"/>
      <c r="AI1065" s="76"/>
      <c r="AJ1065" s="76"/>
      <c r="AK1065" s="76"/>
      <c r="AL1065" s="77"/>
      <c r="AM1065" s="76"/>
      <c r="AN1065" s="76"/>
    </row>
    <row r="1066" spans="1:40" ht="15">
      <c r="A1066" s="83" t="e">
        <f>IF(#REF!&lt;&gt;#REF!,1,A1065+1)</f>
        <v>#REF!</v>
      </c>
      <c r="O1066" s="79"/>
      <c r="P1066" s="79"/>
      <c r="Q1066" s="76"/>
      <c r="R1066" s="77"/>
      <c r="S1066" s="76"/>
      <c r="T1066" s="77"/>
      <c r="U1066" s="76"/>
      <c r="V1066" s="77"/>
      <c r="W1066" s="76"/>
      <c r="X1066" s="77"/>
      <c r="Y1066" s="76"/>
      <c r="Z1066" s="76"/>
      <c r="AA1066" s="76"/>
      <c r="AB1066" s="76"/>
      <c r="AC1066" s="76"/>
      <c r="AD1066" s="76"/>
      <c r="AE1066" s="76"/>
      <c r="AF1066" s="76"/>
      <c r="AG1066" s="76"/>
      <c r="AH1066" s="76"/>
      <c r="AI1066" s="76"/>
      <c r="AJ1066" s="76"/>
      <c r="AK1066" s="76"/>
      <c r="AL1066" s="77"/>
      <c r="AM1066" s="76"/>
      <c r="AN1066" s="76"/>
    </row>
    <row r="1067" spans="1:40" ht="15">
      <c r="A1067" s="83" t="e">
        <f>IF(#REF!&lt;&gt;#REF!,1,A1066+1)</f>
        <v>#REF!</v>
      </c>
      <c r="O1067" s="79"/>
      <c r="P1067" s="79"/>
      <c r="Q1067" s="76"/>
      <c r="R1067" s="77"/>
      <c r="S1067" s="76"/>
      <c r="T1067" s="77"/>
      <c r="U1067" s="76"/>
      <c r="V1067" s="77"/>
      <c r="W1067" s="76"/>
      <c r="X1067" s="77"/>
      <c r="Y1067" s="76"/>
      <c r="Z1067" s="76"/>
      <c r="AA1067" s="76"/>
      <c r="AB1067" s="76"/>
      <c r="AC1067" s="76"/>
      <c r="AD1067" s="76"/>
      <c r="AE1067" s="76"/>
      <c r="AF1067" s="76"/>
      <c r="AG1067" s="76"/>
      <c r="AH1067" s="76"/>
      <c r="AI1067" s="76"/>
      <c r="AJ1067" s="76"/>
      <c r="AK1067" s="76"/>
      <c r="AL1067" s="77"/>
      <c r="AM1067" s="76"/>
      <c r="AN1067" s="76"/>
    </row>
    <row r="1068" spans="1:40" ht="15">
      <c r="A1068" s="83" t="e">
        <f>IF(#REF!&lt;&gt;#REF!,1,A1067+1)</f>
        <v>#REF!</v>
      </c>
      <c r="O1068" s="79"/>
      <c r="P1068" s="79"/>
      <c r="Q1068" s="76"/>
      <c r="R1068" s="77"/>
      <c r="S1068" s="76"/>
      <c r="T1068" s="77"/>
      <c r="U1068" s="76"/>
      <c r="V1068" s="77"/>
      <c r="W1068" s="76"/>
      <c r="X1068" s="77"/>
      <c r="Y1068" s="76"/>
      <c r="Z1068" s="76"/>
      <c r="AA1068" s="76"/>
      <c r="AB1068" s="76"/>
      <c r="AC1068" s="76"/>
      <c r="AD1068" s="76"/>
      <c r="AE1068" s="76"/>
      <c r="AF1068" s="76"/>
      <c r="AG1068" s="76"/>
      <c r="AH1068" s="76"/>
      <c r="AI1068" s="76"/>
      <c r="AJ1068" s="76"/>
      <c r="AK1068" s="76"/>
      <c r="AL1068" s="77"/>
      <c r="AM1068" s="76"/>
      <c r="AN1068" s="76"/>
    </row>
    <row r="1069" spans="1:40" ht="15">
      <c r="A1069" s="83" t="e">
        <f>IF(#REF!&lt;&gt;#REF!,1,A1068+1)</f>
        <v>#REF!</v>
      </c>
      <c r="O1069" s="79"/>
      <c r="P1069" s="79"/>
      <c r="Q1069" s="76"/>
      <c r="R1069" s="77"/>
      <c r="S1069" s="76"/>
      <c r="T1069" s="77"/>
      <c r="U1069" s="76"/>
      <c r="V1069" s="77"/>
      <c r="W1069" s="76"/>
      <c r="X1069" s="77"/>
      <c r="Y1069" s="76"/>
      <c r="Z1069" s="76"/>
      <c r="AA1069" s="76"/>
      <c r="AB1069" s="76"/>
      <c r="AC1069" s="76"/>
      <c r="AD1069" s="76"/>
      <c r="AE1069" s="76"/>
      <c r="AF1069" s="76"/>
      <c r="AG1069" s="76"/>
      <c r="AH1069" s="76"/>
      <c r="AI1069" s="76"/>
      <c r="AJ1069" s="76"/>
      <c r="AK1069" s="76"/>
      <c r="AL1069" s="77"/>
      <c r="AM1069" s="76"/>
      <c r="AN1069" s="76"/>
    </row>
    <row r="1070" spans="1:40" ht="15">
      <c r="A1070" s="83" t="e">
        <f>IF(#REF!&lt;&gt;#REF!,1,A1069+1)</f>
        <v>#REF!</v>
      </c>
      <c r="O1070" s="79"/>
      <c r="P1070" s="79"/>
      <c r="Q1070" s="76"/>
      <c r="R1070" s="77"/>
      <c r="S1070" s="76"/>
      <c r="T1070" s="77"/>
      <c r="U1070" s="76"/>
      <c r="V1070" s="77"/>
      <c r="W1070" s="76"/>
      <c r="X1070" s="77"/>
      <c r="Y1070" s="76"/>
      <c r="Z1070" s="76"/>
      <c r="AA1070" s="76"/>
      <c r="AB1070" s="76"/>
      <c r="AC1070" s="76"/>
      <c r="AD1070" s="76"/>
      <c r="AE1070" s="76"/>
      <c r="AF1070" s="76"/>
      <c r="AG1070" s="76"/>
      <c r="AH1070" s="76"/>
      <c r="AI1070" s="76"/>
      <c r="AJ1070" s="76"/>
      <c r="AK1070" s="76"/>
      <c r="AL1070" s="77"/>
      <c r="AM1070" s="76"/>
      <c r="AN1070" s="76"/>
    </row>
    <row r="1071" spans="1:40" ht="15">
      <c r="A1071" s="83" t="e">
        <f>IF(#REF!&lt;&gt;#REF!,1,A1070+1)</f>
        <v>#REF!</v>
      </c>
      <c r="O1071" s="79"/>
      <c r="P1071" s="79"/>
      <c r="Q1071" s="76"/>
      <c r="R1071" s="77"/>
      <c r="S1071" s="76"/>
      <c r="T1071" s="77"/>
      <c r="U1071" s="76"/>
      <c r="V1071" s="77"/>
      <c r="W1071" s="76"/>
      <c r="X1071" s="77"/>
      <c r="Y1071" s="76"/>
      <c r="Z1071" s="76"/>
      <c r="AA1071" s="76"/>
      <c r="AB1071" s="76"/>
      <c r="AC1071" s="76"/>
      <c r="AD1071" s="76"/>
      <c r="AE1071" s="76"/>
      <c r="AF1071" s="76"/>
      <c r="AG1071" s="76"/>
      <c r="AH1071" s="76"/>
      <c r="AI1071" s="76"/>
      <c r="AJ1071" s="76"/>
      <c r="AK1071" s="76"/>
      <c r="AL1071" s="77"/>
      <c r="AM1071" s="76"/>
      <c r="AN1071" s="76"/>
    </row>
    <row r="1072" spans="1:40" ht="15">
      <c r="A1072" s="83" t="e">
        <f>IF(#REF!&lt;&gt;#REF!,1,A1071+1)</f>
        <v>#REF!</v>
      </c>
      <c r="O1072" s="79"/>
      <c r="P1072" s="79"/>
      <c r="Q1072" s="76"/>
      <c r="R1072" s="77"/>
      <c r="S1072" s="76"/>
      <c r="T1072" s="77"/>
      <c r="U1072" s="76"/>
      <c r="V1072" s="77"/>
      <c r="W1072" s="76"/>
      <c r="X1072" s="77"/>
      <c r="Y1072" s="76"/>
      <c r="Z1072" s="76"/>
      <c r="AA1072" s="76"/>
      <c r="AB1072" s="76"/>
      <c r="AC1072" s="76"/>
      <c r="AD1072" s="76"/>
      <c r="AE1072" s="76"/>
      <c r="AF1072" s="76"/>
      <c r="AG1072" s="76"/>
      <c r="AH1072" s="76"/>
      <c r="AI1072" s="76"/>
      <c r="AJ1072" s="76"/>
      <c r="AK1072" s="76"/>
      <c r="AL1072" s="77"/>
      <c r="AM1072" s="76"/>
      <c r="AN1072" s="76"/>
    </row>
    <row r="1073" spans="1:40" ht="15">
      <c r="A1073" s="83" t="e">
        <f>IF(#REF!&lt;&gt;#REF!,1,A1072+1)</f>
        <v>#REF!</v>
      </c>
      <c r="O1073" s="79"/>
      <c r="P1073" s="79"/>
      <c r="Q1073" s="76"/>
      <c r="R1073" s="77"/>
      <c r="S1073" s="76"/>
      <c r="T1073" s="77"/>
      <c r="U1073" s="76"/>
      <c r="V1073" s="77"/>
      <c r="W1073" s="76"/>
      <c r="X1073" s="77"/>
      <c r="Y1073" s="76"/>
      <c r="Z1073" s="76"/>
      <c r="AA1073" s="76"/>
      <c r="AB1073" s="76"/>
      <c r="AC1073" s="76"/>
      <c r="AD1073" s="76"/>
      <c r="AE1073" s="76"/>
      <c r="AF1073" s="76"/>
      <c r="AG1073" s="76"/>
      <c r="AH1073" s="76"/>
      <c r="AI1073" s="76"/>
      <c r="AJ1073" s="76"/>
      <c r="AK1073" s="76"/>
      <c r="AL1073" s="77"/>
      <c r="AM1073" s="76"/>
      <c r="AN1073" s="76"/>
    </row>
    <row r="1074" spans="1:40" ht="15">
      <c r="A1074" s="83" t="e">
        <f>IF(#REF!&lt;&gt;#REF!,1,A1073+1)</f>
        <v>#REF!</v>
      </c>
      <c r="O1074" s="79"/>
      <c r="P1074" s="79"/>
      <c r="Q1074" s="76"/>
      <c r="R1074" s="77"/>
      <c r="S1074" s="76"/>
      <c r="T1074" s="77"/>
      <c r="U1074" s="76"/>
      <c r="V1074" s="77"/>
      <c r="W1074" s="76"/>
      <c r="X1074" s="77"/>
      <c r="Y1074" s="76"/>
      <c r="Z1074" s="76"/>
      <c r="AA1074" s="76"/>
      <c r="AB1074" s="76"/>
      <c r="AC1074" s="76"/>
      <c r="AD1074" s="76"/>
      <c r="AE1074" s="76"/>
      <c r="AF1074" s="76"/>
      <c r="AG1074" s="76"/>
      <c r="AH1074" s="76"/>
      <c r="AI1074" s="76"/>
      <c r="AJ1074" s="76"/>
      <c r="AK1074" s="76"/>
      <c r="AL1074" s="77"/>
      <c r="AM1074" s="76"/>
      <c r="AN1074" s="76"/>
    </row>
    <row r="1075" spans="1:40" ht="15">
      <c r="A1075" s="83" t="e">
        <f>IF(#REF!&lt;&gt;#REF!,1,A1074+1)</f>
        <v>#REF!</v>
      </c>
      <c r="O1075" s="79"/>
      <c r="P1075" s="79"/>
      <c r="Q1075" s="76"/>
      <c r="R1075" s="77"/>
      <c r="S1075" s="76"/>
      <c r="T1075" s="77"/>
      <c r="U1075" s="76"/>
      <c r="V1075" s="77"/>
      <c r="W1075" s="76"/>
      <c r="X1075" s="77"/>
      <c r="Y1075" s="76"/>
      <c r="Z1075" s="76"/>
      <c r="AA1075" s="76"/>
      <c r="AB1075" s="76"/>
      <c r="AC1075" s="76"/>
      <c r="AD1075" s="76"/>
      <c r="AE1075" s="76"/>
      <c r="AF1075" s="76"/>
      <c r="AG1075" s="76"/>
      <c r="AH1075" s="76"/>
      <c r="AI1075" s="76"/>
      <c r="AJ1075" s="76"/>
      <c r="AK1075" s="76"/>
      <c r="AL1075" s="77"/>
      <c r="AM1075" s="76"/>
      <c r="AN1075" s="76"/>
    </row>
    <row r="1076" spans="1:40" ht="15">
      <c r="A1076" s="83" t="e">
        <f>IF(#REF!&lt;&gt;#REF!,1,A1075+1)</f>
        <v>#REF!</v>
      </c>
      <c r="O1076" s="79"/>
      <c r="P1076" s="79"/>
      <c r="Q1076" s="76"/>
      <c r="R1076" s="77"/>
      <c r="S1076" s="76"/>
      <c r="T1076" s="77"/>
      <c r="U1076" s="76"/>
      <c r="V1076" s="77"/>
      <c r="W1076" s="76"/>
      <c r="X1076" s="77"/>
      <c r="Y1076" s="76"/>
      <c r="Z1076" s="76"/>
      <c r="AA1076" s="76"/>
      <c r="AB1076" s="76"/>
      <c r="AC1076" s="76"/>
      <c r="AD1076" s="76"/>
      <c r="AE1076" s="76"/>
      <c r="AF1076" s="76"/>
      <c r="AG1076" s="76"/>
      <c r="AH1076" s="76"/>
      <c r="AI1076" s="76"/>
      <c r="AJ1076" s="76"/>
      <c r="AK1076" s="76"/>
      <c r="AL1076" s="77"/>
      <c r="AM1076" s="76"/>
      <c r="AN1076" s="76"/>
    </row>
    <row r="1077" spans="1:40" ht="15">
      <c r="A1077" s="83" t="e">
        <f>IF(#REF!&lt;&gt;#REF!,1,A1076+1)</f>
        <v>#REF!</v>
      </c>
      <c r="O1077" s="79"/>
      <c r="P1077" s="79"/>
      <c r="Q1077" s="76"/>
      <c r="R1077" s="77"/>
      <c r="S1077" s="76"/>
      <c r="T1077" s="77"/>
      <c r="U1077" s="76"/>
      <c r="V1077" s="77"/>
      <c r="W1077" s="76"/>
      <c r="X1077" s="77"/>
      <c r="Y1077" s="76"/>
      <c r="Z1077" s="76"/>
      <c r="AA1077" s="76"/>
      <c r="AB1077" s="76"/>
      <c r="AC1077" s="76"/>
      <c r="AD1077" s="76"/>
      <c r="AE1077" s="76"/>
      <c r="AF1077" s="76"/>
      <c r="AG1077" s="76"/>
      <c r="AH1077" s="76"/>
      <c r="AI1077" s="76"/>
      <c r="AJ1077" s="76"/>
      <c r="AK1077" s="76"/>
      <c r="AL1077" s="77"/>
      <c r="AM1077" s="76"/>
      <c r="AN1077" s="76"/>
    </row>
    <row r="1078" spans="1:40" ht="15">
      <c r="A1078" s="83" t="e">
        <f>IF(#REF!&lt;&gt;#REF!,1,A1077+1)</f>
        <v>#REF!</v>
      </c>
      <c r="O1078" s="79"/>
      <c r="P1078" s="79"/>
      <c r="Q1078" s="76"/>
      <c r="R1078" s="77"/>
      <c r="S1078" s="76"/>
      <c r="T1078" s="77"/>
      <c r="U1078" s="76"/>
      <c r="V1078" s="77"/>
      <c r="W1078" s="76"/>
      <c r="X1078" s="77"/>
      <c r="Y1078" s="76"/>
      <c r="Z1078" s="76"/>
      <c r="AA1078" s="76"/>
      <c r="AB1078" s="76"/>
      <c r="AC1078" s="76"/>
      <c r="AD1078" s="76"/>
      <c r="AE1078" s="76"/>
      <c r="AF1078" s="76"/>
      <c r="AG1078" s="76"/>
      <c r="AH1078" s="76"/>
      <c r="AI1078" s="76"/>
      <c r="AJ1078" s="76"/>
      <c r="AK1078" s="76"/>
      <c r="AL1078" s="77"/>
      <c r="AM1078" s="76"/>
      <c r="AN1078" s="76"/>
    </row>
    <row r="1079" spans="1:40" ht="15">
      <c r="A1079" s="83" t="e">
        <f>IF(#REF!&lt;&gt;#REF!,1,A1078+1)</f>
        <v>#REF!</v>
      </c>
      <c r="O1079" s="79"/>
      <c r="P1079" s="79"/>
      <c r="Q1079" s="76"/>
      <c r="R1079" s="77"/>
      <c r="S1079" s="76"/>
      <c r="T1079" s="77"/>
      <c r="U1079" s="76"/>
      <c r="V1079" s="77"/>
      <c r="W1079" s="76"/>
      <c r="X1079" s="77"/>
      <c r="Y1079" s="76"/>
      <c r="Z1079" s="76"/>
      <c r="AA1079" s="76"/>
      <c r="AB1079" s="76"/>
      <c r="AC1079" s="76"/>
      <c r="AD1079" s="76"/>
      <c r="AE1079" s="76"/>
      <c r="AF1079" s="76"/>
      <c r="AG1079" s="76"/>
      <c r="AH1079" s="76"/>
      <c r="AI1079" s="76"/>
      <c r="AJ1079" s="76"/>
      <c r="AK1079" s="76"/>
      <c r="AL1079" s="77"/>
      <c r="AM1079" s="76"/>
      <c r="AN1079" s="76"/>
    </row>
    <row r="1080" spans="1:40" ht="15">
      <c r="A1080" s="83" t="e">
        <f>IF(#REF!&lt;&gt;#REF!,1,A1079+1)</f>
        <v>#REF!</v>
      </c>
      <c r="O1080" s="79"/>
      <c r="P1080" s="79"/>
      <c r="Q1080" s="76"/>
      <c r="R1080" s="77"/>
      <c r="S1080" s="76"/>
      <c r="T1080" s="77"/>
      <c r="U1080" s="76"/>
      <c r="V1080" s="77"/>
      <c r="W1080" s="76"/>
      <c r="X1080" s="77"/>
      <c r="Y1080" s="76"/>
      <c r="Z1080" s="76"/>
      <c r="AA1080" s="76"/>
      <c r="AB1080" s="76"/>
      <c r="AC1080" s="76"/>
      <c r="AD1080" s="76"/>
      <c r="AE1080" s="76"/>
      <c r="AF1080" s="76"/>
      <c r="AG1080" s="76"/>
      <c r="AH1080" s="76"/>
      <c r="AI1080" s="76"/>
      <c r="AJ1080" s="76"/>
      <c r="AK1080" s="76"/>
      <c r="AL1080" s="77"/>
      <c r="AM1080" s="76"/>
      <c r="AN1080" s="76"/>
    </row>
    <row r="1081" spans="1:40" ht="15">
      <c r="A1081" s="83" t="e">
        <f>IF(#REF!&lt;&gt;#REF!,1,A1080+1)</f>
        <v>#REF!</v>
      </c>
      <c r="O1081" s="79"/>
      <c r="P1081" s="79"/>
      <c r="Q1081" s="76"/>
      <c r="R1081" s="77"/>
      <c r="S1081" s="76"/>
      <c r="T1081" s="77"/>
      <c r="U1081" s="76"/>
      <c r="V1081" s="77"/>
      <c r="W1081" s="76"/>
      <c r="X1081" s="77"/>
      <c r="Y1081" s="76"/>
      <c r="Z1081" s="76"/>
      <c r="AA1081" s="76"/>
      <c r="AB1081" s="76"/>
      <c r="AC1081" s="76"/>
      <c r="AD1081" s="76"/>
      <c r="AE1081" s="76"/>
      <c r="AF1081" s="76"/>
      <c r="AG1081" s="76"/>
      <c r="AH1081" s="76"/>
      <c r="AI1081" s="76"/>
      <c r="AJ1081" s="76"/>
      <c r="AK1081" s="76"/>
      <c r="AL1081" s="77"/>
      <c r="AM1081" s="76"/>
      <c r="AN1081" s="76"/>
    </row>
    <row r="1082" spans="1:40" ht="15">
      <c r="A1082" s="83" t="e">
        <f>IF(#REF!&lt;&gt;#REF!,1,A1081+1)</f>
        <v>#REF!</v>
      </c>
      <c r="O1082" s="79"/>
      <c r="P1082" s="79"/>
      <c r="Q1082" s="76"/>
      <c r="R1082" s="77"/>
      <c r="S1082" s="76"/>
      <c r="T1082" s="77"/>
      <c r="U1082" s="76"/>
      <c r="V1082" s="77"/>
      <c r="W1082" s="76"/>
      <c r="X1082" s="77"/>
      <c r="Y1082" s="76"/>
      <c r="Z1082" s="76"/>
      <c r="AA1082" s="76"/>
      <c r="AB1082" s="76"/>
      <c r="AC1082" s="76"/>
      <c r="AD1082" s="76"/>
      <c r="AE1082" s="76"/>
      <c r="AF1082" s="76"/>
      <c r="AG1082" s="76"/>
      <c r="AH1082" s="76"/>
      <c r="AI1082" s="76"/>
      <c r="AJ1082" s="76"/>
      <c r="AK1082" s="76"/>
      <c r="AL1082" s="77"/>
      <c r="AM1082" s="76"/>
      <c r="AN1082" s="76"/>
    </row>
    <row r="1083" spans="1:40" ht="15">
      <c r="A1083" s="83" t="e">
        <f>IF(#REF!&lt;&gt;#REF!,1,A1082+1)</f>
        <v>#REF!</v>
      </c>
      <c r="O1083" s="79"/>
      <c r="P1083" s="79"/>
      <c r="Q1083" s="76"/>
      <c r="R1083" s="77"/>
      <c r="S1083" s="76"/>
      <c r="T1083" s="77"/>
      <c r="U1083" s="76"/>
      <c r="V1083" s="77"/>
      <c r="W1083" s="76"/>
      <c r="X1083" s="77"/>
      <c r="Y1083" s="76"/>
      <c r="Z1083" s="76"/>
      <c r="AA1083" s="76"/>
      <c r="AB1083" s="76"/>
      <c r="AC1083" s="76"/>
      <c r="AD1083" s="76"/>
      <c r="AE1083" s="76"/>
      <c r="AF1083" s="76"/>
      <c r="AG1083" s="76"/>
      <c r="AH1083" s="76"/>
      <c r="AI1083" s="76"/>
      <c r="AJ1083" s="76"/>
      <c r="AK1083" s="76"/>
      <c r="AL1083" s="77"/>
      <c r="AM1083" s="76"/>
      <c r="AN1083" s="76"/>
    </row>
    <row r="1084" spans="1:40" ht="15">
      <c r="A1084" s="83" t="e">
        <f>IF(#REF!&lt;&gt;#REF!,1,A1083+1)</f>
        <v>#REF!</v>
      </c>
      <c r="O1084" s="79"/>
      <c r="P1084" s="79"/>
      <c r="Q1084" s="76"/>
      <c r="R1084" s="77"/>
      <c r="S1084" s="76"/>
      <c r="T1084" s="77"/>
      <c r="U1084" s="76"/>
      <c r="V1084" s="77"/>
      <c r="W1084" s="76"/>
      <c r="X1084" s="77"/>
      <c r="Y1084" s="76"/>
      <c r="Z1084" s="76"/>
      <c r="AA1084" s="76"/>
      <c r="AB1084" s="76"/>
      <c r="AC1084" s="76"/>
      <c r="AD1084" s="76"/>
      <c r="AE1084" s="76"/>
      <c r="AF1084" s="76"/>
      <c r="AG1084" s="76"/>
      <c r="AH1084" s="76"/>
      <c r="AI1084" s="76"/>
      <c r="AJ1084" s="76"/>
      <c r="AK1084" s="76"/>
      <c r="AL1084" s="77"/>
      <c r="AM1084" s="76"/>
      <c r="AN1084" s="76"/>
    </row>
    <row r="1085" spans="1:40" ht="15">
      <c r="A1085" s="83" t="e">
        <f>IF(#REF!&lt;&gt;#REF!,1,A1084+1)</f>
        <v>#REF!</v>
      </c>
      <c r="O1085" s="79"/>
      <c r="P1085" s="79"/>
      <c r="Q1085" s="76"/>
      <c r="R1085" s="77"/>
      <c r="S1085" s="76"/>
      <c r="T1085" s="77"/>
      <c r="U1085" s="76"/>
      <c r="V1085" s="77"/>
      <c r="W1085" s="76"/>
      <c r="X1085" s="77"/>
      <c r="Y1085" s="76"/>
      <c r="Z1085" s="76"/>
      <c r="AA1085" s="76"/>
      <c r="AB1085" s="76"/>
      <c r="AC1085" s="76"/>
      <c r="AD1085" s="76"/>
      <c r="AE1085" s="76"/>
      <c r="AF1085" s="76"/>
      <c r="AG1085" s="76"/>
      <c r="AH1085" s="76"/>
      <c r="AI1085" s="76"/>
      <c r="AJ1085" s="76"/>
      <c r="AK1085" s="76"/>
      <c r="AL1085" s="77"/>
      <c r="AM1085" s="76"/>
      <c r="AN1085" s="76"/>
    </row>
    <row r="1086" spans="1:40" ht="15">
      <c r="A1086" s="83" t="e">
        <f>IF(#REF!&lt;&gt;#REF!,1,A1085+1)</f>
        <v>#REF!</v>
      </c>
      <c r="O1086" s="79"/>
      <c r="P1086" s="79"/>
      <c r="Q1086" s="76"/>
      <c r="R1086" s="77"/>
      <c r="S1086" s="76"/>
      <c r="T1086" s="77"/>
      <c r="U1086" s="76"/>
      <c r="V1086" s="77"/>
      <c r="W1086" s="76"/>
      <c r="X1086" s="77"/>
      <c r="Y1086" s="76"/>
      <c r="Z1086" s="76"/>
      <c r="AA1086" s="76"/>
      <c r="AB1086" s="76"/>
      <c r="AC1086" s="76"/>
      <c r="AD1086" s="76"/>
      <c r="AE1086" s="76"/>
      <c r="AF1086" s="76"/>
      <c r="AG1086" s="76"/>
      <c r="AH1086" s="76"/>
      <c r="AI1086" s="76"/>
      <c r="AJ1086" s="76"/>
      <c r="AK1086" s="76"/>
      <c r="AL1086" s="77"/>
      <c r="AM1086" s="76"/>
      <c r="AN1086" s="76"/>
    </row>
    <row r="1087" spans="1:40" ht="15">
      <c r="A1087" s="83" t="e">
        <f>IF(#REF!&lt;&gt;#REF!,1,A1086+1)</f>
        <v>#REF!</v>
      </c>
      <c r="O1087" s="79"/>
      <c r="P1087" s="79"/>
      <c r="Q1087" s="76"/>
      <c r="R1087" s="77"/>
      <c r="S1087" s="76"/>
      <c r="T1087" s="77"/>
      <c r="U1087" s="76"/>
      <c r="V1087" s="77"/>
      <c r="W1087" s="76"/>
      <c r="X1087" s="77"/>
      <c r="Y1087" s="76"/>
      <c r="Z1087" s="76"/>
      <c r="AA1087" s="76"/>
      <c r="AB1087" s="76"/>
      <c r="AC1087" s="76"/>
      <c r="AD1087" s="76"/>
      <c r="AE1087" s="76"/>
      <c r="AF1087" s="76"/>
      <c r="AG1087" s="76"/>
      <c r="AH1087" s="76"/>
      <c r="AI1087" s="76"/>
      <c r="AJ1087" s="76"/>
      <c r="AK1087" s="76"/>
      <c r="AL1087" s="77"/>
      <c r="AM1087" s="76"/>
      <c r="AN1087" s="76"/>
    </row>
    <row r="1088" spans="1:40" ht="15">
      <c r="A1088" s="83" t="e">
        <f>IF(#REF!&lt;&gt;#REF!,1,A1087+1)</f>
        <v>#REF!</v>
      </c>
      <c r="O1088" s="79"/>
      <c r="P1088" s="79"/>
      <c r="Q1088" s="76"/>
      <c r="R1088" s="77"/>
      <c r="S1088" s="76"/>
      <c r="T1088" s="77"/>
      <c r="U1088" s="76"/>
      <c r="V1088" s="77"/>
      <c r="W1088" s="76"/>
      <c r="X1088" s="77"/>
      <c r="Y1088" s="76"/>
      <c r="Z1088" s="76"/>
      <c r="AA1088" s="76"/>
      <c r="AB1088" s="76"/>
      <c r="AC1088" s="76"/>
      <c r="AD1088" s="76"/>
      <c r="AE1088" s="76"/>
      <c r="AF1088" s="76"/>
      <c r="AG1088" s="76"/>
      <c r="AH1088" s="76"/>
      <c r="AI1088" s="76"/>
      <c r="AJ1088" s="76"/>
      <c r="AK1088" s="76"/>
      <c r="AL1088" s="77"/>
      <c r="AM1088" s="76"/>
      <c r="AN1088" s="76"/>
    </row>
    <row r="1089" spans="1:40" ht="15">
      <c r="A1089" s="83" t="e">
        <f>IF(#REF!&lt;&gt;#REF!,1,A1088+1)</f>
        <v>#REF!</v>
      </c>
      <c r="O1089" s="79"/>
      <c r="P1089" s="79"/>
      <c r="Q1089" s="76"/>
      <c r="R1089" s="77"/>
      <c r="S1089" s="76"/>
      <c r="T1089" s="77"/>
      <c r="U1089" s="76"/>
      <c r="V1089" s="77"/>
      <c r="W1089" s="76"/>
      <c r="X1089" s="77"/>
      <c r="Y1089" s="76"/>
      <c r="Z1089" s="76"/>
      <c r="AA1089" s="76"/>
      <c r="AB1089" s="76"/>
      <c r="AC1089" s="76"/>
      <c r="AD1089" s="76"/>
      <c r="AE1089" s="76"/>
      <c r="AF1089" s="76"/>
      <c r="AG1089" s="76"/>
      <c r="AH1089" s="76"/>
      <c r="AI1089" s="76"/>
      <c r="AJ1089" s="76"/>
      <c r="AK1089" s="76"/>
      <c r="AL1089" s="77"/>
      <c r="AM1089" s="76"/>
      <c r="AN1089" s="76"/>
    </row>
    <row r="1090" spans="1:40" ht="15">
      <c r="A1090" s="83" t="e">
        <f>IF(#REF!&lt;&gt;#REF!,1,A1089+1)</f>
        <v>#REF!</v>
      </c>
      <c r="O1090" s="79"/>
      <c r="P1090" s="79"/>
      <c r="Q1090" s="76"/>
      <c r="R1090" s="77"/>
      <c r="S1090" s="76"/>
      <c r="T1090" s="77"/>
      <c r="U1090" s="76"/>
      <c r="V1090" s="77"/>
      <c r="W1090" s="76"/>
      <c r="X1090" s="77"/>
      <c r="Y1090" s="76"/>
      <c r="Z1090" s="76"/>
      <c r="AA1090" s="76"/>
      <c r="AB1090" s="76"/>
      <c r="AC1090" s="76"/>
      <c r="AD1090" s="76"/>
      <c r="AE1090" s="76"/>
      <c r="AF1090" s="76"/>
      <c r="AG1090" s="76"/>
      <c r="AH1090" s="76"/>
      <c r="AI1090" s="76"/>
      <c r="AJ1090" s="76"/>
      <c r="AK1090" s="76"/>
      <c r="AL1090" s="77"/>
      <c r="AM1090" s="76"/>
      <c r="AN1090" s="76"/>
    </row>
    <row r="1091" spans="1:40" ht="15">
      <c r="A1091" s="83" t="e">
        <f>IF(#REF!&lt;&gt;#REF!,1,A1090+1)</f>
        <v>#REF!</v>
      </c>
      <c r="O1091" s="79"/>
      <c r="P1091" s="79"/>
      <c r="Q1091" s="76"/>
      <c r="R1091" s="77"/>
      <c r="S1091" s="76"/>
      <c r="T1091" s="77"/>
      <c r="U1091" s="76"/>
      <c r="V1091" s="77"/>
      <c r="W1091" s="76"/>
      <c r="X1091" s="77"/>
      <c r="Y1091" s="76"/>
      <c r="Z1091" s="76"/>
      <c r="AA1091" s="76"/>
      <c r="AB1091" s="76"/>
      <c r="AC1091" s="76"/>
      <c r="AD1091" s="76"/>
      <c r="AE1091" s="76"/>
      <c r="AF1091" s="76"/>
      <c r="AG1091" s="76"/>
      <c r="AH1091" s="76"/>
      <c r="AI1091" s="76"/>
      <c r="AJ1091" s="76"/>
      <c r="AK1091" s="76"/>
      <c r="AL1091" s="77"/>
      <c r="AM1091" s="76"/>
      <c r="AN1091" s="76"/>
    </row>
    <row r="1092" spans="1:40" ht="15">
      <c r="A1092" s="83" t="e">
        <f>IF(#REF!&lt;&gt;#REF!,1,A1091+1)</f>
        <v>#REF!</v>
      </c>
      <c r="O1092" s="79"/>
      <c r="P1092" s="79"/>
      <c r="Q1092" s="76"/>
      <c r="R1092" s="77"/>
      <c r="S1092" s="76"/>
      <c r="T1092" s="77"/>
      <c r="U1092" s="76"/>
      <c r="V1092" s="77"/>
      <c r="W1092" s="76"/>
      <c r="X1092" s="77"/>
      <c r="Y1092" s="76"/>
      <c r="Z1092" s="76"/>
      <c r="AA1092" s="76"/>
      <c r="AB1092" s="76"/>
      <c r="AC1092" s="76"/>
      <c r="AD1092" s="76"/>
      <c r="AE1092" s="76"/>
      <c r="AF1092" s="76"/>
      <c r="AG1092" s="76"/>
      <c r="AH1092" s="76"/>
      <c r="AI1092" s="76"/>
      <c r="AJ1092" s="76"/>
      <c r="AK1092" s="76"/>
      <c r="AL1092" s="77"/>
      <c r="AM1092" s="76"/>
      <c r="AN1092" s="76"/>
    </row>
    <row r="1093" spans="1:40" ht="15">
      <c r="A1093" s="83" t="e">
        <f>IF(#REF!&lt;&gt;#REF!,1,A1092+1)</f>
        <v>#REF!</v>
      </c>
      <c r="O1093" s="79"/>
      <c r="P1093" s="79"/>
      <c r="Q1093" s="76"/>
      <c r="R1093" s="77"/>
      <c r="S1093" s="76"/>
      <c r="T1093" s="77"/>
      <c r="U1093" s="76"/>
      <c r="V1093" s="77"/>
      <c r="W1093" s="76"/>
      <c r="X1093" s="77"/>
      <c r="Y1093" s="76"/>
      <c r="Z1093" s="76"/>
      <c r="AA1093" s="76"/>
      <c r="AB1093" s="76"/>
      <c r="AC1093" s="76"/>
      <c r="AD1093" s="76"/>
      <c r="AE1093" s="76"/>
      <c r="AF1093" s="76"/>
      <c r="AG1093" s="76"/>
      <c r="AH1093" s="76"/>
      <c r="AI1093" s="76"/>
      <c r="AJ1093" s="76"/>
      <c r="AK1093" s="76"/>
      <c r="AL1093" s="77"/>
      <c r="AM1093" s="76"/>
      <c r="AN1093" s="76"/>
    </row>
    <row r="1094" spans="1:40" ht="15">
      <c r="A1094" s="83" t="e">
        <f>IF(#REF!&lt;&gt;#REF!,1,A1093+1)</f>
        <v>#REF!</v>
      </c>
      <c r="O1094" s="79"/>
      <c r="P1094" s="79"/>
      <c r="Q1094" s="76"/>
      <c r="R1094" s="77"/>
      <c r="S1094" s="76"/>
      <c r="T1094" s="77"/>
      <c r="U1094" s="76"/>
      <c r="V1094" s="77"/>
      <c r="W1094" s="76"/>
      <c r="X1094" s="77"/>
      <c r="Y1094" s="76"/>
      <c r="Z1094" s="76"/>
      <c r="AA1094" s="76"/>
      <c r="AB1094" s="76"/>
      <c r="AC1094" s="76"/>
      <c r="AD1094" s="76"/>
      <c r="AE1094" s="76"/>
      <c r="AF1094" s="76"/>
      <c r="AG1094" s="76"/>
      <c r="AH1094" s="76"/>
      <c r="AI1094" s="76"/>
      <c r="AJ1094" s="76"/>
      <c r="AK1094" s="76"/>
      <c r="AL1094" s="77"/>
      <c r="AM1094" s="76"/>
      <c r="AN1094" s="76"/>
    </row>
    <row r="1095" spans="1:40" ht="15">
      <c r="A1095" s="83" t="e">
        <f>IF(#REF!&lt;&gt;#REF!,1,A1094+1)</f>
        <v>#REF!</v>
      </c>
      <c r="O1095" s="79"/>
      <c r="P1095" s="79"/>
      <c r="Q1095" s="76"/>
      <c r="R1095" s="77"/>
      <c r="S1095" s="76"/>
      <c r="T1095" s="77"/>
      <c r="U1095" s="76"/>
      <c r="V1095" s="77"/>
      <c r="W1095" s="76"/>
      <c r="X1095" s="77"/>
      <c r="Y1095" s="76"/>
      <c r="Z1095" s="76"/>
      <c r="AA1095" s="76"/>
      <c r="AB1095" s="76"/>
      <c r="AC1095" s="76"/>
      <c r="AD1095" s="76"/>
      <c r="AE1095" s="76"/>
      <c r="AF1095" s="76"/>
      <c r="AG1095" s="76"/>
      <c r="AH1095" s="76"/>
      <c r="AI1095" s="76"/>
      <c r="AJ1095" s="76"/>
      <c r="AK1095" s="76"/>
      <c r="AL1095" s="77"/>
      <c r="AM1095" s="76"/>
      <c r="AN1095" s="76"/>
    </row>
    <row r="1096" spans="1:40" ht="15">
      <c r="A1096" s="83" t="e">
        <f>IF(#REF!&lt;&gt;#REF!,1,A1095+1)</f>
        <v>#REF!</v>
      </c>
      <c r="O1096" s="79"/>
      <c r="P1096" s="79"/>
      <c r="Q1096" s="76"/>
      <c r="R1096" s="77"/>
      <c r="S1096" s="76"/>
      <c r="T1096" s="77"/>
      <c r="U1096" s="76"/>
      <c r="V1096" s="77"/>
      <c r="W1096" s="76"/>
      <c r="X1096" s="77"/>
      <c r="Y1096" s="76"/>
      <c r="Z1096" s="76"/>
      <c r="AA1096" s="76"/>
      <c r="AB1096" s="76"/>
      <c r="AC1096" s="76"/>
      <c r="AD1096" s="76"/>
      <c r="AE1096" s="76"/>
      <c r="AF1096" s="76"/>
      <c r="AG1096" s="76"/>
      <c r="AH1096" s="76"/>
      <c r="AI1096" s="76"/>
      <c r="AJ1096" s="76"/>
      <c r="AK1096" s="76"/>
      <c r="AL1096" s="77"/>
      <c r="AM1096" s="76"/>
      <c r="AN1096" s="76"/>
    </row>
    <row r="1097" spans="1:40" ht="15">
      <c r="A1097" s="83" t="e">
        <f>IF(#REF!&lt;&gt;#REF!,1,A1096+1)</f>
        <v>#REF!</v>
      </c>
      <c r="O1097" s="79"/>
      <c r="P1097" s="79"/>
      <c r="Q1097" s="76"/>
      <c r="R1097" s="77"/>
      <c r="S1097" s="76"/>
      <c r="T1097" s="77"/>
      <c r="U1097" s="76"/>
      <c r="V1097" s="77"/>
      <c r="W1097" s="76"/>
      <c r="X1097" s="77"/>
      <c r="Y1097" s="76"/>
      <c r="Z1097" s="76"/>
      <c r="AA1097" s="76"/>
      <c r="AB1097" s="76"/>
      <c r="AC1097" s="76"/>
      <c r="AD1097" s="76"/>
      <c r="AE1097" s="76"/>
      <c r="AF1097" s="76"/>
      <c r="AG1097" s="76"/>
      <c r="AH1097" s="76"/>
      <c r="AI1097" s="76"/>
      <c r="AJ1097" s="76"/>
      <c r="AK1097" s="76"/>
      <c r="AL1097" s="77"/>
      <c r="AM1097" s="76"/>
      <c r="AN1097" s="76"/>
    </row>
    <row r="1098" spans="1:40" ht="15">
      <c r="A1098" s="83" t="e">
        <f>IF(#REF!&lt;&gt;#REF!,1,A1097+1)</f>
        <v>#REF!</v>
      </c>
      <c r="O1098" s="79"/>
      <c r="P1098" s="79"/>
      <c r="Q1098" s="76"/>
      <c r="R1098" s="77"/>
      <c r="S1098" s="76"/>
      <c r="T1098" s="77"/>
      <c r="U1098" s="76"/>
      <c r="V1098" s="77"/>
      <c r="W1098" s="76"/>
      <c r="X1098" s="77"/>
      <c r="Y1098" s="76"/>
      <c r="Z1098" s="76"/>
      <c r="AA1098" s="76"/>
      <c r="AB1098" s="76"/>
      <c r="AC1098" s="76"/>
      <c r="AD1098" s="76"/>
      <c r="AE1098" s="76"/>
      <c r="AF1098" s="76"/>
      <c r="AG1098" s="76"/>
      <c r="AH1098" s="76"/>
      <c r="AI1098" s="76"/>
      <c r="AJ1098" s="76"/>
      <c r="AK1098" s="76"/>
      <c r="AL1098" s="77"/>
      <c r="AM1098" s="76"/>
      <c r="AN1098" s="76"/>
    </row>
    <row r="1099" spans="1:40" ht="15">
      <c r="A1099" s="83" t="e">
        <f>IF(#REF!&lt;&gt;#REF!,1,A1098+1)</f>
        <v>#REF!</v>
      </c>
      <c r="O1099" s="79"/>
      <c r="P1099" s="79"/>
      <c r="Q1099" s="76"/>
      <c r="R1099" s="77"/>
      <c r="S1099" s="76"/>
      <c r="T1099" s="77"/>
      <c r="U1099" s="76"/>
      <c r="V1099" s="77"/>
      <c r="W1099" s="76"/>
      <c r="X1099" s="77"/>
      <c r="Y1099" s="76"/>
      <c r="Z1099" s="76"/>
      <c r="AA1099" s="76"/>
      <c r="AB1099" s="76"/>
      <c r="AC1099" s="76"/>
      <c r="AD1099" s="76"/>
      <c r="AE1099" s="76"/>
      <c r="AF1099" s="76"/>
      <c r="AG1099" s="76"/>
      <c r="AH1099" s="76"/>
      <c r="AI1099" s="76"/>
      <c r="AJ1099" s="76"/>
      <c r="AK1099" s="76"/>
      <c r="AL1099" s="77"/>
      <c r="AM1099" s="76"/>
      <c r="AN1099" s="76"/>
    </row>
    <row r="1100" spans="1:40" ht="15">
      <c r="A1100" s="83" t="e">
        <f>IF(#REF!&lt;&gt;#REF!,1,A1099+1)</f>
        <v>#REF!</v>
      </c>
      <c r="O1100" s="79"/>
      <c r="P1100" s="79"/>
      <c r="Q1100" s="76"/>
      <c r="R1100" s="77"/>
      <c r="S1100" s="76"/>
      <c r="T1100" s="77"/>
      <c r="U1100" s="76"/>
      <c r="V1100" s="77"/>
      <c r="W1100" s="76"/>
      <c r="X1100" s="77"/>
      <c r="Y1100" s="76"/>
      <c r="Z1100" s="76"/>
      <c r="AA1100" s="76"/>
      <c r="AB1100" s="76"/>
      <c r="AC1100" s="76"/>
      <c r="AD1100" s="76"/>
      <c r="AE1100" s="76"/>
      <c r="AF1100" s="76"/>
      <c r="AG1100" s="76"/>
      <c r="AH1100" s="76"/>
      <c r="AI1100" s="76"/>
      <c r="AJ1100" s="76"/>
      <c r="AK1100" s="76"/>
      <c r="AL1100" s="77"/>
      <c r="AM1100" s="76"/>
      <c r="AN1100" s="76"/>
    </row>
    <row r="1101" spans="1:40" ht="15">
      <c r="A1101" s="83" t="e">
        <f>IF(#REF!&lt;&gt;#REF!,1,A1100+1)</f>
        <v>#REF!</v>
      </c>
      <c r="O1101" s="79"/>
      <c r="P1101" s="79"/>
      <c r="Q1101" s="76"/>
      <c r="R1101" s="77"/>
      <c r="S1101" s="76"/>
      <c r="T1101" s="77"/>
      <c r="U1101" s="76"/>
      <c r="V1101" s="77"/>
      <c r="W1101" s="76"/>
      <c r="X1101" s="77"/>
      <c r="Y1101" s="76"/>
      <c r="Z1101" s="76"/>
      <c r="AA1101" s="76"/>
      <c r="AB1101" s="76"/>
      <c r="AC1101" s="76"/>
      <c r="AD1101" s="76"/>
      <c r="AE1101" s="76"/>
      <c r="AF1101" s="76"/>
      <c r="AG1101" s="76"/>
      <c r="AH1101" s="76"/>
      <c r="AI1101" s="76"/>
      <c r="AJ1101" s="76"/>
      <c r="AK1101" s="76"/>
      <c r="AL1101" s="77"/>
      <c r="AM1101" s="76"/>
      <c r="AN1101" s="76"/>
    </row>
    <row r="1102" spans="1:40" ht="15">
      <c r="A1102" s="83" t="e">
        <f>IF(#REF!&lt;&gt;#REF!,1,A1101+1)</f>
        <v>#REF!</v>
      </c>
      <c r="O1102" s="79"/>
      <c r="P1102" s="79"/>
      <c r="Q1102" s="76"/>
      <c r="R1102" s="77"/>
      <c r="S1102" s="76"/>
      <c r="T1102" s="77"/>
      <c r="U1102" s="76"/>
      <c r="V1102" s="77"/>
      <c r="W1102" s="76"/>
      <c r="X1102" s="77"/>
      <c r="Y1102" s="76"/>
      <c r="Z1102" s="76"/>
      <c r="AA1102" s="76"/>
      <c r="AB1102" s="76"/>
      <c r="AC1102" s="76"/>
      <c r="AD1102" s="76"/>
      <c r="AE1102" s="76"/>
      <c r="AF1102" s="76"/>
      <c r="AG1102" s="76"/>
      <c r="AH1102" s="76"/>
      <c r="AI1102" s="76"/>
      <c r="AJ1102" s="76"/>
      <c r="AK1102" s="76"/>
      <c r="AL1102" s="77"/>
      <c r="AM1102" s="76"/>
      <c r="AN1102" s="76"/>
    </row>
    <row r="1103" spans="1:40" ht="15">
      <c r="A1103" s="83" t="e">
        <f>IF(#REF!&lt;&gt;#REF!,1,A1102+1)</f>
        <v>#REF!</v>
      </c>
      <c r="O1103" s="79"/>
      <c r="P1103" s="79"/>
      <c r="Q1103" s="76"/>
      <c r="R1103" s="77"/>
      <c r="S1103" s="76"/>
      <c r="T1103" s="77"/>
      <c r="U1103" s="76"/>
      <c r="V1103" s="77"/>
      <c r="W1103" s="76"/>
      <c r="X1103" s="77"/>
      <c r="Y1103" s="76"/>
      <c r="Z1103" s="76"/>
      <c r="AA1103" s="76"/>
      <c r="AB1103" s="76"/>
      <c r="AC1103" s="76"/>
      <c r="AD1103" s="76"/>
      <c r="AE1103" s="76"/>
      <c r="AF1103" s="76"/>
      <c r="AG1103" s="76"/>
      <c r="AH1103" s="76"/>
      <c r="AI1103" s="76"/>
      <c r="AJ1103" s="76"/>
      <c r="AK1103" s="76"/>
      <c r="AL1103" s="77"/>
      <c r="AM1103" s="76"/>
      <c r="AN1103" s="76"/>
    </row>
    <row r="1104" spans="1:40" ht="15">
      <c r="A1104" s="83" t="e">
        <f>IF(#REF!&lt;&gt;#REF!,1,A1103+1)</f>
        <v>#REF!</v>
      </c>
      <c r="O1104" s="79"/>
      <c r="P1104" s="79"/>
      <c r="Q1104" s="76"/>
      <c r="R1104" s="77"/>
      <c r="S1104" s="76"/>
      <c r="T1104" s="77"/>
      <c r="U1104" s="76"/>
      <c r="V1104" s="77"/>
      <c r="W1104" s="76"/>
      <c r="X1104" s="77"/>
      <c r="Y1104" s="76"/>
      <c r="Z1104" s="76"/>
      <c r="AA1104" s="76"/>
      <c r="AB1104" s="76"/>
      <c r="AC1104" s="76"/>
      <c r="AD1104" s="76"/>
      <c r="AE1104" s="76"/>
      <c r="AF1104" s="76"/>
      <c r="AG1104" s="76"/>
      <c r="AH1104" s="76"/>
      <c r="AI1104" s="76"/>
      <c r="AJ1104" s="76"/>
      <c r="AK1104" s="76"/>
      <c r="AL1104" s="77"/>
      <c r="AM1104" s="76"/>
      <c r="AN1104" s="76"/>
    </row>
    <row r="1105" spans="1:40" ht="15">
      <c r="A1105" s="83" t="e">
        <f>IF(#REF!&lt;&gt;#REF!,1,A1104+1)</f>
        <v>#REF!</v>
      </c>
      <c r="O1105" s="79"/>
      <c r="P1105" s="79"/>
      <c r="Q1105" s="76"/>
      <c r="R1105" s="77"/>
      <c r="S1105" s="76"/>
      <c r="T1105" s="77"/>
      <c r="U1105" s="76"/>
      <c r="V1105" s="77"/>
      <c r="W1105" s="76"/>
      <c r="X1105" s="77"/>
      <c r="Y1105" s="76"/>
      <c r="Z1105" s="76"/>
      <c r="AA1105" s="76"/>
      <c r="AB1105" s="76"/>
      <c r="AC1105" s="76"/>
      <c r="AD1105" s="76"/>
      <c r="AE1105" s="76"/>
      <c r="AF1105" s="76"/>
      <c r="AG1105" s="76"/>
      <c r="AH1105" s="76"/>
      <c r="AI1105" s="76"/>
      <c r="AJ1105" s="76"/>
      <c r="AK1105" s="76"/>
      <c r="AL1105" s="77"/>
      <c r="AM1105" s="76"/>
      <c r="AN1105" s="76"/>
    </row>
    <row r="1106" spans="1:40" ht="15">
      <c r="A1106" s="83" t="e">
        <f>IF(#REF!&lt;&gt;#REF!,1,A1105+1)</f>
        <v>#REF!</v>
      </c>
      <c r="O1106" s="79"/>
      <c r="P1106" s="79"/>
      <c r="Q1106" s="76"/>
      <c r="R1106" s="77"/>
      <c r="S1106" s="76"/>
      <c r="T1106" s="77"/>
      <c r="U1106" s="76"/>
      <c r="V1106" s="77"/>
      <c r="W1106" s="76"/>
      <c r="X1106" s="77"/>
      <c r="Y1106" s="76"/>
      <c r="Z1106" s="76"/>
      <c r="AA1106" s="76"/>
      <c r="AB1106" s="76"/>
      <c r="AC1106" s="76"/>
      <c r="AD1106" s="76"/>
      <c r="AE1106" s="76"/>
      <c r="AF1106" s="76"/>
      <c r="AG1106" s="76"/>
      <c r="AH1106" s="76"/>
      <c r="AI1106" s="76"/>
      <c r="AJ1106" s="76"/>
      <c r="AK1106" s="76"/>
      <c r="AL1106" s="77"/>
      <c r="AM1106" s="76"/>
      <c r="AN1106" s="76"/>
    </row>
    <row r="1107" spans="1:40" ht="15">
      <c r="A1107" s="83" t="e">
        <f>IF(#REF!&lt;&gt;#REF!,1,A1106+1)</f>
        <v>#REF!</v>
      </c>
      <c r="O1107" s="79"/>
      <c r="P1107" s="79"/>
      <c r="Q1107" s="76"/>
      <c r="R1107" s="77"/>
      <c r="S1107" s="76"/>
      <c r="T1107" s="77"/>
      <c r="U1107" s="76"/>
      <c r="V1107" s="77"/>
      <c r="W1107" s="76"/>
      <c r="X1107" s="77"/>
      <c r="Y1107" s="76"/>
      <c r="Z1107" s="76"/>
      <c r="AA1107" s="76"/>
      <c r="AB1107" s="76"/>
      <c r="AC1107" s="76"/>
      <c r="AD1107" s="76"/>
      <c r="AE1107" s="76"/>
      <c r="AF1107" s="76"/>
      <c r="AG1107" s="76"/>
      <c r="AH1107" s="76"/>
      <c r="AI1107" s="76"/>
      <c r="AJ1107" s="76"/>
      <c r="AK1107" s="76"/>
      <c r="AL1107" s="77"/>
      <c r="AM1107" s="76"/>
      <c r="AN1107" s="76"/>
    </row>
    <row r="1108" spans="1:40" ht="15">
      <c r="A1108" s="83" t="e">
        <f>IF(#REF!&lt;&gt;#REF!,1,A1107+1)</f>
        <v>#REF!</v>
      </c>
      <c r="O1108" s="79"/>
      <c r="P1108" s="79"/>
      <c r="Q1108" s="76"/>
      <c r="R1108" s="77"/>
      <c r="S1108" s="76"/>
      <c r="T1108" s="77"/>
      <c r="U1108" s="76"/>
      <c r="V1108" s="77"/>
      <c r="W1108" s="76"/>
      <c r="X1108" s="77"/>
      <c r="Y1108" s="76"/>
      <c r="Z1108" s="76"/>
      <c r="AA1108" s="76"/>
      <c r="AB1108" s="76"/>
      <c r="AC1108" s="76"/>
      <c r="AD1108" s="76"/>
      <c r="AE1108" s="76"/>
      <c r="AF1108" s="76"/>
      <c r="AG1108" s="76"/>
      <c r="AH1108" s="76"/>
      <c r="AI1108" s="76"/>
      <c r="AJ1108" s="76"/>
      <c r="AK1108" s="76"/>
      <c r="AL1108" s="77"/>
      <c r="AM1108" s="76"/>
      <c r="AN1108" s="76"/>
    </row>
    <row r="1109" spans="1:40" ht="15">
      <c r="A1109" s="83" t="e">
        <f>IF(#REF!&lt;&gt;#REF!,1,A1108+1)</f>
        <v>#REF!</v>
      </c>
      <c r="O1109" s="79"/>
      <c r="P1109" s="79"/>
      <c r="Q1109" s="76"/>
      <c r="R1109" s="77"/>
      <c r="S1109" s="76"/>
      <c r="T1109" s="77"/>
      <c r="U1109" s="76"/>
      <c r="V1109" s="77"/>
      <c r="W1109" s="76"/>
      <c r="X1109" s="77"/>
      <c r="Y1109" s="76"/>
      <c r="Z1109" s="76"/>
      <c r="AA1109" s="76"/>
      <c r="AB1109" s="76"/>
      <c r="AC1109" s="76"/>
      <c r="AD1109" s="76"/>
      <c r="AE1109" s="76"/>
      <c r="AF1109" s="76"/>
      <c r="AG1109" s="76"/>
      <c r="AH1109" s="76"/>
      <c r="AI1109" s="76"/>
      <c r="AJ1109" s="76"/>
      <c r="AK1109" s="76"/>
      <c r="AL1109" s="77"/>
      <c r="AM1109" s="76"/>
      <c r="AN1109" s="76"/>
    </row>
    <row r="1110" spans="1:40" ht="15">
      <c r="A1110" s="83" t="e">
        <f>IF(#REF!&lt;&gt;#REF!,1,A1109+1)</f>
        <v>#REF!</v>
      </c>
      <c r="O1110" s="79"/>
      <c r="P1110" s="79"/>
      <c r="Q1110" s="76"/>
      <c r="R1110" s="77"/>
      <c r="S1110" s="76"/>
      <c r="T1110" s="77"/>
      <c r="U1110" s="76"/>
      <c r="V1110" s="77"/>
      <c r="W1110" s="76"/>
      <c r="X1110" s="77"/>
      <c r="Y1110" s="76"/>
      <c r="Z1110" s="76"/>
      <c r="AA1110" s="76"/>
      <c r="AB1110" s="76"/>
      <c r="AC1110" s="76"/>
      <c r="AD1110" s="76"/>
      <c r="AE1110" s="76"/>
      <c r="AF1110" s="76"/>
      <c r="AG1110" s="76"/>
      <c r="AH1110" s="76"/>
      <c r="AI1110" s="76"/>
      <c r="AJ1110" s="76"/>
      <c r="AK1110" s="76"/>
      <c r="AL1110" s="77"/>
      <c r="AM1110" s="76"/>
      <c r="AN1110" s="76"/>
    </row>
    <row r="1111" spans="1:40" ht="15">
      <c r="A1111" s="83" t="e">
        <f>IF(#REF!&lt;&gt;#REF!,1,A1110+1)</f>
        <v>#REF!</v>
      </c>
      <c r="O1111" s="79"/>
      <c r="P1111" s="79"/>
      <c r="Q1111" s="76"/>
      <c r="R1111" s="77"/>
      <c r="S1111" s="76"/>
      <c r="T1111" s="77"/>
      <c r="U1111" s="76"/>
      <c r="V1111" s="77"/>
      <c r="W1111" s="76"/>
      <c r="X1111" s="77"/>
      <c r="Y1111" s="76"/>
      <c r="Z1111" s="76"/>
      <c r="AA1111" s="76"/>
      <c r="AB1111" s="76"/>
      <c r="AC1111" s="76"/>
      <c r="AD1111" s="76"/>
      <c r="AE1111" s="76"/>
      <c r="AF1111" s="76"/>
      <c r="AG1111" s="76"/>
      <c r="AH1111" s="76"/>
      <c r="AI1111" s="76"/>
      <c r="AJ1111" s="76"/>
      <c r="AK1111" s="76"/>
      <c r="AL1111" s="77"/>
      <c r="AM1111" s="76"/>
      <c r="AN1111" s="76"/>
    </row>
    <row r="1112" spans="1:40" ht="15">
      <c r="A1112" s="83" t="e">
        <f>IF(#REF!&lt;&gt;#REF!,1,A1111+1)</f>
        <v>#REF!</v>
      </c>
      <c r="O1112" s="79"/>
      <c r="P1112" s="79"/>
      <c r="Q1112" s="76"/>
      <c r="R1112" s="77"/>
      <c r="S1112" s="76"/>
      <c r="T1112" s="77"/>
      <c r="U1112" s="76"/>
      <c r="V1112" s="77"/>
      <c r="W1112" s="76"/>
      <c r="X1112" s="77"/>
      <c r="Y1112" s="76"/>
      <c r="Z1112" s="76"/>
      <c r="AA1112" s="76"/>
      <c r="AB1112" s="76"/>
      <c r="AC1112" s="76"/>
      <c r="AD1112" s="76"/>
      <c r="AE1112" s="76"/>
      <c r="AF1112" s="76"/>
      <c r="AG1112" s="76"/>
      <c r="AH1112" s="76"/>
      <c r="AI1112" s="76"/>
      <c r="AJ1112" s="76"/>
      <c r="AK1112" s="76"/>
      <c r="AL1112" s="77"/>
      <c r="AM1112" s="76"/>
      <c r="AN1112" s="76"/>
    </row>
    <row r="1113" spans="1:40" ht="15">
      <c r="A1113" s="83" t="e">
        <f>IF(#REF!&lt;&gt;#REF!,1,A1112+1)</f>
        <v>#REF!</v>
      </c>
      <c r="O1113" s="79"/>
      <c r="P1113" s="79"/>
      <c r="Q1113" s="76"/>
      <c r="R1113" s="77"/>
      <c r="S1113" s="76"/>
      <c r="T1113" s="77"/>
      <c r="U1113" s="76"/>
      <c r="V1113" s="77"/>
      <c r="W1113" s="76"/>
      <c r="X1113" s="77"/>
      <c r="Y1113" s="76"/>
      <c r="Z1113" s="76"/>
      <c r="AA1113" s="76"/>
      <c r="AB1113" s="76"/>
      <c r="AC1113" s="76"/>
      <c r="AD1113" s="76"/>
      <c r="AE1113" s="76"/>
      <c r="AF1113" s="76"/>
      <c r="AG1113" s="76"/>
      <c r="AH1113" s="76"/>
      <c r="AI1113" s="76"/>
      <c r="AJ1113" s="76"/>
      <c r="AK1113" s="76"/>
      <c r="AL1113" s="77"/>
      <c r="AM1113" s="76"/>
      <c r="AN1113" s="76"/>
    </row>
    <row r="1114" spans="1:40" ht="15">
      <c r="A1114" s="83" t="e">
        <f>IF(#REF!&lt;&gt;#REF!,1,A1113+1)</f>
        <v>#REF!</v>
      </c>
      <c r="O1114" s="79"/>
      <c r="P1114" s="79"/>
      <c r="Q1114" s="76"/>
      <c r="R1114" s="77"/>
      <c r="S1114" s="76"/>
      <c r="T1114" s="77"/>
      <c r="U1114" s="76"/>
      <c r="V1114" s="77"/>
      <c r="W1114" s="76"/>
      <c r="X1114" s="77"/>
      <c r="Y1114" s="76"/>
      <c r="Z1114" s="76"/>
      <c r="AA1114" s="76"/>
      <c r="AB1114" s="76"/>
      <c r="AC1114" s="76"/>
      <c r="AD1114" s="76"/>
      <c r="AE1114" s="76"/>
      <c r="AF1114" s="76"/>
      <c r="AG1114" s="76"/>
      <c r="AH1114" s="76"/>
      <c r="AI1114" s="76"/>
      <c r="AJ1114" s="76"/>
      <c r="AK1114" s="76"/>
      <c r="AL1114" s="77"/>
      <c r="AM1114" s="76"/>
      <c r="AN1114" s="76"/>
    </row>
    <row r="1115" spans="1:40" ht="15">
      <c r="A1115" s="83" t="e">
        <f>IF(#REF!&lt;&gt;#REF!,1,A1114+1)</f>
        <v>#REF!</v>
      </c>
      <c r="O1115" s="79"/>
      <c r="P1115" s="79"/>
      <c r="Q1115" s="76"/>
      <c r="R1115" s="77"/>
      <c r="S1115" s="76"/>
      <c r="T1115" s="77"/>
      <c r="U1115" s="76"/>
      <c r="V1115" s="77"/>
      <c r="W1115" s="76"/>
      <c r="X1115" s="77"/>
      <c r="Y1115" s="76"/>
      <c r="Z1115" s="76"/>
      <c r="AA1115" s="76"/>
      <c r="AB1115" s="76"/>
      <c r="AC1115" s="76"/>
      <c r="AD1115" s="76"/>
      <c r="AE1115" s="76"/>
      <c r="AF1115" s="76"/>
      <c r="AG1115" s="76"/>
      <c r="AH1115" s="76"/>
      <c r="AI1115" s="76"/>
      <c r="AJ1115" s="76"/>
      <c r="AK1115" s="76"/>
      <c r="AL1115" s="77"/>
      <c r="AM1115" s="76"/>
      <c r="AN1115" s="76"/>
    </row>
    <row r="1116" spans="1:40" ht="15">
      <c r="A1116" s="83" t="e">
        <f>IF(#REF!&lt;&gt;#REF!,1,A1115+1)</f>
        <v>#REF!</v>
      </c>
      <c r="O1116" s="79"/>
      <c r="P1116" s="79"/>
      <c r="Q1116" s="76"/>
      <c r="R1116" s="77"/>
      <c r="S1116" s="76"/>
      <c r="T1116" s="77"/>
      <c r="U1116" s="76"/>
      <c r="V1116" s="77"/>
      <c r="W1116" s="76"/>
      <c r="X1116" s="77"/>
      <c r="Y1116" s="76"/>
      <c r="Z1116" s="76"/>
      <c r="AA1116" s="76"/>
      <c r="AB1116" s="76"/>
      <c r="AC1116" s="76"/>
      <c r="AD1116" s="76"/>
      <c r="AE1116" s="76"/>
      <c r="AF1116" s="76"/>
      <c r="AG1116" s="76"/>
      <c r="AH1116" s="76"/>
      <c r="AI1116" s="76"/>
      <c r="AJ1116" s="76"/>
      <c r="AK1116" s="76"/>
      <c r="AL1116" s="77"/>
      <c r="AM1116" s="76"/>
      <c r="AN1116" s="76"/>
    </row>
    <row r="1117" spans="1:40" ht="15">
      <c r="A1117" s="83" t="e">
        <f>IF(#REF!&lt;&gt;#REF!,1,A1116+1)</f>
        <v>#REF!</v>
      </c>
      <c r="O1117" s="79"/>
      <c r="P1117" s="79"/>
      <c r="Q1117" s="76"/>
      <c r="R1117" s="77"/>
      <c r="S1117" s="76"/>
      <c r="T1117" s="77"/>
      <c r="U1117" s="76"/>
      <c r="V1117" s="77"/>
      <c r="W1117" s="76"/>
      <c r="X1117" s="77"/>
      <c r="Y1117" s="76"/>
      <c r="Z1117" s="76"/>
      <c r="AA1117" s="76"/>
      <c r="AB1117" s="76"/>
      <c r="AC1117" s="76"/>
      <c r="AD1117" s="76"/>
      <c r="AE1117" s="76"/>
      <c r="AF1117" s="76"/>
      <c r="AG1117" s="76"/>
      <c r="AH1117" s="76"/>
      <c r="AI1117" s="76"/>
      <c r="AJ1117" s="76"/>
      <c r="AK1117" s="76"/>
      <c r="AL1117" s="77"/>
      <c r="AM1117" s="76"/>
      <c r="AN1117" s="76"/>
    </row>
    <row r="1118" spans="1:40" ht="15">
      <c r="A1118" s="83" t="e">
        <f>IF(#REF!&lt;&gt;#REF!,1,A1117+1)</f>
        <v>#REF!</v>
      </c>
      <c r="O1118" s="79"/>
      <c r="P1118" s="79"/>
      <c r="Q1118" s="76"/>
      <c r="R1118" s="77"/>
      <c r="S1118" s="76"/>
      <c r="T1118" s="77"/>
      <c r="U1118" s="76"/>
      <c r="V1118" s="77"/>
      <c r="W1118" s="76"/>
      <c r="X1118" s="77"/>
      <c r="Y1118" s="76"/>
      <c r="Z1118" s="76"/>
      <c r="AA1118" s="76"/>
      <c r="AB1118" s="76"/>
      <c r="AC1118" s="76"/>
      <c r="AD1118" s="76"/>
      <c r="AE1118" s="76"/>
      <c r="AF1118" s="76"/>
      <c r="AG1118" s="76"/>
      <c r="AH1118" s="76"/>
      <c r="AI1118" s="76"/>
      <c r="AJ1118" s="76"/>
      <c r="AK1118" s="76"/>
      <c r="AL1118" s="77"/>
      <c r="AM1118" s="76"/>
      <c r="AN1118" s="76"/>
    </row>
    <row r="1119" spans="1:40" ht="15">
      <c r="A1119" s="83" t="e">
        <f>IF(#REF!&lt;&gt;#REF!,1,A1118+1)</f>
        <v>#REF!</v>
      </c>
      <c r="O1119" s="79"/>
      <c r="P1119" s="79"/>
      <c r="Q1119" s="76"/>
      <c r="R1119" s="77"/>
      <c r="S1119" s="76"/>
      <c r="T1119" s="77"/>
      <c r="U1119" s="76"/>
      <c r="V1119" s="77"/>
      <c r="W1119" s="76"/>
      <c r="X1119" s="77"/>
      <c r="Y1119" s="76"/>
      <c r="Z1119" s="76"/>
      <c r="AA1119" s="76"/>
      <c r="AB1119" s="76"/>
      <c r="AC1119" s="76"/>
      <c r="AD1119" s="76"/>
      <c r="AE1119" s="76"/>
      <c r="AF1119" s="76"/>
      <c r="AG1119" s="76"/>
      <c r="AH1119" s="76"/>
      <c r="AI1119" s="76"/>
      <c r="AJ1119" s="76"/>
      <c r="AK1119" s="76"/>
      <c r="AL1119" s="77"/>
      <c r="AM1119" s="76"/>
      <c r="AN1119" s="76"/>
    </row>
    <row r="1120" spans="1:40" ht="15">
      <c r="A1120" s="83" t="e">
        <f>IF(#REF!&lt;&gt;#REF!,1,A1119+1)</f>
        <v>#REF!</v>
      </c>
      <c r="O1120" s="79"/>
      <c r="P1120" s="79"/>
      <c r="Q1120" s="76"/>
      <c r="R1120" s="77"/>
      <c r="S1120" s="76"/>
      <c r="T1120" s="77"/>
      <c r="U1120" s="76"/>
      <c r="V1120" s="77"/>
      <c r="W1120" s="76"/>
      <c r="X1120" s="77"/>
      <c r="Y1120" s="76"/>
      <c r="Z1120" s="76"/>
      <c r="AA1120" s="76"/>
      <c r="AB1120" s="76"/>
      <c r="AC1120" s="76"/>
      <c r="AD1120" s="76"/>
      <c r="AE1120" s="76"/>
      <c r="AF1120" s="76"/>
      <c r="AG1120" s="76"/>
      <c r="AH1120" s="76"/>
      <c r="AI1120" s="76"/>
      <c r="AJ1120" s="76"/>
      <c r="AK1120" s="76"/>
      <c r="AL1120" s="77"/>
      <c r="AM1120" s="76"/>
      <c r="AN1120" s="76"/>
    </row>
    <row r="1121" spans="1:40" ht="15">
      <c r="A1121" s="83" t="e">
        <f>IF(#REF!&lt;&gt;#REF!,1,A1120+1)</f>
        <v>#REF!</v>
      </c>
      <c r="O1121" s="79"/>
      <c r="P1121" s="79"/>
      <c r="Q1121" s="76"/>
      <c r="R1121" s="77"/>
      <c r="S1121" s="76"/>
      <c r="T1121" s="77"/>
      <c r="U1121" s="76"/>
      <c r="V1121" s="77"/>
      <c r="W1121" s="76"/>
      <c r="X1121" s="77"/>
      <c r="Y1121" s="76"/>
      <c r="Z1121" s="76"/>
      <c r="AA1121" s="76"/>
      <c r="AB1121" s="76"/>
      <c r="AC1121" s="76"/>
      <c r="AD1121" s="76"/>
      <c r="AE1121" s="76"/>
      <c r="AF1121" s="76"/>
      <c r="AG1121" s="76"/>
      <c r="AH1121" s="76"/>
      <c r="AI1121" s="76"/>
      <c r="AJ1121" s="76"/>
      <c r="AK1121" s="76"/>
      <c r="AL1121" s="77"/>
      <c r="AM1121" s="76"/>
      <c r="AN1121" s="76"/>
    </row>
    <row r="1122" spans="1:40" ht="15">
      <c r="A1122" s="83" t="e">
        <f>IF(#REF!&lt;&gt;#REF!,1,A1121+1)</f>
        <v>#REF!</v>
      </c>
      <c r="O1122" s="79"/>
      <c r="P1122" s="79"/>
      <c r="Q1122" s="76"/>
      <c r="R1122" s="77"/>
      <c r="S1122" s="76"/>
      <c r="T1122" s="77"/>
      <c r="U1122" s="76"/>
      <c r="V1122" s="77"/>
      <c r="W1122" s="76"/>
      <c r="X1122" s="77"/>
      <c r="Y1122" s="76"/>
      <c r="Z1122" s="76"/>
      <c r="AA1122" s="76"/>
      <c r="AB1122" s="76"/>
      <c r="AC1122" s="76"/>
      <c r="AD1122" s="76"/>
      <c r="AE1122" s="76"/>
      <c r="AF1122" s="76"/>
      <c r="AG1122" s="76"/>
      <c r="AH1122" s="76"/>
      <c r="AI1122" s="76"/>
      <c r="AJ1122" s="76"/>
      <c r="AK1122" s="76"/>
      <c r="AL1122" s="77"/>
      <c r="AM1122" s="76"/>
      <c r="AN1122" s="76"/>
    </row>
    <row r="1123" spans="1:40" ht="15">
      <c r="A1123" s="83" t="e">
        <f>IF(#REF!&lt;&gt;#REF!,1,A1122+1)</f>
        <v>#REF!</v>
      </c>
      <c r="O1123" s="79"/>
      <c r="P1123" s="79"/>
      <c r="Q1123" s="76"/>
      <c r="R1123" s="77"/>
      <c r="S1123" s="76"/>
      <c r="T1123" s="77"/>
      <c r="U1123" s="76"/>
      <c r="V1123" s="77"/>
      <c r="W1123" s="76"/>
      <c r="X1123" s="77"/>
      <c r="Y1123" s="76"/>
      <c r="Z1123" s="76"/>
      <c r="AA1123" s="76"/>
      <c r="AB1123" s="76"/>
      <c r="AC1123" s="76"/>
      <c r="AD1123" s="76"/>
      <c r="AE1123" s="76"/>
      <c r="AF1123" s="76"/>
      <c r="AG1123" s="76"/>
      <c r="AH1123" s="76"/>
      <c r="AI1123" s="76"/>
      <c r="AJ1123" s="76"/>
      <c r="AK1123" s="76"/>
      <c r="AL1123" s="77"/>
      <c r="AM1123" s="76"/>
      <c r="AN1123" s="76"/>
    </row>
    <row r="1124" spans="1:40" ht="15">
      <c r="A1124" s="83" t="e">
        <f>IF(#REF!&lt;&gt;#REF!,1,A1123+1)</f>
        <v>#REF!</v>
      </c>
      <c r="O1124" s="79"/>
      <c r="P1124" s="79"/>
      <c r="Q1124" s="76"/>
      <c r="R1124" s="77"/>
      <c r="S1124" s="76"/>
      <c r="T1124" s="77"/>
      <c r="U1124" s="76"/>
      <c r="V1124" s="77"/>
      <c r="W1124" s="76"/>
      <c r="X1124" s="77"/>
      <c r="Y1124" s="76"/>
      <c r="Z1124" s="76"/>
      <c r="AA1124" s="76"/>
      <c r="AB1124" s="76"/>
      <c r="AC1124" s="76"/>
      <c r="AD1124" s="76"/>
      <c r="AE1124" s="76"/>
      <c r="AF1124" s="76"/>
      <c r="AG1124" s="76"/>
      <c r="AH1124" s="76"/>
      <c r="AI1124" s="76"/>
      <c r="AJ1124" s="76"/>
      <c r="AK1124" s="76"/>
      <c r="AL1124" s="77"/>
      <c r="AM1124" s="76"/>
      <c r="AN1124" s="76"/>
    </row>
    <row r="1125" spans="1:40" ht="15">
      <c r="A1125" s="83" t="e">
        <f>IF(#REF!&lt;&gt;#REF!,1,A1124+1)</f>
        <v>#REF!</v>
      </c>
      <c r="O1125" s="79"/>
      <c r="P1125" s="79"/>
      <c r="Q1125" s="76"/>
      <c r="R1125" s="77"/>
      <c r="S1125" s="76"/>
      <c r="T1125" s="77"/>
      <c r="U1125" s="76"/>
      <c r="V1125" s="77"/>
      <c r="W1125" s="76"/>
      <c r="X1125" s="77"/>
      <c r="Y1125" s="76"/>
      <c r="Z1125" s="76"/>
      <c r="AA1125" s="76"/>
      <c r="AB1125" s="76"/>
      <c r="AC1125" s="76"/>
      <c r="AD1125" s="76"/>
      <c r="AE1125" s="76"/>
      <c r="AF1125" s="76"/>
      <c r="AG1125" s="76"/>
      <c r="AH1125" s="76"/>
      <c r="AI1125" s="76"/>
      <c r="AJ1125" s="76"/>
      <c r="AK1125" s="76"/>
      <c r="AL1125" s="77"/>
      <c r="AM1125" s="76"/>
      <c r="AN1125" s="76"/>
    </row>
    <row r="1126" spans="1:40" ht="15">
      <c r="A1126" s="83" t="e">
        <f>IF(#REF!&lt;&gt;#REF!,1,A1125+1)</f>
        <v>#REF!</v>
      </c>
      <c r="O1126" s="79"/>
      <c r="P1126" s="79"/>
      <c r="Q1126" s="76"/>
      <c r="R1126" s="77"/>
      <c r="S1126" s="76"/>
      <c r="T1126" s="77"/>
      <c r="U1126" s="76"/>
      <c r="V1126" s="77"/>
      <c r="W1126" s="76"/>
      <c r="X1126" s="77"/>
      <c r="Y1126" s="76"/>
      <c r="Z1126" s="76"/>
      <c r="AA1126" s="76"/>
      <c r="AB1126" s="76"/>
      <c r="AC1126" s="76"/>
      <c r="AD1126" s="76"/>
      <c r="AE1126" s="76"/>
      <c r="AF1126" s="76"/>
      <c r="AG1126" s="76"/>
      <c r="AH1126" s="76"/>
      <c r="AI1126" s="76"/>
      <c r="AJ1126" s="76"/>
      <c r="AK1126" s="76"/>
      <c r="AL1126" s="77"/>
      <c r="AM1126" s="76"/>
      <c r="AN1126" s="76"/>
    </row>
    <row r="1127" spans="1:40" ht="15">
      <c r="A1127" s="83" t="e">
        <f>IF(#REF!&lt;&gt;#REF!,1,A1126+1)</f>
        <v>#REF!</v>
      </c>
      <c r="O1127" s="79"/>
      <c r="P1127" s="79"/>
      <c r="Q1127" s="76"/>
      <c r="R1127" s="77"/>
      <c r="S1127" s="76"/>
      <c r="T1127" s="77"/>
      <c r="U1127" s="76"/>
      <c r="V1127" s="77"/>
      <c r="W1127" s="76"/>
      <c r="X1127" s="77"/>
      <c r="Y1127" s="76"/>
      <c r="Z1127" s="76"/>
      <c r="AA1127" s="76"/>
      <c r="AB1127" s="76"/>
      <c r="AC1127" s="76"/>
      <c r="AD1127" s="76"/>
      <c r="AE1127" s="76"/>
      <c r="AF1127" s="76"/>
      <c r="AG1127" s="76"/>
      <c r="AH1127" s="76"/>
      <c r="AI1127" s="76"/>
      <c r="AJ1127" s="76"/>
      <c r="AK1127" s="76"/>
      <c r="AL1127" s="77"/>
      <c r="AM1127" s="76"/>
      <c r="AN1127" s="76"/>
    </row>
    <row r="1128" spans="1:40" ht="15">
      <c r="A1128" s="83" t="e">
        <f>IF(#REF!&lt;&gt;#REF!,1,A1127+1)</f>
        <v>#REF!</v>
      </c>
      <c r="O1128" s="79"/>
      <c r="P1128" s="79"/>
      <c r="Q1128" s="76"/>
      <c r="R1128" s="77"/>
      <c r="S1128" s="76"/>
      <c r="T1128" s="77"/>
      <c r="U1128" s="76"/>
      <c r="V1128" s="77"/>
      <c r="W1128" s="76"/>
      <c r="X1128" s="77"/>
      <c r="Y1128" s="76"/>
      <c r="Z1128" s="76"/>
      <c r="AA1128" s="76"/>
      <c r="AB1128" s="76"/>
      <c r="AC1128" s="76"/>
      <c r="AD1128" s="76"/>
      <c r="AE1128" s="76"/>
      <c r="AF1128" s="76"/>
      <c r="AG1128" s="76"/>
      <c r="AH1128" s="76"/>
      <c r="AI1128" s="76"/>
      <c r="AJ1128" s="76"/>
      <c r="AK1128" s="76"/>
      <c r="AL1128" s="77"/>
      <c r="AM1128" s="76"/>
      <c r="AN1128" s="76"/>
    </row>
    <row r="1129" spans="1:40" ht="15">
      <c r="A1129" s="83" t="e">
        <f>IF(#REF!&lt;&gt;#REF!,1,A1128+1)</f>
        <v>#REF!</v>
      </c>
      <c r="O1129" s="79"/>
      <c r="P1129" s="79"/>
      <c r="Q1129" s="76"/>
      <c r="R1129" s="77"/>
      <c r="S1129" s="76"/>
      <c r="T1129" s="77"/>
      <c r="U1129" s="76"/>
      <c r="V1129" s="77"/>
      <c r="W1129" s="76"/>
      <c r="X1129" s="77"/>
      <c r="Y1129" s="76"/>
      <c r="Z1129" s="76"/>
      <c r="AA1129" s="76"/>
      <c r="AB1129" s="76"/>
      <c r="AC1129" s="76"/>
      <c r="AD1129" s="76"/>
      <c r="AE1129" s="76"/>
      <c r="AF1129" s="76"/>
      <c r="AG1129" s="76"/>
      <c r="AH1129" s="76"/>
      <c r="AI1129" s="76"/>
      <c r="AJ1129" s="76"/>
      <c r="AK1129" s="76"/>
      <c r="AL1129" s="77"/>
      <c r="AM1129" s="76"/>
      <c r="AN1129" s="76"/>
    </row>
    <row r="1130" spans="1:40" ht="15">
      <c r="A1130" s="83" t="e">
        <f>IF(#REF!&lt;&gt;#REF!,1,A1129+1)</f>
        <v>#REF!</v>
      </c>
      <c r="O1130" s="79"/>
      <c r="P1130" s="79"/>
      <c r="Q1130" s="76"/>
      <c r="R1130" s="77"/>
      <c r="S1130" s="76"/>
      <c r="T1130" s="77"/>
      <c r="U1130" s="76"/>
      <c r="V1130" s="77"/>
      <c r="W1130" s="76"/>
      <c r="X1130" s="77"/>
      <c r="Y1130" s="76"/>
      <c r="Z1130" s="76"/>
      <c r="AA1130" s="76"/>
      <c r="AB1130" s="76"/>
      <c r="AC1130" s="76"/>
      <c r="AD1130" s="76"/>
      <c r="AE1130" s="76"/>
      <c r="AF1130" s="76"/>
      <c r="AG1130" s="76"/>
      <c r="AH1130" s="76"/>
      <c r="AI1130" s="76"/>
      <c r="AJ1130" s="76"/>
      <c r="AK1130" s="76"/>
      <c r="AL1130" s="77"/>
      <c r="AM1130" s="76"/>
      <c r="AN1130" s="76"/>
    </row>
    <row r="1131" spans="1:40" ht="15">
      <c r="A1131" s="83" t="e">
        <f>IF(#REF!&lt;&gt;#REF!,1,A1130+1)</f>
        <v>#REF!</v>
      </c>
      <c r="O1131" s="79"/>
      <c r="P1131" s="79"/>
      <c r="Q1131" s="76"/>
      <c r="R1131" s="77"/>
      <c r="S1131" s="76"/>
      <c r="T1131" s="77"/>
      <c r="U1131" s="76"/>
      <c r="V1131" s="77"/>
      <c r="W1131" s="76"/>
      <c r="X1131" s="77"/>
      <c r="Y1131" s="76"/>
      <c r="Z1131" s="76"/>
      <c r="AA1131" s="76"/>
      <c r="AB1131" s="76"/>
      <c r="AC1131" s="76"/>
      <c r="AD1131" s="76"/>
      <c r="AE1131" s="76"/>
      <c r="AF1131" s="76"/>
      <c r="AG1131" s="76"/>
      <c r="AH1131" s="76"/>
      <c r="AI1131" s="76"/>
      <c r="AJ1131" s="76"/>
      <c r="AK1131" s="76"/>
      <c r="AL1131" s="77"/>
      <c r="AM1131" s="76"/>
      <c r="AN1131" s="76"/>
    </row>
    <row r="1132" spans="1:40" ht="15">
      <c r="A1132" s="83" t="e">
        <f>IF(#REF!&lt;&gt;#REF!,1,A1131+1)</f>
        <v>#REF!</v>
      </c>
      <c r="O1132" s="79"/>
      <c r="P1132" s="79"/>
      <c r="Q1132" s="76"/>
      <c r="R1132" s="77"/>
      <c r="S1132" s="76"/>
      <c r="T1132" s="77"/>
      <c r="U1132" s="76"/>
      <c r="V1132" s="77"/>
      <c r="W1132" s="76"/>
      <c r="X1132" s="77"/>
      <c r="Y1132" s="76"/>
      <c r="Z1132" s="76"/>
      <c r="AA1132" s="76"/>
      <c r="AB1132" s="76"/>
      <c r="AC1132" s="76"/>
      <c r="AD1132" s="76"/>
      <c r="AE1132" s="76"/>
      <c r="AF1132" s="76"/>
      <c r="AG1132" s="76"/>
      <c r="AH1132" s="76"/>
      <c r="AI1132" s="76"/>
      <c r="AJ1132" s="76"/>
      <c r="AK1132" s="76"/>
      <c r="AL1132" s="77"/>
      <c r="AM1132" s="76"/>
      <c r="AN1132" s="76"/>
    </row>
    <row r="1133" spans="1:40" ht="15">
      <c r="A1133" s="83" t="e">
        <f>IF(#REF!&lt;&gt;#REF!,1,A1132+1)</f>
        <v>#REF!</v>
      </c>
      <c r="O1133" s="79"/>
      <c r="P1133" s="79"/>
      <c r="Q1133" s="76"/>
      <c r="R1133" s="77"/>
      <c r="S1133" s="76"/>
      <c r="T1133" s="77"/>
      <c r="U1133" s="76"/>
      <c r="V1133" s="77"/>
      <c r="W1133" s="76"/>
      <c r="X1133" s="77"/>
      <c r="Y1133" s="76"/>
      <c r="Z1133" s="76"/>
      <c r="AA1133" s="76"/>
      <c r="AB1133" s="76"/>
      <c r="AC1133" s="76"/>
      <c r="AD1133" s="76"/>
      <c r="AE1133" s="76"/>
      <c r="AF1133" s="76"/>
      <c r="AG1133" s="76"/>
      <c r="AH1133" s="76"/>
      <c r="AI1133" s="76"/>
      <c r="AJ1133" s="76"/>
      <c r="AK1133" s="76"/>
      <c r="AL1133" s="77"/>
      <c r="AM1133" s="76"/>
      <c r="AN1133" s="76"/>
    </row>
    <row r="1134" spans="1:40" ht="15">
      <c r="A1134" s="83" t="e">
        <f>IF(#REF!&lt;&gt;#REF!,1,A1133+1)</f>
        <v>#REF!</v>
      </c>
      <c r="O1134" s="79"/>
      <c r="P1134" s="79"/>
      <c r="Q1134" s="76"/>
      <c r="R1134" s="77"/>
      <c r="S1134" s="76"/>
      <c r="T1134" s="77"/>
      <c r="U1134" s="76"/>
      <c r="V1134" s="77"/>
      <c r="W1134" s="76"/>
      <c r="X1134" s="77"/>
      <c r="Y1134" s="76"/>
      <c r="Z1134" s="76"/>
      <c r="AA1134" s="76"/>
      <c r="AB1134" s="76"/>
      <c r="AC1134" s="76"/>
      <c r="AD1134" s="76"/>
      <c r="AE1134" s="76"/>
      <c r="AF1134" s="76"/>
      <c r="AG1134" s="76"/>
      <c r="AH1134" s="76"/>
      <c r="AI1134" s="76"/>
      <c r="AJ1134" s="76"/>
      <c r="AK1134" s="76"/>
      <c r="AL1134" s="77"/>
      <c r="AM1134" s="76"/>
      <c r="AN1134" s="76"/>
    </row>
    <row r="1135" spans="1:40" ht="15">
      <c r="A1135" s="83" t="e">
        <f>IF(#REF!&lt;&gt;#REF!,1,A1134+1)</f>
        <v>#REF!</v>
      </c>
      <c r="O1135" s="79"/>
      <c r="P1135" s="79"/>
      <c r="Q1135" s="76"/>
      <c r="R1135" s="77"/>
      <c r="S1135" s="76"/>
      <c r="T1135" s="77"/>
      <c r="U1135" s="76"/>
      <c r="V1135" s="77"/>
      <c r="W1135" s="76"/>
      <c r="X1135" s="77"/>
      <c r="Y1135" s="76"/>
      <c r="Z1135" s="76"/>
      <c r="AA1135" s="76"/>
      <c r="AB1135" s="76"/>
      <c r="AC1135" s="76"/>
      <c r="AD1135" s="76"/>
      <c r="AE1135" s="76"/>
      <c r="AF1135" s="76"/>
      <c r="AG1135" s="76"/>
      <c r="AH1135" s="76"/>
      <c r="AI1135" s="76"/>
      <c r="AJ1135" s="76"/>
      <c r="AK1135" s="76"/>
      <c r="AL1135" s="77"/>
      <c r="AM1135" s="76"/>
      <c r="AN1135" s="76"/>
    </row>
    <row r="1136" spans="1:40" ht="15">
      <c r="A1136" s="83" t="e">
        <f>IF(#REF!&lt;&gt;#REF!,1,A1135+1)</f>
        <v>#REF!</v>
      </c>
      <c r="O1136" s="79"/>
      <c r="P1136" s="79"/>
      <c r="Q1136" s="76"/>
      <c r="R1136" s="77"/>
      <c r="S1136" s="76"/>
      <c r="T1136" s="77"/>
      <c r="U1136" s="76"/>
      <c r="V1136" s="77"/>
      <c r="W1136" s="76"/>
      <c r="X1136" s="77"/>
      <c r="Y1136" s="76"/>
      <c r="Z1136" s="76"/>
      <c r="AA1136" s="76"/>
      <c r="AB1136" s="76"/>
      <c r="AC1136" s="76"/>
      <c r="AD1136" s="76"/>
      <c r="AE1136" s="76"/>
      <c r="AF1136" s="76"/>
      <c r="AG1136" s="76"/>
      <c r="AH1136" s="76"/>
      <c r="AI1136" s="76"/>
      <c r="AJ1136" s="76"/>
      <c r="AK1136" s="76"/>
      <c r="AL1136" s="77"/>
      <c r="AM1136" s="76"/>
      <c r="AN1136" s="76"/>
    </row>
    <row r="1137" spans="1:40" ht="15">
      <c r="A1137" s="83" t="e">
        <f>IF(#REF!&lt;&gt;#REF!,1,A1136+1)</f>
        <v>#REF!</v>
      </c>
      <c r="O1137" s="79"/>
      <c r="P1137" s="79"/>
      <c r="Q1137" s="76"/>
      <c r="R1137" s="77"/>
      <c r="S1137" s="76"/>
      <c r="T1137" s="77"/>
      <c r="U1137" s="76"/>
      <c r="V1137" s="77"/>
      <c r="W1137" s="76"/>
      <c r="X1137" s="77"/>
      <c r="Y1137" s="76"/>
      <c r="Z1137" s="76"/>
      <c r="AA1137" s="76"/>
      <c r="AB1137" s="76"/>
      <c r="AC1137" s="76"/>
      <c r="AD1137" s="76"/>
      <c r="AE1137" s="76"/>
      <c r="AF1137" s="76"/>
      <c r="AG1137" s="76"/>
      <c r="AH1137" s="76"/>
      <c r="AI1137" s="76"/>
      <c r="AJ1137" s="76"/>
      <c r="AK1137" s="76"/>
      <c r="AL1137" s="77"/>
      <c r="AM1137" s="76"/>
      <c r="AN1137" s="76"/>
    </row>
    <row r="1138" spans="1:40" ht="15">
      <c r="A1138" s="83" t="e">
        <f>IF(#REF!&lt;&gt;#REF!,1,A1137+1)</f>
        <v>#REF!</v>
      </c>
      <c r="O1138" s="79"/>
      <c r="P1138" s="79"/>
      <c r="Q1138" s="76"/>
      <c r="R1138" s="77"/>
      <c r="S1138" s="76"/>
      <c r="T1138" s="77"/>
      <c r="U1138" s="76"/>
      <c r="V1138" s="77"/>
      <c r="W1138" s="76"/>
      <c r="X1138" s="77"/>
      <c r="Y1138" s="76"/>
      <c r="Z1138" s="76"/>
      <c r="AA1138" s="76"/>
      <c r="AB1138" s="76"/>
      <c r="AC1138" s="76"/>
      <c r="AD1138" s="76"/>
      <c r="AE1138" s="76"/>
      <c r="AF1138" s="76"/>
      <c r="AG1138" s="76"/>
      <c r="AH1138" s="76"/>
      <c r="AI1138" s="76"/>
      <c r="AJ1138" s="76"/>
      <c r="AK1138" s="76"/>
      <c r="AL1138" s="77"/>
      <c r="AM1138" s="76"/>
      <c r="AN1138" s="76"/>
    </row>
    <row r="1139" spans="1:40" ht="15">
      <c r="A1139" s="83" t="e">
        <f>IF(#REF!&lt;&gt;#REF!,1,A1138+1)</f>
        <v>#REF!</v>
      </c>
      <c r="O1139" s="79"/>
      <c r="P1139" s="79"/>
      <c r="Q1139" s="76"/>
      <c r="R1139" s="77"/>
      <c r="S1139" s="76"/>
      <c r="T1139" s="77"/>
      <c r="U1139" s="76"/>
      <c r="V1139" s="77"/>
      <c r="W1139" s="76"/>
      <c r="X1139" s="77"/>
      <c r="Y1139" s="76"/>
      <c r="Z1139" s="76"/>
      <c r="AA1139" s="76"/>
      <c r="AB1139" s="76"/>
      <c r="AC1139" s="76"/>
      <c r="AD1139" s="76"/>
      <c r="AE1139" s="76"/>
      <c r="AF1139" s="76"/>
      <c r="AG1139" s="76"/>
      <c r="AH1139" s="76"/>
      <c r="AI1139" s="76"/>
      <c r="AJ1139" s="76"/>
      <c r="AK1139" s="76"/>
      <c r="AL1139" s="77"/>
      <c r="AM1139" s="76"/>
      <c r="AN1139" s="76"/>
    </row>
    <row r="1140" spans="1:40" ht="15">
      <c r="A1140" s="83" t="e">
        <f>IF(#REF!&lt;&gt;#REF!,1,A1139+1)</f>
        <v>#REF!</v>
      </c>
      <c r="O1140" s="79"/>
      <c r="P1140" s="79"/>
      <c r="Q1140" s="76"/>
      <c r="R1140" s="77"/>
      <c r="S1140" s="76"/>
      <c r="T1140" s="77"/>
      <c r="U1140" s="76"/>
      <c r="V1140" s="77"/>
      <c r="W1140" s="76"/>
      <c r="X1140" s="77"/>
      <c r="Y1140" s="76"/>
      <c r="Z1140" s="76"/>
      <c r="AA1140" s="76"/>
      <c r="AB1140" s="76"/>
      <c r="AC1140" s="76"/>
      <c r="AD1140" s="76"/>
      <c r="AE1140" s="76"/>
      <c r="AF1140" s="76"/>
      <c r="AG1140" s="76"/>
      <c r="AH1140" s="76"/>
      <c r="AI1140" s="76"/>
      <c r="AJ1140" s="76"/>
      <c r="AK1140" s="76"/>
      <c r="AL1140" s="77"/>
      <c r="AM1140" s="76"/>
      <c r="AN1140" s="76"/>
    </row>
    <row r="1141" spans="1:40" ht="15">
      <c r="A1141" s="83" t="e">
        <f>IF(#REF!&lt;&gt;#REF!,1,A1140+1)</f>
        <v>#REF!</v>
      </c>
      <c r="O1141" s="79"/>
      <c r="P1141" s="79"/>
      <c r="Q1141" s="76"/>
      <c r="R1141" s="77"/>
      <c r="S1141" s="76"/>
      <c r="T1141" s="77"/>
      <c r="U1141" s="76"/>
      <c r="V1141" s="77"/>
      <c r="W1141" s="76"/>
      <c r="X1141" s="77"/>
      <c r="Y1141" s="76"/>
      <c r="Z1141" s="76"/>
      <c r="AA1141" s="76"/>
      <c r="AB1141" s="76"/>
      <c r="AC1141" s="76"/>
      <c r="AD1141" s="76"/>
      <c r="AE1141" s="76"/>
      <c r="AF1141" s="76"/>
      <c r="AG1141" s="76"/>
      <c r="AH1141" s="76"/>
      <c r="AI1141" s="76"/>
      <c r="AJ1141" s="76"/>
      <c r="AK1141" s="76"/>
      <c r="AL1141" s="77"/>
      <c r="AM1141" s="76"/>
      <c r="AN1141" s="76"/>
    </row>
    <row r="1142" spans="1:40" ht="15">
      <c r="A1142" s="83" t="e">
        <f>IF(#REF!&lt;&gt;#REF!,1,A1141+1)</f>
        <v>#REF!</v>
      </c>
      <c r="O1142" s="79"/>
      <c r="P1142" s="79"/>
      <c r="Q1142" s="76"/>
      <c r="R1142" s="77"/>
      <c r="S1142" s="76"/>
      <c r="T1142" s="77"/>
      <c r="U1142" s="76"/>
      <c r="V1142" s="77"/>
      <c r="W1142" s="76"/>
      <c r="X1142" s="77"/>
      <c r="Y1142" s="76"/>
      <c r="Z1142" s="76"/>
      <c r="AA1142" s="76"/>
      <c r="AB1142" s="76"/>
      <c r="AC1142" s="76"/>
      <c r="AD1142" s="76"/>
      <c r="AE1142" s="76"/>
      <c r="AF1142" s="76"/>
      <c r="AG1142" s="76"/>
      <c r="AH1142" s="76"/>
      <c r="AI1142" s="76"/>
      <c r="AJ1142" s="76"/>
      <c r="AK1142" s="76"/>
      <c r="AL1142" s="77"/>
      <c r="AM1142" s="76"/>
      <c r="AN1142" s="76"/>
    </row>
    <row r="1143" spans="1:40" ht="15">
      <c r="A1143" s="83" t="e">
        <f>IF(#REF!&lt;&gt;#REF!,1,A1142+1)</f>
        <v>#REF!</v>
      </c>
      <c r="O1143" s="79"/>
      <c r="P1143" s="79"/>
      <c r="Q1143" s="76"/>
      <c r="R1143" s="77"/>
      <c r="S1143" s="76"/>
      <c r="T1143" s="77"/>
      <c r="U1143" s="76"/>
      <c r="V1143" s="77"/>
      <c r="W1143" s="76"/>
      <c r="X1143" s="77"/>
      <c r="Y1143" s="76"/>
      <c r="Z1143" s="76"/>
      <c r="AA1143" s="76"/>
      <c r="AB1143" s="76"/>
      <c r="AC1143" s="76"/>
      <c r="AD1143" s="76"/>
      <c r="AE1143" s="76"/>
      <c r="AF1143" s="76"/>
      <c r="AG1143" s="76"/>
      <c r="AH1143" s="76"/>
      <c r="AI1143" s="76"/>
      <c r="AJ1143" s="76"/>
      <c r="AK1143" s="76"/>
      <c r="AL1143" s="77"/>
      <c r="AM1143" s="76"/>
      <c r="AN1143" s="76"/>
    </row>
    <row r="1144" spans="1:40" ht="15">
      <c r="A1144" s="83" t="e">
        <f>IF(#REF!&lt;&gt;#REF!,1,A1143+1)</f>
        <v>#REF!</v>
      </c>
      <c r="O1144" s="79"/>
      <c r="P1144" s="79"/>
      <c r="Q1144" s="76"/>
      <c r="R1144" s="77"/>
      <c r="S1144" s="76"/>
      <c r="T1144" s="77"/>
      <c r="U1144" s="76"/>
      <c r="V1144" s="77"/>
      <c r="W1144" s="76"/>
      <c r="X1144" s="77"/>
      <c r="Y1144" s="76"/>
      <c r="Z1144" s="76"/>
      <c r="AA1144" s="76"/>
      <c r="AB1144" s="76"/>
      <c r="AC1144" s="76"/>
      <c r="AD1144" s="76"/>
      <c r="AE1144" s="76"/>
      <c r="AF1144" s="76"/>
      <c r="AG1144" s="76"/>
      <c r="AH1144" s="76"/>
      <c r="AI1144" s="76"/>
      <c r="AJ1144" s="76"/>
      <c r="AK1144" s="76"/>
      <c r="AL1144" s="77"/>
      <c r="AM1144" s="76"/>
      <c r="AN1144" s="76"/>
    </row>
    <row r="1145" spans="1:40" ht="15">
      <c r="A1145" s="83" t="e">
        <f>IF(#REF!&lt;&gt;#REF!,1,A1144+1)</f>
        <v>#REF!</v>
      </c>
      <c r="O1145" s="79"/>
      <c r="P1145" s="79"/>
      <c r="Q1145" s="76"/>
      <c r="R1145" s="77"/>
      <c r="S1145" s="76"/>
      <c r="T1145" s="77"/>
      <c r="U1145" s="76"/>
      <c r="V1145" s="77"/>
      <c r="W1145" s="76"/>
      <c r="X1145" s="77"/>
      <c r="Y1145" s="76"/>
      <c r="Z1145" s="76"/>
      <c r="AA1145" s="76"/>
      <c r="AB1145" s="76"/>
      <c r="AC1145" s="76"/>
      <c r="AD1145" s="76"/>
      <c r="AE1145" s="76"/>
      <c r="AF1145" s="76"/>
      <c r="AG1145" s="76"/>
      <c r="AH1145" s="76"/>
      <c r="AI1145" s="76"/>
      <c r="AJ1145" s="76"/>
      <c r="AK1145" s="76"/>
      <c r="AL1145" s="77"/>
      <c r="AM1145" s="76"/>
      <c r="AN1145" s="76"/>
    </row>
    <row r="1146" spans="1:40" ht="15">
      <c r="A1146" s="83" t="e">
        <f>IF(#REF!&lt;&gt;#REF!,1,A1145+1)</f>
        <v>#REF!</v>
      </c>
      <c r="O1146" s="79"/>
      <c r="P1146" s="79"/>
      <c r="Q1146" s="76"/>
      <c r="R1146" s="77"/>
      <c r="S1146" s="76"/>
      <c r="T1146" s="77"/>
      <c r="U1146" s="76"/>
      <c r="V1146" s="77"/>
      <c r="W1146" s="76"/>
      <c r="X1146" s="77"/>
      <c r="Y1146" s="76"/>
      <c r="Z1146" s="76"/>
      <c r="AA1146" s="76"/>
      <c r="AB1146" s="76"/>
      <c r="AC1146" s="76"/>
      <c r="AD1146" s="76"/>
      <c r="AE1146" s="76"/>
      <c r="AF1146" s="76"/>
      <c r="AG1146" s="76"/>
      <c r="AH1146" s="76"/>
      <c r="AI1146" s="76"/>
      <c r="AJ1146" s="76"/>
      <c r="AK1146" s="76"/>
      <c r="AL1146" s="77"/>
      <c r="AM1146" s="76"/>
      <c r="AN1146" s="76"/>
    </row>
    <row r="1147" spans="1:40" ht="15">
      <c r="A1147" s="83" t="e">
        <f>IF(#REF!&lt;&gt;#REF!,1,A1146+1)</f>
        <v>#REF!</v>
      </c>
      <c r="O1147" s="79"/>
      <c r="P1147" s="79"/>
      <c r="Q1147" s="76"/>
      <c r="R1147" s="77"/>
      <c r="S1147" s="76"/>
      <c r="T1147" s="77"/>
      <c r="U1147" s="76"/>
      <c r="V1147" s="77"/>
      <c r="W1147" s="76"/>
      <c r="X1147" s="77"/>
      <c r="Y1147" s="76"/>
      <c r="Z1147" s="76"/>
      <c r="AA1147" s="76"/>
      <c r="AB1147" s="76"/>
      <c r="AC1147" s="76"/>
      <c r="AD1147" s="76"/>
      <c r="AE1147" s="76"/>
      <c r="AF1147" s="76"/>
      <c r="AG1147" s="76"/>
      <c r="AH1147" s="76"/>
      <c r="AI1147" s="76"/>
      <c r="AJ1147" s="76"/>
      <c r="AK1147" s="76"/>
      <c r="AL1147" s="77"/>
      <c r="AM1147" s="76"/>
      <c r="AN1147" s="76"/>
    </row>
    <row r="1148" spans="1:40" ht="15">
      <c r="A1148" s="83" t="e">
        <f>IF(#REF!&lt;&gt;#REF!,1,A1147+1)</f>
        <v>#REF!</v>
      </c>
      <c r="O1148" s="79"/>
      <c r="P1148" s="79"/>
      <c r="Q1148" s="76"/>
      <c r="R1148" s="77"/>
      <c r="S1148" s="76"/>
      <c r="T1148" s="77"/>
      <c r="U1148" s="76"/>
      <c r="V1148" s="77"/>
      <c r="W1148" s="76"/>
      <c r="X1148" s="77"/>
      <c r="Y1148" s="76"/>
      <c r="Z1148" s="76"/>
      <c r="AA1148" s="76"/>
      <c r="AB1148" s="76"/>
      <c r="AC1148" s="76"/>
      <c r="AD1148" s="76"/>
      <c r="AE1148" s="76"/>
      <c r="AF1148" s="76"/>
      <c r="AG1148" s="76"/>
      <c r="AH1148" s="76"/>
      <c r="AI1148" s="76"/>
      <c r="AJ1148" s="76"/>
      <c r="AK1148" s="76"/>
      <c r="AL1148" s="77"/>
      <c r="AM1148" s="76"/>
      <c r="AN1148" s="76"/>
    </row>
    <row r="1149" spans="1:40" ht="15">
      <c r="A1149" s="83" t="e">
        <f>IF(#REF!&lt;&gt;#REF!,1,A1148+1)</f>
        <v>#REF!</v>
      </c>
      <c r="O1149" s="79"/>
      <c r="P1149" s="79"/>
      <c r="Q1149" s="76"/>
      <c r="R1149" s="77"/>
      <c r="S1149" s="76"/>
      <c r="T1149" s="77"/>
      <c r="U1149" s="76"/>
      <c r="V1149" s="77"/>
      <c r="W1149" s="76"/>
      <c r="X1149" s="77"/>
      <c r="Y1149" s="76"/>
      <c r="Z1149" s="76"/>
      <c r="AA1149" s="76"/>
      <c r="AB1149" s="76"/>
      <c r="AC1149" s="76"/>
      <c r="AD1149" s="76"/>
      <c r="AE1149" s="76"/>
      <c r="AF1149" s="76"/>
      <c r="AG1149" s="76"/>
      <c r="AH1149" s="76"/>
      <c r="AI1149" s="76"/>
      <c r="AJ1149" s="76"/>
      <c r="AK1149" s="76"/>
      <c r="AL1149" s="77"/>
      <c r="AM1149" s="76"/>
      <c r="AN1149" s="76"/>
    </row>
    <row r="1150" spans="1:40" ht="15">
      <c r="A1150" s="83" t="e">
        <f>IF(#REF!&lt;&gt;#REF!,1,A1149+1)</f>
        <v>#REF!</v>
      </c>
      <c r="O1150" s="79"/>
      <c r="P1150" s="79"/>
      <c r="Q1150" s="76"/>
      <c r="R1150" s="77"/>
      <c r="S1150" s="76"/>
      <c r="T1150" s="77"/>
      <c r="U1150" s="76"/>
      <c r="V1150" s="77"/>
      <c r="W1150" s="76"/>
      <c r="X1150" s="77"/>
      <c r="Y1150" s="76"/>
      <c r="Z1150" s="76"/>
      <c r="AA1150" s="76"/>
      <c r="AB1150" s="76"/>
      <c r="AC1150" s="76"/>
      <c r="AD1150" s="76"/>
      <c r="AE1150" s="76"/>
      <c r="AF1150" s="76"/>
      <c r="AG1150" s="76"/>
      <c r="AH1150" s="76"/>
      <c r="AI1150" s="76"/>
      <c r="AJ1150" s="76"/>
      <c r="AK1150" s="76"/>
      <c r="AL1150" s="77"/>
      <c r="AM1150" s="76"/>
      <c r="AN1150" s="76"/>
    </row>
    <row r="1151" spans="1:40" ht="15">
      <c r="A1151" s="83" t="e">
        <f>IF(#REF!&lt;&gt;#REF!,1,A1150+1)</f>
        <v>#REF!</v>
      </c>
      <c r="O1151" s="79"/>
      <c r="P1151" s="79"/>
      <c r="Q1151" s="76"/>
      <c r="R1151" s="77"/>
      <c r="S1151" s="76"/>
      <c r="T1151" s="77"/>
      <c r="U1151" s="76"/>
      <c r="V1151" s="77"/>
      <c r="W1151" s="76"/>
      <c r="X1151" s="77"/>
      <c r="Y1151" s="76"/>
      <c r="Z1151" s="76"/>
      <c r="AA1151" s="76"/>
      <c r="AB1151" s="76"/>
      <c r="AC1151" s="76"/>
      <c r="AD1151" s="76"/>
      <c r="AE1151" s="76"/>
      <c r="AF1151" s="76"/>
      <c r="AG1151" s="76"/>
      <c r="AH1151" s="76"/>
      <c r="AI1151" s="76"/>
      <c r="AJ1151" s="76"/>
      <c r="AK1151" s="76"/>
      <c r="AL1151" s="77"/>
      <c r="AM1151" s="76"/>
      <c r="AN1151" s="76"/>
    </row>
    <row r="1152" spans="1:40" ht="15">
      <c r="A1152" s="83" t="e">
        <f>IF(#REF!&lt;&gt;#REF!,1,A1151+1)</f>
        <v>#REF!</v>
      </c>
      <c r="O1152" s="79"/>
      <c r="P1152" s="79"/>
      <c r="Q1152" s="76"/>
      <c r="R1152" s="77"/>
      <c r="S1152" s="76"/>
      <c r="T1152" s="77"/>
      <c r="U1152" s="76"/>
      <c r="V1152" s="77"/>
      <c r="W1152" s="76"/>
      <c r="X1152" s="77"/>
      <c r="Y1152" s="76"/>
      <c r="Z1152" s="76"/>
      <c r="AA1152" s="76"/>
      <c r="AB1152" s="76"/>
      <c r="AC1152" s="76"/>
      <c r="AD1152" s="76"/>
      <c r="AE1152" s="76"/>
      <c r="AF1152" s="76"/>
      <c r="AG1152" s="76"/>
      <c r="AH1152" s="76"/>
      <c r="AI1152" s="76"/>
      <c r="AJ1152" s="76"/>
      <c r="AK1152" s="76"/>
      <c r="AL1152" s="77"/>
      <c r="AM1152" s="76"/>
      <c r="AN1152" s="76"/>
    </row>
    <row r="1153" spans="1:40" ht="15">
      <c r="A1153" s="83" t="e">
        <f>IF(#REF!&lt;&gt;#REF!,1,A1152+1)</f>
        <v>#REF!</v>
      </c>
      <c r="O1153" s="79"/>
      <c r="P1153" s="79"/>
      <c r="Q1153" s="76"/>
      <c r="R1153" s="77"/>
      <c r="S1153" s="76"/>
      <c r="T1153" s="77"/>
      <c r="U1153" s="76"/>
      <c r="V1153" s="77"/>
      <c r="W1153" s="76"/>
      <c r="X1153" s="77"/>
      <c r="Y1153" s="76"/>
      <c r="Z1153" s="76"/>
      <c r="AA1153" s="76"/>
      <c r="AB1153" s="76"/>
      <c r="AC1153" s="76"/>
      <c r="AD1153" s="76"/>
      <c r="AE1153" s="76"/>
      <c r="AF1153" s="76"/>
      <c r="AG1153" s="76"/>
      <c r="AH1153" s="76"/>
      <c r="AI1153" s="76"/>
      <c r="AJ1153" s="76"/>
      <c r="AK1153" s="76"/>
      <c r="AL1153" s="77"/>
      <c r="AM1153" s="76"/>
      <c r="AN1153" s="76"/>
    </row>
    <row r="1154" spans="1:40" ht="15">
      <c r="A1154" s="83" t="e">
        <f>IF(#REF!&lt;&gt;#REF!,1,A1153+1)</f>
        <v>#REF!</v>
      </c>
      <c r="O1154" s="79"/>
      <c r="P1154" s="79"/>
      <c r="Q1154" s="76"/>
      <c r="R1154" s="77"/>
      <c r="S1154" s="76"/>
      <c r="T1154" s="77"/>
      <c r="U1154" s="76"/>
      <c r="V1154" s="77"/>
      <c r="W1154" s="76"/>
      <c r="X1154" s="77"/>
      <c r="Y1154" s="76"/>
      <c r="Z1154" s="76"/>
      <c r="AA1154" s="76"/>
      <c r="AB1154" s="76"/>
      <c r="AC1154" s="76"/>
      <c r="AD1154" s="76"/>
      <c r="AE1154" s="76"/>
      <c r="AF1154" s="76"/>
      <c r="AG1154" s="76"/>
      <c r="AH1154" s="76"/>
      <c r="AI1154" s="76"/>
      <c r="AJ1154" s="76"/>
      <c r="AK1154" s="76"/>
      <c r="AL1154" s="77"/>
      <c r="AM1154" s="76"/>
      <c r="AN1154" s="76"/>
    </row>
    <row r="1155" spans="1:40" ht="15">
      <c r="A1155" s="83" t="e">
        <f>IF(#REF!&lt;&gt;#REF!,1,A1154+1)</f>
        <v>#REF!</v>
      </c>
      <c r="O1155" s="79"/>
      <c r="P1155" s="79"/>
      <c r="Q1155" s="76"/>
      <c r="R1155" s="77"/>
      <c r="S1155" s="76"/>
      <c r="T1155" s="77"/>
      <c r="U1155" s="76"/>
      <c r="V1155" s="77"/>
      <c r="W1155" s="76"/>
      <c r="X1155" s="77"/>
      <c r="Y1155" s="76"/>
      <c r="Z1155" s="76"/>
      <c r="AA1155" s="76"/>
      <c r="AB1155" s="76"/>
      <c r="AC1155" s="76"/>
      <c r="AD1155" s="76"/>
      <c r="AE1155" s="76"/>
      <c r="AF1155" s="76"/>
      <c r="AG1155" s="76"/>
      <c r="AH1155" s="76"/>
      <c r="AI1155" s="76"/>
      <c r="AJ1155" s="76"/>
      <c r="AK1155" s="76"/>
      <c r="AL1155" s="77"/>
      <c r="AM1155" s="76"/>
      <c r="AN1155" s="76"/>
    </row>
    <row r="1156" spans="1:40" ht="15">
      <c r="A1156" s="83" t="e">
        <f>IF(#REF!&lt;&gt;#REF!,1,A1155+1)</f>
        <v>#REF!</v>
      </c>
      <c r="O1156" s="79"/>
      <c r="P1156" s="79"/>
      <c r="Q1156" s="76"/>
      <c r="R1156" s="77"/>
      <c r="S1156" s="76"/>
      <c r="T1156" s="77"/>
      <c r="U1156" s="76"/>
      <c r="V1156" s="77"/>
      <c r="W1156" s="76"/>
      <c r="X1156" s="77"/>
      <c r="Y1156" s="76"/>
      <c r="Z1156" s="76"/>
      <c r="AA1156" s="76"/>
      <c r="AB1156" s="76"/>
      <c r="AC1156" s="76"/>
      <c r="AD1156" s="76"/>
      <c r="AE1156" s="76"/>
      <c r="AF1156" s="76"/>
      <c r="AG1156" s="76"/>
      <c r="AH1156" s="76"/>
      <c r="AI1156" s="76"/>
      <c r="AJ1156" s="76"/>
      <c r="AK1156" s="76"/>
      <c r="AL1156" s="77"/>
      <c r="AM1156" s="76"/>
      <c r="AN1156" s="76"/>
    </row>
    <row r="1157" spans="1:40" ht="15">
      <c r="A1157" s="83" t="e">
        <f>IF(#REF!&lt;&gt;#REF!,1,A1156+1)</f>
        <v>#REF!</v>
      </c>
      <c r="O1157" s="79"/>
      <c r="P1157" s="79"/>
      <c r="Q1157" s="76"/>
      <c r="R1157" s="77"/>
      <c r="S1157" s="76"/>
      <c r="T1157" s="77"/>
      <c r="U1157" s="76"/>
      <c r="V1157" s="77"/>
      <c r="W1157" s="76"/>
      <c r="X1157" s="77"/>
      <c r="Y1157" s="76"/>
      <c r="Z1157" s="76"/>
      <c r="AA1157" s="76"/>
      <c r="AB1157" s="76"/>
      <c r="AC1157" s="76"/>
      <c r="AD1157" s="76"/>
      <c r="AE1157" s="76"/>
      <c r="AF1157" s="76"/>
      <c r="AG1157" s="76"/>
      <c r="AH1157" s="76"/>
      <c r="AI1157" s="76"/>
      <c r="AJ1157" s="76"/>
      <c r="AK1157" s="76"/>
      <c r="AL1157" s="77"/>
      <c r="AM1157" s="76"/>
      <c r="AN1157" s="76"/>
    </row>
    <row r="1158" spans="1:40" ht="15">
      <c r="A1158" s="83" t="e">
        <f>IF(#REF!&lt;&gt;#REF!,1,A1157+1)</f>
        <v>#REF!</v>
      </c>
      <c r="O1158" s="79"/>
      <c r="P1158" s="79"/>
      <c r="Q1158" s="76"/>
      <c r="R1158" s="77"/>
      <c r="S1158" s="76"/>
      <c r="T1158" s="77"/>
      <c r="U1158" s="76"/>
      <c r="V1158" s="77"/>
      <c r="W1158" s="76"/>
      <c r="X1158" s="77"/>
      <c r="Y1158" s="76"/>
      <c r="Z1158" s="76"/>
      <c r="AA1158" s="76"/>
      <c r="AB1158" s="76"/>
      <c r="AC1158" s="76"/>
      <c r="AD1158" s="76"/>
      <c r="AE1158" s="76"/>
      <c r="AF1158" s="76"/>
      <c r="AG1158" s="76"/>
      <c r="AH1158" s="76"/>
      <c r="AI1158" s="76"/>
      <c r="AJ1158" s="76"/>
      <c r="AK1158" s="76"/>
      <c r="AL1158" s="77"/>
      <c r="AM1158" s="76"/>
      <c r="AN1158" s="76"/>
    </row>
    <row r="1159" spans="1:40" ht="15">
      <c r="A1159" s="83" t="e">
        <f>IF(#REF!&lt;&gt;#REF!,1,A1158+1)</f>
        <v>#REF!</v>
      </c>
      <c r="O1159" s="79"/>
      <c r="P1159" s="79"/>
      <c r="Q1159" s="76"/>
      <c r="R1159" s="77"/>
      <c r="S1159" s="76"/>
      <c r="T1159" s="77"/>
      <c r="U1159" s="76"/>
      <c r="V1159" s="77"/>
      <c r="W1159" s="76"/>
      <c r="X1159" s="77"/>
      <c r="Y1159" s="76"/>
      <c r="Z1159" s="76"/>
      <c r="AA1159" s="76"/>
      <c r="AB1159" s="76"/>
      <c r="AC1159" s="76"/>
      <c r="AD1159" s="76"/>
      <c r="AE1159" s="76"/>
      <c r="AF1159" s="76"/>
      <c r="AG1159" s="76"/>
      <c r="AH1159" s="76"/>
      <c r="AI1159" s="76"/>
      <c r="AJ1159" s="76"/>
      <c r="AK1159" s="76"/>
      <c r="AL1159" s="77"/>
      <c r="AM1159" s="76"/>
      <c r="AN1159" s="76"/>
    </row>
    <row r="1160" spans="1:40" ht="15">
      <c r="A1160" s="83" t="e">
        <f>IF(#REF!&lt;&gt;#REF!,1,A1159+1)</f>
        <v>#REF!</v>
      </c>
      <c r="O1160" s="79"/>
      <c r="P1160" s="79"/>
      <c r="Q1160" s="76"/>
      <c r="R1160" s="77"/>
      <c r="S1160" s="76"/>
      <c r="T1160" s="77"/>
      <c r="U1160" s="76"/>
      <c r="V1160" s="77"/>
      <c r="W1160" s="76"/>
      <c r="X1160" s="77"/>
      <c r="Y1160" s="76"/>
      <c r="Z1160" s="76"/>
      <c r="AA1160" s="76"/>
      <c r="AB1160" s="76"/>
      <c r="AC1160" s="76"/>
      <c r="AD1160" s="76"/>
      <c r="AE1160" s="76"/>
      <c r="AF1160" s="76"/>
      <c r="AG1160" s="76"/>
      <c r="AH1160" s="76"/>
      <c r="AI1160" s="76"/>
      <c r="AJ1160" s="76"/>
      <c r="AK1160" s="76"/>
      <c r="AL1160" s="77"/>
      <c r="AM1160" s="76"/>
      <c r="AN1160" s="76"/>
    </row>
    <row r="1161" spans="1:40" ht="15">
      <c r="A1161" s="83" t="e">
        <f>IF(#REF!&lt;&gt;#REF!,1,A1160+1)</f>
        <v>#REF!</v>
      </c>
      <c r="O1161" s="79"/>
      <c r="P1161" s="79"/>
      <c r="Q1161" s="76"/>
      <c r="R1161" s="77"/>
      <c r="S1161" s="76"/>
      <c r="T1161" s="77"/>
      <c r="U1161" s="76"/>
      <c r="V1161" s="77"/>
      <c r="W1161" s="76"/>
      <c r="X1161" s="77"/>
      <c r="Y1161" s="76"/>
      <c r="Z1161" s="76"/>
      <c r="AA1161" s="76"/>
      <c r="AB1161" s="76"/>
      <c r="AC1161" s="76"/>
      <c r="AD1161" s="76"/>
      <c r="AE1161" s="76"/>
      <c r="AF1161" s="76"/>
      <c r="AG1161" s="76"/>
      <c r="AH1161" s="76"/>
      <c r="AI1161" s="76"/>
      <c r="AJ1161" s="76"/>
      <c r="AK1161" s="76"/>
      <c r="AL1161" s="77"/>
      <c r="AM1161" s="76"/>
      <c r="AN1161" s="76"/>
    </row>
    <row r="1162" spans="1:40" ht="15">
      <c r="A1162" s="83" t="e">
        <f>IF(#REF!&lt;&gt;#REF!,1,A1161+1)</f>
        <v>#REF!</v>
      </c>
      <c r="O1162" s="79"/>
      <c r="P1162" s="79"/>
      <c r="Q1162" s="76"/>
      <c r="R1162" s="77"/>
      <c r="S1162" s="76"/>
      <c r="T1162" s="77"/>
      <c r="U1162" s="76"/>
      <c r="V1162" s="77"/>
      <c r="W1162" s="76"/>
      <c r="X1162" s="77"/>
      <c r="Y1162" s="76"/>
      <c r="Z1162" s="76"/>
      <c r="AA1162" s="76"/>
      <c r="AB1162" s="76"/>
      <c r="AC1162" s="76"/>
      <c r="AD1162" s="76"/>
      <c r="AE1162" s="76"/>
      <c r="AF1162" s="76"/>
      <c r="AG1162" s="76"/>
      <c r="AH1162" s="76"/>
      <c r="AI1162" s="76"/>
      <c r="AJ1162" s="76"/>
      <c r="AK1162" s="76"/>
      <c r="AL1162" s="77"/>
      <c r="AM1162" s="76"/>
      <c r="AN1162" s="76"/>
    </row>
    <row r="1163" spans="1:40" ht="15">
      <c r="A1163" s="83" t="e">
        <f>IF(#REF!&lt;&gt;#REF!,1,A1162+1)</f>
        <v>#REF!</v>
      </c>
      <c r="O1163" s="79"/>
      <c r="P1163" s="79"/>
      <c r="Q1163" s="76"/>
      <c r="R1163" s="77"/>
      <c r="S1163" s="76"/>
      <c r="T1163" s="77"/>
      <c r="U1163" s="76"/>
      <c r="V1163" s="77"/>
      <c r="W1163" s="76"/>
      <c r="X1163" s="77"/>
      <c r="Y1163" s="76"/>
      <c r="Z1163" s="76"/>
      <c r="AA1163" s="76"/>
      <c r="AB1163" s="76"/>
      <c r="AC1163" s="76"/>
      <c r="AD1163" s="76"/>
      <c r="AE1163" s="76"/>
      <c r="AF1163" s="76"/>
      <c r="AG1163" s="76"/>
      <c r="AH1163" s="76"/>
      <c r="AI1163" s="76"/>
      <c r="AJ1163" s="76"/>
      <c r="AK1163" s="76"/>
      <c r="AL1163" s="77"/>
      <c r="AM1163" s="76"/>
      <c r="AN1163" s="76"/>
    </row>
    <row r="1164" spans="1:40" ht="15">
      <c r="A1164" s="83" t="e">
        <f>IF(#REF!&lt;&gt;#REF!,1,A1163+1)</f>
        <v>#REF!</v>
      </c>
      <c r="O1164" s="79"/>
      <c r="P1164" s="79"/>
      <c r="Q1164" s="76"/>
      <c r="R1164" s="77"/>
      <c r="S1164" s="76"/>
      <c r="T1164" s="77"/>
      <c r="U1164" s="76"/>
      <c r="V1164" s="77"/>
      <c r="W1164" s="76"/>
      <c r="X1164" s="77"/>
      <c r="Y1164" s="76"/>
      <c r="Z1164" s="76"/>
      <c r="AA1164" s="76"/>
      <c r="AB1164" s="76"/>
      <c r="AC1164" s="76"/>
      <c r="AD1164" s="76"/>
      <c r="AE1164" s="76"/>
      <c r="AF1164" s="76"/>
      <c r="AG1164" s="76"/>
      <c r="AH1164" s="76"/>
      <c r="AI1164" s="76"/>
      <c r="AJ1164" s="76"/>
      <c r="AK1164" s="76"/>
      <c r="AL1164" s="77"/>
      <c r="AM1164" s="76"/>
      <c r="AN1164" s="76"/>
    </row>
    <row r="1165" spans="1:40" ht="15">
      <c r="A1165" s="83" t="e">
        <f>IF(#REF!&lt;&gt;#REF!,1,A1164+1)</f>
        <v>#REF!</v>
      </c>
      <c r="O1165" s="79"/>
      <c r="P1165" s="79"/>
      <c r="Q1165" s="76"/>
      <c r="R1165" s="77"/>
      <c r="S1165" s="76"/>
      <c r="T1165" s="77"/>
      <c r="U1165" s="76"/>
      <c r="V1165" s="77"/>
      <c r="W1165" s="76"/>
      <c r="X1165" s="77"/>
      <c r="Y1165" s="76"/>
      <c r="Z1165" s="76"/>
      <c r="AA1165" s="76"/>
      <c r="AB1165" s="76"/>
      <c r="AC1165" s="76"/>
      <c r="AD1165" s="76"/>
      <c r="AE1165" s="76"/>
      <c r="AF1165" s="76"/>
      <c r="AG1165" s="76"/>
      <c r="AH1165" s="76"/>
      <c r="AI1165" s="76"/>
      <c r="AJ1165" s="76"/>
      <c r="AK1165" s="76"/>
      <c r="AL1165" s="77"/>
      <c r="AM1165" s="76"/>
      <c r="AN1165" s="76"/>
    </row>
    <row r="1166" spans="1:40" ht="15">
      <c r="A1166" s="83" t="e">
        <f>IF(#REF!&lt;&gt;#REF!,1,A1165+1)</f>
        <v>#REF!</v>
      </c>
      <c r="O1166" s="79"/>
      <c r="P1166" s="79"/>
      <c r="Q1166" s="76"/>
      <c r="R1166" s="77"/>
      <c r="S1166" s="76"/>
      <c r="T1166" s="77"/>
      <c r="U1166" s="76"/>
      <c r="V1166" s="77"/>
      <c r="W1166" s="76"/>
      <c r="X1166" s="77"/>
      <c r="Y1166" s="76"/>
      <c r="Z1166" s="76"/>
      <c r="AA1166" s="76"/>
      <c r="AB1166" s="76"/>
      <c r="AC1166" s="76"/>
      <c r="AD1166" s="76"/>
      <c r="AE1166" s="76"/>
      <c r="AF1166" s="76"/>
      <c r="AG1166" s="76"/>
      <c r="AH1166" s="76"/>
      <c r="AI1166" s="76"/>
      <c r="AJ1166" s="76"/>
      <c r="AK1166" s="76"/>
      <c r="AL1166" s="77"/>
      <c r="AM1166" s="76"/>
      <c r="AN1166" s="76"/>
    </row>
    <row r="1167" spans="1:40" ht="15">
      <c r="A1167" s="83" t="e">
        <f>IF(#REF!&lt;&gt;#REF!,1,A1166+1)</f>
        <v>#REF!</v>
      </c>
      <c r="O1167" s="79"/>
      <c r="P1167" s="79"/>
      <c r="Q1167" s="76"/>
      <c r="R1167" s="77"/>
      <c r="S1167" s="76"/>
      <c r="T1167" s="77"/>
      <c r="U1167" s="76"/>
      <c r="V1167" s="77"/>
      <c r="W1167" s="76"/>
      <c r="X1167" s="77"/>
      <c r="Y1167" s="76"/>
      <c r="Z1167" s="76"/>
      <c r="AA1167" s="76"/>
      <c r="AB1167" s="76"/>
      <c r="AC1167" s="76"/>
      <c r="AD1167" s="76"/>
      <c r="AE1167" s="76"/>
      <c r="AF1167" s="76"/>
      <c r="AG1167" s="76"/>
      <c r="AH1167" s="76"/>
      <c r="AI1167" s="76"/>
      <c r="AJ1167" s="76"/>
      <c r="AK1167" s="76"/>
      <c r="AL1167" s="77"/>
      <c r="AM1167" s="76"/>
      <c r="AN1167" s="76"/>
    </row>
    <row r="1168" spans="1:40" ht="15">
      <c r="A1168" s="83" t="e">
        <f>IF(#REF!&lt;&gt;#REF!,1,A1167+1)</f>
        <v>#REF!</v>
      </c>
      <c r="O1168" s="79"/>
      <c r="P1168" s="79"/>
      <c r="Q1168" s="76"/>
      <c r="R1168" s="77"/>
      <c r="S1168" s="76"/>
      <c r="T1168" s="77"/>
      <c r="U1168" s="76"/>
      <c r="V1168" s="77"/>
      <c r="W1168" s="76"/>
      <c r="X1168" s="77"/>
      <c r="Y1168" s="76"/>
      <c r="Z1168" s="76"/>
      <c r="AA1168" s="76"/>
      <c r="AB1168" s="76"/>
      <c r="AC1168" s="76"/>
      <c r="AD1168" s="76"/>
      <c r="AE1168" s="76"/>
      <c r="AF1168" s="76"/>
      <c r="AG1168" s="76"/>
      <c r="AH1168" s="76"/>
      <c r="AI1168" s="76"/>
      <c r="AJ1168" s="76"/>
      <c r="AK1168" s="76"/>
      <c r="AL1168" s="77"/>
      <c r="AM1168" s="76"/>
      <c r="AN1168" s="76"/>
    </row>
    <row r="1169" spans="1:40" ht="15">
      <c r="A1169" s="83" t="e">
        <f>IF(#REF!&lt;&gt;#REF!,1,A1168+1)</f>
        <v>#REF!</v>
      </c>
      <c r="O1169" s="79"/>
      <c r="P1169" s="79"/>
      <c r="Q1169" s="76"/>
      <c r="R1169" s="77"/>
      <c r="S1169" s="76"/>
      <c r="T1169" s="77"/>
      <c r="U1169" s="76"/>
      <c r="V1169" s="77"/>
      <c r="W1169" s="76"/>
      <c r="X1169" s="77"/>
      <c r="Y1169" s="76"/>
      <c r="Z1169" s="76"/>
      <c r="AA1169" s="76"/>
      <c r="AB1169" s="76"/>
      <c r="AC1169" s="76"/>
      <c r="AD1169" s="76"/>
      <c r="AE1169" s="76"/>
      <c r="AF1169" s="76"/>
      <c r="AG1169" s="76"/>
      <c r="AH1169" s="76"/>
      <c r="AI1169" s="76"/>
      <c r="AJ1169" s="76"/>
      <c r="AK1169" s="76"/>
      <c r="AL1169" s="77"/>
      <c r="AM1169" s="76"/>
      <c r="AN1169" s="76"/>
    </row>
    <row r="1170" spans="1:40" ht="15">
      <c r="A1170" s="83" t="e">
        <f>IF(#REF!&lt;&gt;#REF!,1,A1169+1)</f>
        <v>#REF!</v>
      </c>
      <c r="O1170" s="79"/>
      <c r="P1170" s="79"/>
      <c r="Q1170" s="76"/>
      <c r="R1170" s="77"/>
      <c r="S1170" s="76"/>
      <c r="T1170" s="77"/>
      <c r="U1170" s="76"/>
      <c r="V1170" s="77"/>
      <c r="W1170" s="76"/>
      <c r="X1170" s="77"/>
      <c r="Y1170" s="76"/>
      <c r="Z1170" s="76"/>
      <c r="AA1170" s="76"/>
      <c r="AB1170" s="76"/>
      <c r="AC1170" s="76"/>
      <c r="AD1170" s="76"/>
      <c r="AE1170" s="76"/>
      <c r="AF1170" s="76"/>
      <c r="AG1170" s="76"/>
      <c r="AH1170" s="76"/>
      <c r="AI1170" s="76"/>
      <c r="AJ1170" s="76"/>
      <c r="AK1170" s="76"/>
      <c r="AL1170" s="77"/>
      <c r="AM1170" s="76"/>
      <c r="AN1170" s="76"/>
    </row>
    <row r="1171" spans="1:40" ht="15">
      <c r="A1171" s="83" t="e">
        <f>IF(#REF!&lt;&gt;#REF!,1,A1170+1)</f>
        <v>#REF!</v>
      </c>
      <c r="O1171" s="79"/>
      <c r="P1171" s="79"/>
      <c r="Q1171" s="76"/>
      <c r="R1171" s="77"/>
      <c r="S1171" s="76"/>
      <c r="T1171" s="77"/>
      <c r="U1171" s="76"/>
      <c r="V1171" s="77"/>
      <c r="W1171" s="76"/>
      <c r="X1171" s="77"/>
      <c r="Y1171" s="76"/>
      <c r="Z1171" s="76"/>
      <c r="AA1171" s="76"/>
      <c r="AB1171" s="76"/>
      <c r="AC1171" s="76"/>
      <c r="AD1171" s="76"/>
      <c r="AE1171" s="76"/>
      <c r="AF1171" s="76"/>
      <c r="AG1171" s="76"/>
      <c r="AH1171" s="76"/>
      <c r="AI1171" s="76"/>
      <c r="AJ1171" s="76"/>
      <c r="AK1171" s="76"/>
      <c r="AL1171" s="77"/>
      <c r="AM1171" s="76"/>
      <c r="AN1171" s="76"/>
    </row>
    <row r="1172" spans="1:40" ht="15">
      <c r="A1172" s="83" t="e">
        <f>IF(#REF!&lt;&gt;#REF!,1,A1171+1)</f>
        <v>#REF!</v>
      </c>
      <c r="O1172" s="79"/>
      <c r="P1172" s="79"/>
      <c r="Q1172" s="76"/>
      <c r="R1172" s="77"/>
      <c r="S1172" s="76"/>
      <c r="T1172" s="77"/>
      <c r="U1172" s="76"/>
      <c r="V1172" s="77"/>
      <c r="W1172" s="76"/>
      <c r="X1172" s="77"/>
      <c r="Y1172" s="76"/>
      <c r="Z1172" s="76"/>
      <c r="AA1172" s="76"/>
      <c r="AB1172" s="76"/>
      <c r="AC1172" s="76"/>
      <c r="AD1172" s="76"/>
      <c r="AE1172" s="76"/>
      <c r="AF1172" s="76"/>
      <c r="AG1172" s="76"/>
      <c r="AH1172" s="76"/>
      <c r="AI1172" s="76"/>
      <c r="AJ1172" s="76"/>
      <c r="AK1172" s="76"/>
      <c r="AL1172" s="77"/>
      <c r="AM1172" s="76"/>
      <c r="AN1172" s="76"/>
    </row>
    <row r="1173" spans="1:40" ht="15">
      <c r="A1173" s="83" t="e">
        <f>IF(#REF!&lt;&gt;#REF!,1,A1172+1)</f>
        <v>#REF!</v>
      </c>
      <c r="O1173" s="79"/>
      <c r="P1173" s="79"/>
      <c r="Q1173" s="76"/>
      <c r="R1173" s="77"/>
      <c r="S1173" s="76"/>
      <c r="T1173" s="77"/>
      <c r="U1173" s="76"/>
      <c r="V1173" s="77"/>
      <c r="W1173" s="76"/>
      <c r="X1173" s="77"/>
      <c r="Y1173" s="76"/>
      <c r="Z1173" s="76"/>
      <c r="AA1173" s="76"/>
      <c r="AB1173" s="76"/>
      <c r="AC1173" s="76"/>
      <c r="AD1173" s="76"/>
      <c r="AE1173" s="76"/>
      <c r="AF1173" s="76"/>
      <c r="AG1173" s="76"/>
      <c r="AH1173" s="76"/>
      <c r="AI1173" s="76"/>
      <c r="AJ1173" s="76"/>
      <c r="AK1173" s="76"/>
      <c r="AL1173" s="77"/>
      <c r="AM1173" s="76"/>
      <c r="AN1173" s="76"/>
    </row>
    <row r="1174" spans="1:40" ht="15">
      <c r="A1174" s="83" t="e">
        <f>IF(#REF!&lt;&gt;#REF!,1,A1173+1)</f>
        <v>#REF!</v>
      </c>
      <c r="O1174" s="79"/>
      <c r="P1174" s="79"/>
      <c r="Q1174" s="76"/>
      <c r="R1174" s="77"/>
      <c r="S1174" s="76"/>
      <c r="T1174" s="77"/>
      <c r="U1174" s="76"/>
      <c r="V1174" s="77"/>
      <c r="W1174" s="76"/>
      <c r="X1174" s="77"/>
      <c r="Y1174" s="76"/>
      <c r="Z1174" s="76"/>
      <c r="AA1174" s="76"/>
      <c r="AB1174" s="76"/>
      <c r="AC1174" s="76"/>
      <c r="AD1174" s="76"/>
      <c r="AE1174" s="76"/>
      <c r="AF1174" s="76"/>
      <c r="AG1174" s="76"/>
      <c r="AH1174" s="76"/>
      <c r="AI1174" s="76"/>
      <c r="AJ1174" s="76"/>
      <c r="AK1174" s="76"/>
      <c r="AL1174" s="77"/>
      <c r="AM1174" s="76"/>
      <c r="AN1174" s="76"/>
    </row>
    <row r="1175" spans="1:40" ht="15">
      <c r="A1175" s="83" t="e">
        <f>IF(#REF!&lt;&gt;#REF!,1,A1174+1)</f>
        <v>#REF!</v>
      </c>
      <c r="O1175" s="79"/>
      <c r="P1175" s="79"/>
      <c r="Q1175" s="76"/>
      <c r="R1175" s="77"/>
      <c r="S1175" s="76"/>
      <c r="T1175" s="77"/>
      <c r="U1175" s="76"/>
      <c r="V1175" s="77"/>
      <c r="W1175" s="76"/>
      <c r="X1175" s="77"/>
      <c r="Y1175" s="76"/>
      <c r="Z1175" s="76"/>
      <c r="AA1175" s="76"/>
      <c r="AB1175" s="76"/>
      <c r="AC1175" s="76"/>
      <c r="AD1175" s="76"/>
      <c r="AE1175" s="76"/>
      <c r="AF1175" s="76"/>
      <c r="AG1175" s="76"/>
      <c r="AH1175" s="76"/>
      <c r="AI1175" s="76"/>
      <c r="AJ1175" s="76"/>
      <c r="AK1175" s="76"/>
      <c r="AL1175" s="77"/>
      <c r="AM1175" s="76"/>
      <c r="AN1175" s="76"/>
    </row>
    <row r="1176" spans="1:40" ht="15">
      <c r="A1176" s="83" t="e">
        <f>IF(#REF!&lt;&gt;#REF!,1,A1175+1)</f>
        <v>#REF!</v>
      </c>
      <c r="O1176" s="79"/>
      <c r="P1176" s="79"/>
      <c r="Q1176" s="76"/>
      <c r="R1176" s="77"/>
      <c r="S1176" s="76"/>
      <c r="T1176" s="77"/>
      <c r="U1176" s="76"/>
      <c r="V1176" s="77"/>
      <c r="W1176" s="76"/>
      <c r="X1176" s="77"/>
      <c r="Y1176" s="76"/>
      <c r="Z1176" s="76"/>
      <c r="AA1176" s="76"/>
      <c r="AB1176" s="76"/>
      <c r="AC1176" s="76"/>
      <c r="AD1176" s="76"/>
      <c r="AE1176" s="76"/>
      <c r="AF1176" s="76"/>
      <c r="AG1176" s="76"/>
      <c r="AH1176" s="76"/>
      <c r="AI1176" s="76"/>
      <c r="AJ1176" s="76"/>
      <c r="AK1176" s="76"/>
      <c r="AL1176" s="77"/>
      <c r="AM1176" s="76"/>
      <c r="AN1176" s="76"/>
    </row>
    <row r="1177" spans="1:40" ht="15">
      <c r="A1177" s="83" t="e">
        <f>IF(#REF!&lt;&gt;#REF!,1,A1176+1)</f>
        <v>#REF!</v>
      </c>
      <c r="O1177" s="79"/>
      <c r="P1177" s="79"/>
      <c r="Q1177" s="76"/>
      <c r="R1177" s="77"/>
      <c r="S1177" s="76"/>
      <c r="T1177" s="77"/>
      <c r="U1177" s="76"/>
      <c r="V1177" s="77"/>
      <c r="W1177" s="76"/>
      <c r="X1177" s="77"/>
      <c r="Y1177" s="76"/>
      <c r="Z1177" s="76"/>
      <c r="AA1177" s="76"/>
      <c r="AB1177" s="76"/>
      <c r="AC1177" s="76"/>
      <c r="AD1177" s="76"/>
      <c r="AE1177" s="76"/>
      <c r="AF1177" s="76"/>
      <c r="AG1177" s="76"/>
      <c r="AH1177" s="76"/>
      <c r="AI1177" s="76"/>
      <c r="AJ1177" s="76"/>
      <c r="AK1177" s="76"/>
      <c r="AL1177" s="77"/>
      <c r="AM1177" s="76"/>
      <c r="AN1177" s="76"/>
    </row>
    <row r="1178" spans="1:40" ht="15">
      <c r="A1178" s="83" t="e">
        <f>IF(#REF!&lt;&gt;#REF!,1,A1177+1)</f>
        <v>#REF!</v>
      </c>
      <c r="O1178" s="79"/>
      <c r="P1178" s="79"/>
      <c r="Q1178" s="76"/>
      <c r="R1178" s="77"/>
      <c r="S1178" s="76"/>
      <c r="T1178" s="77"/>
      <c r="U1178" s="76"/>
      <c r="V1178" s="77"/>
      <c r="W1178" s="76"/>
      <c r="X1178" s="77"/>
      <c r="Y1178" s="76"/>
      <c r="Z1178" s="76"/>
      <c r="AA1178" s="76"/>
      <c r="AB1178" s="76"/>
      <c r="AC1178" s="76"/>
      <c r="AD1178" s="76"/>
      <c r="AE1178" s="76"/>
      <c r="AF1178" s="76"/>
      <c r="AG1178" s="76"/>
      <c r="AH1178" s="76"/>
      <c r="AI1178" s="76"/>
      <c r="AJ1178" s="76"/>
      <c r="AK1178" s="76"/>
      <c r="AL1178" s="77"/>
      <c r="AM1178" s="76"/>
      <c r="AN1178" s="76"/>
    </row>
    <row r="1179" spans="1:40" ht="15">
      <c r="A1179" s="83" t="e">
        <f>IF(#REF!&lt;&gt;#REF!,1,A1178+1)</f>
        <v>#REF!</v>
      </c>
      <c r="O1179" s="79"/>
      <c r="P1179" s="79"/>
      <c r="Q1179" s="76"/>
      <c r="R1179" s="77"/>
      <c r="S1179" s="76"/>
      <c r="T1179" s="77"/>
      <c r="U1179" s="76"/>
      <c r="V1179" s="77"/>
      <c r="W1179" s="76"/>
      <c r="X1179" s="77"/>
      <c r="Y1179" s="76"/>
      <c r="Z1179" s="76"/>
      <c r="AA1179" s="76"/>
      <c r="AB1179" s="76"/>
      <c r="AC1179" s="76"/>
      <c r="AD1179" s="76"/>
      <c r="AE1179" s="76"/>
      <c r="AF1179" s="76"/>
      <c r="AG1179" s="76"/>
      <c r="AH1179" s="76"/>
      <c r="AI1179" s="76"/>
      <c r="AJ1179" s="76"/>
      <c r="AK1179" s="76"/>
      <c r="AL1179" s="77"/>
      <c r="AM1179" s="76"/>
      <c r="AN1179" s="76"/>
    </row>
    <row r="1180" spans="1:40" ht="15">
      <c r="A1180" s="83" t="e">
        <f>IF(#REF!&lt;&gt;#REF!,1,A1179+1)</f>
        <v>#REF!</v>
      </c>
      <c r="O1180" s="79"/>
      <c r="P1180" s="79"/>
      <c r="Q1180" s="76"/>
      <c r="R1180" s="77"/>
      <c r="S1180" s="76"/>
      <c r="T1180" s="77"/>
      <c r="U1180" s="76"/>
      <c r="V1180" s="77"/>
      <c r="W1180" s="76"/>
      <c r="X1180" s="77"/>
      <c r="Y1180" s="76"/>
      <c r="Z1180" s="76"/>
      <c r="AA1180" s="76"/>
      <c r="AB1180" s="76"/>
      <c r="AC1180" s="76"/>
      <c r="AD1180" s="76"/>
      <c r="AE1180" s="76"/>
      <c r="AF1180" s="76"/>
      <c r="AG1180" s="76"/>
      <c r="AH1180" s="76"/>
      <c r="AI1180" s="76"/>
      <c r="AJ1180" s="76"/>
      <c r="AK1180" s="76"/>
      <c r="AL1180" s="77"/>
      <c r="AM1180" s="76"/>
      <c r="AN1180" s="76"/>
    </row>
    <row r="1181" spans="1:40" ht="15">
      <c r="A1181" s="83" t="e">
        <f>IF(#REF!&lt;&gt;#REF!,1,A1180+1)</f>
        <v>#REF!</v>
      </c>
      <c r="O1181" s="79"/>
      <c r="P1181" s="79"/>
      <c r="Q1181" s="76"/>
      <c r="R1181" s="77"/>
      <c r="S1181" s="76"/>
      <c r="T1181" s="77"/>
      <c r="U1181" s="76"/>
      <c r="V1181" s="77"/>
      <c r="W1181" s="76"/>
      <c r="X1181" s="77"/>
      <c r="Y1181" s="76"/>
      <c r="Z1181" s="76"/>
      <c r="AA1181" s="76"/>
      <c r="AB1181" s="76"/>
      <c r="AC1181" s="76"/>
      <c r="AD1181" s="76"/>
      <c r="AE1181" s="76"/>
      <c r="AF1181" s="76"/>
      <c r="AG1181" s="76"/>
      <c r="AH1181" s="76"/>
      <c r="AI1181" s="76"/>
      <c r="AJ1181" s="76"/>
      <c r="AK1181" s="76"/>
      <c r="AL1181" s="77"/>
      <c r="AM1181" s="76"/>
      <c r="AN1181" s="76"/>
    </row>
    <row r="1182" spans="1:40" ht="15">
      <c r="A1182" s="83" t="e">
        <f>IF(#REF!&lt;&gt;#REF!,1,A1181+1)</f>
        <v>#REF!</v>
      </c>
      <c r="O1182" s="79"/>
      <c r="P1182" s="79"/>
      <c r="Q1182" s="76"/>
      <c r="R1182" s="77"/>
      <c r="S1182" s="76"/>
      <c r="T1182" s="77"/>
      <c r="U1182" s="76"/>
      <c r="V1182" s="77"/>
      <c r="W1182" s="76"/>
      <c r="X1182" s="77"/>
      <c r="Y1182" s="76"/>
      <c r="Z1182" s="76"/>
      <c r="AA1182" s="76"/>
      <c r="AB1182" s="76"/>
      <c r="AC1182" s="76"/>
      <c r="AD1182" s="76"/>
      <c r="AE1182" s="76"/>
      <c r="AF1182" s="76"/>
      <c r="AG1182" s="76"/>
      <c r="AH1182" s="76"/>
      <c r="AI1182" s="76"/>
      <c r="AJ1182" s="76"/>
      <c r="AK1182" s="76"/>
      <c r="AL1182" s="77"/>
      <c r="AM1182" s="76"/>
      <c r="AN1182" s="76"/>
    </row>
    <row r="1183" spans="1:40" ht="15">
      <c r="A1183" s="83" t="e">
        <f>IF(#REF!&lt;&gt;#REF!,1,A1182+1)</f>
        <v>#REF!</v>
      </c>
      <c r="O1183" s="79"/>
      <c r="P1183" s="79"/>
      <c r="Q1183" s="76"/>
      <c r="R1183" s="77"/>
      <c r="S1183" s="76"/>
      <c r="T1183" s="77"/>
      <c r="U1183" s="76"/>
      <c r="V1183" s="77"/>
      <c r="W1183" s="76"/>
      <c r="X1183" s="77"/>
      <c r="Y1183" s="76"/>
      <c r="Z1183" s="76"/>
      <c r="AA1183" s="76"/>
      <c r="AB1183" s="76"/>
      <c r="AC1183" s="76"/>
      <c r="AD1183" s="76"/>
      <c r="AE1183" s="76"/>
      <c r="AF1183" s="76"/>
      <c r="AG1183" s="76"/>
      <c r="AH1183" s="76"/>
      <c r="AI1183" s="76"/>
      <c r="AJ1183" s="76"/>
      <c r="AK1183" s="76"/>
      <c r="AL1183" s="77"/>
      <c r="AM1183" s="76"/>
      <c r="AN1183" s="76"/>
    </row>
    <row r="1184" spans="1:40" ht="15">
      <c r="A1184" s="83" t="e">
        <f>IF(#REF!&lt;&gt;#REF!,1,A1183+1)</f>
        <v>#REF!</v>
      </c>
      <c r="O1184" s="79"/>
      <c r="P1184" s="79"/>
      <c r="Q1184" s="76"/>
      <c r="R1184" s="77"/>
      <c r="S1184" s="76"/>
      <c r="T1184" s="77"/>
      <c r="U1184" s="76"/>
      <c r="V1184" s="77"/>
      <c r="W1184" s="76"/>
      <c r="X1184" s="77"/>
      <c r="Y1184" s="76"/>
      <c r="Z1184" s="76"/>
      <c r="AA1184" s="76"/>
      <c r="AB1184" s="76"/>
      <c r="AC1184" s="76"/>
      <c r="AD1184" s="76"/>
      <c r="AE1184" s="76"/>
      <c r="AF1184" s="76"/>
      <c r="AG1184" s="76"/>
      <c r="AH1184" s="76"/>
      <c r="AI1184" s="76"/>
      <c r="AJ1184" s="76"/>
      <c r="AK1184" s="76"/>
      <c r="AL1184" s="77"/>
      <c r="AM1184" s="76"/>
      <c r="AN1184" s="76"/>
    </row>
    <row r="1185" spans="1:40" ht="15">
      <c r="A1185" s="83" t="e">
        <f>IF(#REF!&lt;&gt;#REF!,1,A1184+1)</f>
        <v>#REF!</v>
      </c>
      <c r="O1185" s="79"/>
      <c r="P1185" s="79"/>
      <c r="Q1185" s="76"/>
      <c r="R1185" s="77"/>
      <c r="S1185" s="76"/>
      <c r="T1185" s="77"/>
      <c r="U1185" s="76"/>
      <c r="V1185" s="77"/>
      <c r="W1185" s="76"/>
      <c r="X1185" s="77"/>
      <c r="Y1185" s="76"/>
      <c r="Z1185" s="76"/>
      <c r="AA1185" s="76"/>
      <c r="AB1185" s="76"/>
      <c r="AC1185" s="76"/>
      <c r="AD1185" s="76"/>
      <c r="AE1185" s="76"/>
      <c r="AF1185" s="76"/>
      <c r="AG1185" s="76"/>
      <c r="AH1185" s="76"/>
      <c r="AI1185" s="76"/>
      <c r="AJ1185" s="76"/>
      <c r="AK1185" s="76"/>
      <c r="AL1185" s="77"/>
      <c r="AM1185" s="76"/>
      <c r="AN1185" s="76"/>
    </row>
    <row r="1186" spans="1:40" ht="15">
      <c r="A1186" s="83" t="e">
        <f>IF(#REF!&lt;&gt;#REF!,1,A1185+1)</f>
        <v>#REF!</v>
      </c>
      <c r="O1186" s="79"/>
      <c r="P1186" s="79"/>
      <c r="Q1186" s="76"/>
      <c r="R1186" s="77"/>
      <c r="S1186" s="76"/>
      <c r="T1186" s="77"/>
      <c r="U1186" s="76"/>
      <c r="V1186" s="77"/>
      <c r="W1186" s="76"/>
      <c r="X1186" s="77"/>
      <c r="Y1186" s="76"/>
      <c r="Z1186" s="76"/>
      <c r="AA1186" s="76"/>
      <c r="AB1186" s="76"/>
      <c r="AC1186" s="76"/>
      <c r="AD1186" s="76"/>
      <c r="AE1186" s="76"/>
      <c r="AF1186" s="76"/>
      <c r="AG1186" s="76"/>
      <c r="AH1186" s="76"/>
      <c r="AI1186" s="76"/>
      <c r="AJ1186" s="76"/>
      <c r="AK1186" s="76"/>
      <c r="AL1186" s="77"/>
      <c r="AM1186" s="76"/>
      <c r="AN1186" s="76"/>
    </row>
    <row r="1187" spans="1:40" ht="15">
      <c r="A1187" s="83" t="e">
        <f>IF(#REF!&lt;&gt;#REF!,1,A1186+1)</f>
        <v>#REF!</v>
      </c>
      <c r="O1187" s="79"/>
      <c r="P1187" s="79"/>
      <c r="Q1187" s="76"/>
      <c r="R1187" s="77"/>
      <c r="S1187" s="76"/>
      <c r="T1187" s="77"/>
      <c r="U1187" s="76"/>
      <c r="V1187" s="77"/>
      <c r="W1187" s="76"/>
      <c r="X1187" s="77"/>
      <c r="Y1187" s="76"/>
      <c r="Z1187" s="76"/>
      <c r="AA1187" s="76"/>
      <c r="AB1187" s="76"/>
      <c r="AC1187" s="76"/>
      <c r="AD1187" s="76"/>
      <c r="AE1187" s="76"/>
      <c r="AF1187" s="76"/>
      <c r="AG1187" s="76"/>
      <c r="AH1187" s="76"/>
      <c r="AI1187" s="76"/>
      <c r="AJ1187" s="76"/>
      <c r="AK1187" s="76"/>
      <c r="AL1187" s="77"/>
      <c r="AM1187" s="76"/>
      <c r="AN1187" s="76"/>
    </row>
    <row r="1188" spans="1:40" ht="15">
      <c r="A1188" s="83" t="e">
        <f>IF(#REF!&lt;&gt;#REF!,1,A1187+1)</f>
        <v>#REF!</v>
      </c>
      <c r="O1188" s="79"/>
      <c r="P1188" s="79"/>
      <c r="Q1188" s="76"/>
      <c r="R1188" s="77"/>
      <c r="S1188" s="76"/>
      <c r="T1188" s="77"/>
      <c r="U1188" s="76"/>
      <c r="V1188" s="77"/>
      <c r="W1188" s="76"/>
      <c r="X1188" s="77"/>
      <c r="Y1188" s="76"/>
      <c r="Z1188" s="76"/>
      <c r="AA1188" s="76"/>
      <c r="AB1188" s="76"/>
      <c r="AC1188" s="76"/>
      <c r="AD1188" s="76"/>
      <c r="AE1188" s="76"/>
      <c r="AF1188" s="76"/>
      <c r="AG1188" s="76"/>
      <c r="AH1188" s="76"/>
      <c r="AI1188" s="76"/>
      <c r="AJ1188" s="76"/>
      <c r="AK1188" s="76"/>
      <c r="AL1188" s="77"/>
      <c r="AM1188" s="76"/>
      <c r="AN1188" s="76"/>
    </row>
    <row r="1189" spans="1:40" ht="15">
      <c r="A1189" s="83" t="e">
        <f>IF(#REF!&lt;&gt;#REF!,1,A1188+1)</f>
        <v>#REF!</v>
      </c>
      <c r="O1189" s="79"/>
      <c r="P1189" s="79"/>
      <c r="Q1189" s="76"/>
      <c r="R1189" s="77"/>
      <c r="S1189" s="76"/>
      <c r="T1189" s="77"/>
      <c r="U1189" s="76"/>
      <c r="V1189" s="77"/>
      <c r="W1189" s="76"/>
      <c r="X1189" s="77"/>
      <c r="Y1189" s="76"/>
      <c r="Z1189" s="76"/>
      <c r="AA1189" s="76"/>
      <c r="AB1189" s="76"/>
      <c r="AC1189" s="76"/>
      <c r="AD1189" s="76"/>
      <c r="AE1189" s="76"/>
      <c r="AF1189" s="76"/>
      <c r="AG1189" s="76"/>
      <c r="AH1189" s="76"/>
      <c r="AI1189" s="76"/>
      <c r="AJ1189" s="76"/>
      <c r="AK1189" s="76"/>
      <c r="AL1189" s="77"/>
      <c r="AM1189" s="76"/>
      <c r="AN1189" s="76"/>
    </row>
    <row r="1190" spans="1:40" ht="15">
      <c r="A1190" s="83" t="e">
        <f>IF(#REF!&lt;&gt;#REF!,1,A1189+1)</f>
        <v>#REF!</v>
      </c>
      <c r="O1190" s="79"/>
      <c r="P1190" s="79"/>
      <c r="Q1190" s="76"/>
      <c r="R1190" s="77"/>
      <c r="S1190" s="76"/>
      <c r="T1190" s="77"/>
      <c r="U1190" s="76"/>
      <c r="V1190" s="77"/>
      <c r="W1190" s="76"/>
      <c r="X1190" s="77"/>
      <c r="Y1190" s="76"/>
      <c r="Z1190" s="76"/>
      <c r="AA1190" s="76"/>
      <c r="AB1190" s="76"/>
      <c r="AC1190" s="76"/>
      <c r="AD1190" s="76"/>
      <c r="AE1190" s="76"/>
      <c r="AF1190" s="76"/>
      <c r="AG1190" s="76"/>
      <c r="AH1190" s="76"/>
      <c r="AI1190" s="76"/>
      <c r="AJ1190" s="76"/>
      <c r="AK1190" s="76"/>
      <c r="AL1190" s="77"/>
      <c r="AM1190" s="76"/>
      <c r="AN1190" s="76"/>
    </row>
    <row r="1191" spans="1:40" ht="15">
      <c r="A1191" s="83" t="e">
        <f>IF(#REF!&lt;&gt;#REF!,1,A1190+1)</f>
        <v>#REF!</v>
      </c>
      <c r="O1191" s="79"/>
      <c r="P1191" s="79"/>
      <c r="Q1191" s="76"/>
      <c r="R1191" s="77"/>
      <c r="S1191" s="76"/>
      <c r="T1191" s="77"/>
      <c r="U1191" s="76"/>
      <c r="V1191" s="77"/>
      <c r="W1191" s="76"/>
      <c r="X1191" s="77"/>
      <c r="Y1191" s="76"/>
      <c r="Z1191" s="76"/>
      <c r="AA1191" s="76"/>
      <c r="AB1191" s="76"/>
      <c r="AC1191" s="76"/>
      <c r="AD1191" s="76"/>
      <c r="AE1191" s="76"/>
      <c r="AF1191" s="76"/>
      <c r="AG1191" s="76"/>
      <c r="AH1191" s="76"/>
      <c r="AI1191" s="76"/>
      <c r="AJ1191" s="76"/>
      <c r="AK1191" s="76"/>
      <c r="AL1191" s="77"/>
      <c r="AM1191" s="76"/>
      <c r="AN1191" s="76"/>
    </row>
    <row r="1192" spans="1:40" ht="15">
      <c r="A1192" s="83" t="e">
        <f>IF(#REF!&lt;&gt;#REF!,1,A1191+1)</f>
        <v>#REF!</v>
      </c>
      <c r="O1192" s="79"/>
      <c r="P1192" s="79"/>
      <c r="Q1192" s="76"/>
      <c r="R1192" s="77"/>
      <c r="S1192" s="76"/>
      <c r="T1192" s="77"/>
      <c r="U1192" s="76"/>
      <c r="V1192" s="77"/>
      <c r="W1192" s="76"/>
      <c r="X1192" s="77"/>
      <c r="Y1192" s="76"/>
      <c r="Z1192" s="76"/>
      <c r="AA1192" s="76"/>
      <c r="AB1192" s="76"/>
      <c r="AC1192" s="76"/>
      <c r="AD1192" s="76"/>
      <c r="AE1192" s="76"/>
      <c r="AF1192" s="76"/>
      <c r="AG1192" s="76"/>
      <c r="AH1192" s="76"/>
      <c r="AI1192" s="76"/>
      <c r="AJ1192" s="76"/>
      <c r="AK1192" s="76"/>
      <c r="AL1192" s="77"/>
      <c r="AM1192" s="76"/>
      <c r="AN1192" s="76"/>
    </row>
    <row r="1193" spans="1:40" ht="15">
      <c r="A1193" s="83" t="e">
        <f>IF(#REF!&lt;&gt;#REF!,1,A1192+1)</f>
        <v>#REF!</v>
      </c>
      <c r="O1193" s="79"/>
      <c r="P1193" s="79"/>
      <c r="Q1193" s="76"/>
      <c r="R1193" s="77"/>
      <c r="S1193" s="76"/>
      <c r="T1193" s="77"/>
      <c r="U1193" s="76"/>
      <c r="V1193" s="77"/>
      <c r="W1193" s="76"/>
      <c r="X1193" s="77"/>
      <c r="Y1193" s="76"/>
      <c r="Z1193" s="76"/>
      <c r="AA1193" s="76"/>
      <c r="AB1193" s="76"/>
      <c r="AC1193" s="76"/>
      <c r="AD1193" s="76"/>
      <c r="AE1193" s="76"/>
      <c r="AF1193" s="76"/>
      <c r="AG1193" s="76"/>
      <c r="AH1193" s="76"/>
      <c r="AI1193" s="76"/>
      <c r="AJ1193" s="76"/>
      <c r="AK1193" s="76"/>
      <c r="AL1193" s="77"/>
      <c r="AM1193" s="76"/>
      <c r="AN1193" s="76"/>
    </row>
    <row r="1194" spans="1:40" ht="15">
      <c r="A1194" s="83" t="e">
        <f>IF(#REF!&lt;&gt;#REF!,1,A1193+1)</f>
        <v>#REF!</v>
      </c>
      <c r="O1194" s="79"/>
      <c r="P1194" s="79"/>
      <c r="Q1194" s="76"/>
      <c r="R1194" s="77"/>
      <c r="S1194" s="76"/>
      <c r="T1194" s="77"/>
      <c r="U1194" s="76"/>
      <c r="V1194" s="77"/>
      <c r="W1194" s="76"/>
      <c r="X1194" s="77"/>
      <c r="Y1194" s="76"/>
      <c r="Z1194" s="76"/>
      <c r="AA1194" s="76"/>
      <c r="AB1194" s="76"/>
      <c r="AC1194" s="76"/>
      <c r="AD1194" s="76"/>
      <c r="AE1194" s="76"/>
      <c r="AF1194" s="76"/>
      <c r="AG1194" s="76"/>
      <c r="AH1194" s="76"/>
      <c r="AI1194" s="76"/>
      <c r="AJ1194" s="76"/>
      <c r="AK1194" s="76"/>
      <c r="AL1194" s="77"/>
      <c r="AM1194" s="76"/>
      <c r="AN1194" s="76"/>
    </row>
    <row r="1195" spans="1:40" ht="15">
      <c r="A1195" s="83" t="e">
        <f>IF(#REF!&lt;&gt;#REF!,1,A1194+1)</f>
        <v>#REF!</v>
      </c>
      <c r="O1195" s="79"/>
      <c r="P1195" s="79"/>
      <c r="Q1195" s="76"/>
      <c r="R1195" s="77"/>
      <c r="S1195" s="76"/>
      <c r="T1195" s="77"/>
      <c r="U1195" s="76"/>
      <c r="V1195" s="77"/>
      <c r="W1195" s="76"/>
      <c r="X1195" s="77"/>
      <c r="Y1195" s="76"/>
      <c r="Z1195" s="76"/>
      <c r="AA1195" s="76"/>
      <c r="AB1195" s="76"/>
      <c r="AC1195" s="76"/>
      <c r="AD1195" s="76"/>
      <c r="AE1195" s="76"/>
      <c r="AF1195" s="76"/>
      <c r="AG1195" s="76"/>
      <c r="AH1195" s="76"/>
      <c r="AI1195" s="76"/>
      <c r="AJ1195" s="76"/>
      <c r="AK1195" s="76"/>
      <c r="AL1195" s="77"/>
      <c r="AM1195" s="76"/>
      <c r="AN1195" s="76"/>
    </row>
    <row r="1196" spans="1:40" ht="15">
      <c r="A1196" s="83" t="e">
        <f>IF(#REF!&lt;&gt;#REF!,1,A1195+1)</f>
        <v>#REF!</v>
      </c>
      <c r="O1196" s="79"/>
      <c r="P1196" s="79"/>
      <c r="Q1196" s="76"/>
      <c r="R1196" s="77"/>
      <c r="S1196" s="76"/>
      <c r="T1196" s="77"/>
      <c r="U1196" s="76"/>
      <c r="V1196" s="77"/>
      <c r="W1196" s="76"/>
      <c r="X1196" s="77"/>
      <c r="Y1196" s="76"/>
      <c r="Z1196" s="76"/>
      <c r="AA1196" s="76"/>
      <c r="AB1196" s="76"/>
      <c r="AC1196" s="76"/>
      <c r="AD1196" s="76"/>
      <c r="AE1196" s="76"/>
      <c r="AF1196" s="76"/>
      <c r="AG1196" s="76"/>
      <c r="AH1196" s="76"/>
      <c r="AI1196" s="76"/>
      <c r="AJ1196" s="76"/>
      <c r="AK1196" s="76"/>
      <c r="AL1196" s="77"/>
      <c r="AM1196" s="76"/>
      <c r="AN1196" s="76"/>
    </row>
    <row r="1197" spans="1:40" ht="15">
      <c r="A1197" s="83" t="e">
        <f>IF(#REF!&lt;&gt;#REF!,1,A1196+1)</f>
        <v>#REF!</v>
      </c>
      <c r="O1197" s="79"/>
      <c r="P1197" s="79"/>
      <c r="Q1197" s="76"/>
      <c r="R1197" s="77"/>
      <c r="S1197" s="76"/>
      <c r="T1197" s="77"/>
      <c r="U1197" s="76"/>
      <c r="V1197" s="77"/>
      <c r="W1197" s="76"/>
      <c r="X1197" s="77"/>
      <c r="Y1197" s="76"/>
      <c r="Z1197" s="76"/>
      <c r="AA1197" s="76"/>
      <c r="AB1197" s="76"/>
      <c r="AC1197" s="76"/>
      <c r="AD1197" s="76"/>
      <c r="AE1197" s="76"/>
      <c r="AF1197" s="76"/>
      <c r="AG1197" s="76"/>
      <c r="AH1197" s="76"/>
      <c r="AI1197" s="76"/>
      <c r="AJ1197" s="76"/>
      <c r="AK1197" s="76"/>
      <c r="AL1197" s="77"/>
      <c r="AM1197" s="76"/>
      <c r="AN1197" s="76"/>
    </row>
    <row r="1198" spans="1:40" ht="15">
      <c r="A1198" s="83" t="e">
        <f>IF(#REF!&lt;&gt;#REF!,1,A1197+1)</f>
        <v>#REF!</v>
      </c>
      <c r="O1198" s="79"/>
      <c r="P1198" s="79"/>
      <c r="Q1198" s="76"/>
      <c r="R1198" s="77"/>
      <c r="S1198" s="76"/>
      <c r="T1198" s="77"/>
      <c r="U1198" s="76"/>
      <c r="V1198" s="77"/>
      <c r="W1198" s="76"/>
      <c r="X1198" s="77"/>
      <c r="Y1198" s="76"/>
      <c r="Z1198" s="76"/>
      <c r="AA1198" s="76"/>
      <c r="AB1198" s="76"/>
      <c r="AC1198" s="76"/>
      <c r="AD1198" s="76"/>
      <c r="AE1198" s="76"/>
      <c r="AF1198" s="76"/>
      <c r="AG1198" s="76"/>
      <c r="AH1198" s="76"/>
      <c r="AI1198" s="76"/>
      <c r="AJ1198" s="76"/>
      <c r="AK1198" s="76"/>
      <c r="AL1198" s="77"/>
      <c r="AM1198" s="76"/>
      <c r="AN1198" s="76"/>
    </row>
    <row r="1199" spans="1:40" ht="15">
      <c r="A1199" s="83" t="e">
        <f>IF(#REF!&lt;&gt;#REF!,1,A1198+1)</f>
        <v>#REF!</v>
      </c>
      <c r="O1199" s="79"/>
      <c r="P1199" s="79"/>
      <c r="Q1199" s="76"/>
      <c r="R1199" s="77"/>
      <c r="S1199" s="76"/>
      <c r="T1199" s="77"/>
      <c r="U1199" s="76"/>
      <c r="V1199" s="77"/>
      <c r="W1199" s="76"/>
      <c r="X1199" s="77"/>
      <c r="Y1199" s="76"/>
      <c r="Z1199" s="76"/>
      <c r="AA1199" s="76"/>
      <c r="AB1199" s="76"/>
      <c r="AC1199" s="76"/>
      <c r="AD1199" s="76"/>
      <c r="AE1199" s="76"/>
      <c r="AF1199" s="76"/>
      <c r="AG1199" s="76"/>
      <c r="AH1199" s="76"/>
      <c r="AI1199" s="76"/>
      <c r="AJ1199" s="76"/>
      <c r="AK1199" s="76"/>
      <c r="AL1199" s="77"/>
      <c r="AM1199" s="76"/>
      <c r="AN1199" s="76"/>
    </row>
    <row r="1200" spans="1:40" ht="15">
      <c r="A1200" s="83" t="e">
        <f>IF(#REF!&lt;&gt;#REF!,1,A1199+1)</f>
        <v>#REF!</v>
      </c>
      <c r="O1200" s="79"/>
      <c r="P1200" s="79"/>
      <c r="Q1200" s="76"/>
      <c r="R1200" s="77"/>
      <c r="S1200" s="76"/>
      <c r="T1200" s="77"/>
      <c r="U1200" s="76"/>
      <c r="V1200" s="77"/>
      <c r="W1200" s="76"/>
      <c r="X1200" s="77"/>
      <c r="Y1200" s="76"/>
      <c r="Z1200" s="76"/>
      <c r="AA1200" s="76"/>
      <c r="AB1200" s="76"/>
      <c r="AC1200" s="76"/>
      <c r="AD1200" s="76"/>
      <c r="AE1200" s="76"/>
      <c r="AF1200" s="76"/>
      <c r="AG1200" s="76"/>
      <c r="AH1200" s="76"/>
      <c r="AI1200" s="76"/>
      <c r="AJ1200" s="76"/>
      <c r="AK1200" s="76"/>
      <c r="AL1200" s="77"/>
      <c r="AM1200" s="76"/>
      <c r="AN1200" s="76"/>
    </row>
    <row r="1201" spans="1:40" ht="15">
      <c r="A1201" s="83" t="e">
        <f>IF(#REF!&lt;&gt;#REF!,1,A1200+1)</f>
        <v>#REF!</v>
      </c>
      <c r="O1201" s="79"/>
      <c r="P1201" s="79"/>
      <c r="Q1201" s="76"/>
      <c r="R1201" s="77"/>
      <c r="S1201" s="76"/>
      <c r="T1201" s="77"/>
      <c r="U1201" s="76"/>
      <c r="V1201" s="77"/>
      <c r="W1201" s="76"/>
      <c r="X1201" s="77"/>
      <c r="Y1201" s="76"/>
      <c r="Z1201" s="76"/>
      <c r="AA1201" s="76"/>
      <c r="AB1201" s="76"/>
      <c r="AC1201" s="76"/>
      <c r="AD1201" s="76"/>
      <c r="AE1201" s="76"/>
      <c r="AF1201" s="76"/>
      <c r="AG1201" s="76"/>
      <c r="AH1201" s="76"/>
      <c r="AI1201" s="76"/>
      <c r="AJ1201" s="76"/>
      <c r="AK1201" s="76"/>
      <c r="AL1201" s="77"/>
      <c r="AM1201" s="76"/>
      <c r="AN1201" s="76"/>
    </row>
    <row r="1202" spans="1:40" ht="15">
      <c r="A1202" s="83" t="e">
        <f>IF(#REF!&lt;&gt;#REF!,1,A1201+1)</f>
        <v>#REF!</v>
      </c>
      <c r="O1202" s="79"/>
      <c r="P1202" s="79"/>
      <c r="Q1202" s="76"/>
      <c r="R1202" s="77"/>
      <c r="S1202" s="76"/>
      <c r="T1202" s="77"/>
      <c r="U1202" s="76"/>
      <c r="V1202" s="77"/>
      <c r="W1202" s="76"/>
      <c r="X1202" s="77"/>
      <c r="Y1202" s="76"/>
      <c r="Z1202" s="76"/>
      <c r="AA1202" s="76"/>
      <c r="AB1202" s="76"/>
      <c r="AC1202" s="76"/>
      <c r="AD1202" s="76"/>
      <c r="AE1202" s="76"/>
      <c r="AF1202" s="76"/>
      <c r="AG1202" s="76"/>
      <c r="AH1202" s="76"/>
      <c r="AI1202" s="76"/>
      <c r="AJ1202" s="76"/>
      <c r="AK1202" s="76"/>
      <c r="AL1202" s="77"/>
      <c r="AM1202" s="76"/>
      <c r="AN1202" s="76"/>
    </row>
    <row r="1203" spans="1:40" ht="15">
      <c r="A1203" s="83" t="e">
        <f>IF(#REF!&lt;&gt;#REF!,1,A1202+1)</f>
        <v>#REF!</v>
      </c>
      <c r="O1203" s="79"/>
      <c r="P1203" s="79"/>
      <c r="Q1203" s="76"/>
      <c r="R1203" s="77"/>
      <c r="S1203" s="76"/>
      <c r="T1203" s="77"/>
      <c r="U1203" s="76"/>
      <c r="V1203" s="77"/>
      <c r="W1203" s="76"/>
      <c r="X1203" s="77"/>
      <c r="Y1203" s="76"/>
      <c r="Z1203" s="76"/>
      <c r="AA1203" s="76"/>
      <c r="AB1203" s="76"/>
      <c r="AC1203" s="76"/>
      <c r="AD1203" s="76"/>
      <c r="AE1203" s="76"/>
      <c r="AF1203" s="76"/>
      <c r="AG1203" s="76"/>
      <c r="AH1203" s="76"/>
      <c r="AI1203" s="76"/>
      <c r="AJ1203" s="76"/>
      <c r="AK1203" s="76"/>
      <c r="AL1203" s="77"/>
      <c r="AM1203" s="76"/>
      <c r="AN1203" s="76"/>
    </row>
    <row r="1204" spans="1:40" ht="15">
      <c r="A1204" s="83" t="e">
        <f>IF(#REF!&lt;&gt;#REF!,1,A1203+1)</f>
        <v>#REF!</v>
      </c>
      <c r="O1204" s="79"/>
      <c r="P1204" s="79"/>
      <c r="Q1204" s="76"/>
      <c r="R1204" s="77"/>
      <c r="S1204" s="76"/>
      <c r="T1204" s="77"/>
      <c r="U1204" s="76"/>
      <c r="V1204" s="77"/>
      <c r="W1204" s="76"/>
      <c r="X1204" s="77"/>
      <c r="Y1204" s="76"/>
      <c r="Z1204" s="76"/>
      <c r="AA1204" s="76"/>
      <c r="AB1204" s="76"/>
      <c r="AC1204" s="76"/>
      <c r="AD1204" s="76"/>
      <c r="AE1204" s="76"/>
      <c r="AF1204" s="76"/>
      <c r="AG1204" s="76"/>
      <c r="AH1204" s="76"/>
      <c r="AI1204" s="76"/>
      <c r="AJ1204" s="76"/>
      <c r="AK1204" s="76"/>
      <c r="AL1204" s="77"/>
      <c r="AM1204" s="76"/>
      <c r="AN1204" s="76"/>
    </row>
    <row r="1205" spans="1:40" ht="15">
      <c r="A1205" s="83" t="e">
        <f>IF(#REF!&lt;&gt;#REF!,1,A1204+1)</f>
        <v>#REF!</v>
      </c>
      <c r="O1205" s="79"/>
      <c r="P1205" s="79"/>
      <c r="Q1205" s="76"/>
      <c r="R1205" s="77"/>
      <c r="S1205" s="76"/>
      <c r="T1205" s="77"/>
      <c r="U1205" s="76"/>
      <c r="V1205" s="77"/>
      <c r="W1205" s="76"/>
      <c r="X1205" s="77"/>
      <c r="Y1205" s="76"/>
      <c r="Z1205" s="76"/>
      <c r="AA1205" s="76"/>
      <c r="AB1205" s="76"/>
      <c r="AC1205" s="76"/>
      <c r="AD1205" s="76"/>
      <c r="AE1205" s="76"/>
      <c r="AF1205" s="76"/>
      <c r="AG1205" s="76"/>
      <c r="AH1205" s="76"/>
      <c r="AI1205" s="76"/>
      <c r="AJ1205" s="76"/>
      <c r="AK1205" s="76"/>
      <c r="AL1205" s="77"/>
      <c r="AM1205" s="76"/>
      <c r="AN1205" s="76"/>
    </row>
    <row r="1206" spans="1:40" ht="15">
      <c r="A1206" s="83" t="e">
        <f>IF(#REF!&lt;&gt;#REF!,1,A1205+1)</f>
        <v>#REF!</v>
      </c>
      <c r="O1206" s="79"/>
      <c r="P1206" s="79"/>
      <c r="Q1206" s="76"/>
      <c r="R1206" s="77"/>
      <c r="S1206" s="76"/>
      <c r="T1206" s="77"/>
      <c r="U1206" s="76"/>
      <c r="V1206" s="77"/>
      <c r="W1206" s="76"/>
      <c r="X1206" s="77"/>
      <c r="Y1206" s="76"/>
      <c r="Z1206" s="76"/>
      <c r="AA1206" s="76"/>
      <c r="AB1206" s="76"/>
      <c r="AC1206" s="76"/>
      <c r="AD1206" s="76"/>
      <c r="AE1206" s="76"/>
      <c r="AF1206" s="76"/>
      <c r="AG1206" s="76"/>
      <c r="AH1206" s="76"/>
      <c r="AI1206" s="76"/>
      <c r="AJ1206" s="76"/>
      <c r="AK1206" s="76"/>
      <c r="AL1206" s="77"/>
      <c r="AM1206" s="76"/>
      <c r="AN1206" s="76"/>
    </row>
    <row r="1207" spans="1:40" ht="15">
      <c r="A1207" s="83" t="e">
        <f>IF(#REF!&lt;&gt;#REF!,1,A1206+1)</f>
        <v>#REF!</v>
      </c>
      <c r="O1207" s="79"/>
      <c r="P1207" s="79"/>
      <c r="Q1207" s="76"/>
      <c r="R1207" s="77"/>
      <c r="S1207" s="76"/>
      <c r="T1207" s="77"/>
      <c r="U1207" s="76"/>
      <c r="V1207" s="77"/>
      <c r="W1207" s="76"/>
      <c r="X1207" s="77"/>
      <c r="Y1207" s="76"/>
      <c r="Z1207" s="76"/>
      <c r="AA1207" s="76"/>
      <c r="AB1207" s="76"/>
      <c r="AC1207" s="76"/>
      <c r="AD1207" s="76"/>
      <c r="AE1207" s="76"/>
      <c r="AF1207" s="76"/>
      <c r="AG1207" s="76"/>
      <c r="AH1207" s="76"/>
      <c r="AI1207" s="76"/>
      <c r="AJ1207" s="76"/>
      <c r="AK1207" s="76"/>
      <c r="AL1207" s="77"/>
      <c r="AM1207" s="76"/>
      <c r="AN1207" s="76"/>
    </row>
    <row r="1208" spans="1:40" ht="15">
      <c r="A1208" s="83" t="e">
        <f>IF(#REF!&lt;&gt;#REF!,1,A1207+1)</f>
        <v>#REF!</v>
      </c>
      <c r="O1208" s="79"/>
      <c r="P1208" s="79"/>
      <c r="Q1208" s="76"/>
      <c r="R1208" s="77"/>
      <c r="S1208" s="76"/>
      <c r="T1208" s="77"/>
      <c r="U1208" s="76"/>
      <c r="V1208" s="77"/>
      <c r="W1208" s="76"/>
      <c r="X1208" s="77"/>
      <c r="Y1208" s="76"/>
      <c r="Z1208" s="76"/>
      <c r="AA1208" s="76"/>
      <c r="AB1208" s="76"/>
      <c r="AC1208" s="76"/>
      <c r="AD1208" s="76"/>
      <c r="AE1208" s="76"/>
      <c r="AF1208" s="76"/>
      <c r="AG1208" s="76"/>
      <c r="AH1208" s="76"/>
      <c r="AI1208" s="76"/>
      <c r="AJ1208" s="76"/>
      <c r="AK1208" s="76"/>
      <c r="AL1208" s="77"/>
      <c r="AM1208" s="76"/>
      <c r="AN1208" s="76"/>
    </row>
    <row r="1209" spans="1:40" ht="15">
      <c r="A1209" s="83" t="e">
        <f>IF(#REF!&lt;&gt;#REF!,1,A1208+1)</f>
        <v>#REF!</v>
      </c>
      <c r="O1209" s="79"/>
      <c r="P1209" s="79"/>
      <c r="Q1209" s="76"/>
      <c r="R1209" s="77"/>
      <c r="S1209" s="76"/>
      <c r="T1209" s="77"/>
      <c r="U1209" s="76"/>
      <c r="V1209" s="77"/>
      <c r="W1209" s="76"/>
      <c r="X1209" s="77"/>
      <c r="Y1209" s="76"/>
      <c r="Z1209" s="76"/>
      <c r="AA1209" s="76"/>
      <c r="AB1209" s="76"/>
      <c r="AC1209" s="76"/>
      <c r="AD1209" s="76"/>
      <c r="AE1209" s="76"/>
      <c r="AF1209" s="76"/>
      <c r="AG1209" s="76"/>
      <c r="AH1209" s="76"/>
      <c r="AI1209" s="76"/>
      <c r="AJ1209" s="76"/>
      <c r="AK1209" s="76"/>
      <c r="AL1209" s="77"/>
      <c r="AM1209" s="76"/>
      <c r="AN1209" s="76"/>
    </row>
    <row r="1210" spans="1:40" ht="15">
      <c r="A1210" s="83" t="e">
        <f>IF(#REF!&lt;&gt;#REF!,1,A1209+1)</f>
        <v>#REF!</v>
      </c>
      <c r="O1210" s="79"/>
      <c r="P1210" s="79"/>
      <c r="Q1210" s="76"/>
      <c r="R1210" s="77"/>
      <c r="S1210" s="76"/>
      <c r="T1210" s="77"/>
      <c r="U1210" s="76"/>
      <c r="V1210" s="77"/>
      <c r="W1210" s="76"/>
      <c r="X1210" s="77"/>
      <c r="Y1210" s="76"/>
      <c r="Z1210" s="76"/>
      <c r="AA1210" s="76"/>
      <c r="AB1210" s="76"/>
      <c r="AC1210" s="76"/>
      <c r="AD1210" s="76"/>
      <c r="AE1210" s="76"/>
      <c r="AF1210" s="76"/>
      <c r="AG1210" s="76"/>
      <c r="AH1210" s="76"/>
      <c r="AI1210" s="76"/>
      <c r="AJ1210" s="76"/>
      <c r="AK1210" s="76"/>
      <c r="AL1210" s="77"/>
      <c r="AM1210" s="76"/>
      <c r="AN1210" s="76"/>
    </row>
    <row r="1211" spans="1:40" ht="15">
      <c r="A1211" s="83" t="e">
        <f>IF(#REF!&lt;&gt;#REF!,1,A1210+1)</f>
        <v>#REF!</v>
      </c>
      <c r="O1211" s="79"/>
      <c r="P1211" s="79"/>
      <c r="Q1211" s="76"/>
      <c r="R1211" s="77"/>
      <c r="S1211" s="76"/>
      <c r="T1211" s="77"/>
      <c r="U1211" s="76"/>
      <c r="V1211" s="77"/>
      <c r="W1211" s="76"/>
      <c r="X1211" s="77"/>
      <c r="Y1211" s="76"/>
      <c r="Z1211" s="76"/>
      <c r="AA1211" s="76"/>
      <c r="AB1211" s="76"/>
      <c r="AC1211" s="76"/>
      <c r="AD1211" s="76"/>
      <c r="AE1211" s="76"/>
      <c r="AF1211" s="76"/>
      <c r="AG1211" s="76"/>
      <c r="AH1211" s="76"/>
      <c r="AI1211" s="76"/>
      <c r="AJ1211" s="76"/>
      <c r="AK1211" s="76"/>
      <c r="AL1211" s="77"/>
      <c r="AM1211" s="76"/>
      <c r="AN1211" s="76"/>
    </row>
    <row r="1212" spans="1:40" ht="15">
      <c r="A1212" s="83" t="e">
        <f>IF(#REF!&lt;&gt;#REF!,1,A1211+1)</f>
        <v>#REF!</v>
      </c>
      <c r="O1212" s="79"/>
      <c r="P1212" s="79"/>
      <c r="Q1212" s="76"/>
      <c r="R1212" s="77"/>
      <c r="S1212" s="76"/>
      <c r="T1212" s="77"/>
      <c r="U1212" s="76"/>
      <c r="V1212" s="77"/>
      <c r="W1212" s="76"/>
      <c r="X1212" s="77"/>
      <c r="Y1212" s="76"/>
      <c r="Z1212" s="76"/>
      <c r="AA1212" s="76"/>
      <c r="AB1212" s="76"/>
      <c r="AC1212" s="76"/>
      <c r="AD1212" s="76"/>
      <c r="AE1212" s="76"/>
      <c r="AF1212" s="76"/>
      <c r="AG1212" s="76"/>
      <c r="AH1212" s="76"/>
      <c r="AI1212" s="76"/>
      <c r="AJ1212" s="76"/>
      <c r="AK1212" s="76"/>
      <c r="AL1212" s="77"/>
      <c r="AM1212" s="76"/>
      <c r="AN1212" s="76"/>
    </row>
    <row r="1213" spans="1:40" ht="15">
      <c r="A1213" s="83" t="e">
        <f>IF(#REF!&lt;&gt;#REF!,1,A1212+1)</f>
        <v>#REF!</v>
      </c>
      <c r="O1213" s="79"/>
      <c r="P1213" s="79"/>
      <c r="Q1213" s="76"/>
      <c r="R1213" s="77"/>
      <c r="S1213" s="76"/>
      <c r="T1213" s="77"/>
      <c r="U1213" s="76"/>
      <c r="V1213" s="77"/>
      <c r="W1213" s="76"/>
      <c r="X1213" s="77"/>
      <c r="Y1213" s="76"/>
      <c r="Z1213" s="76"/>
      <c r="AA1213" s="76"/>
      <c r="AB1213" s="76"/>
      <c r="AC1213" s="76"/>
      <c r="AD1213" s="76"/>
      <c r="AE1213" s="76"/>
      <c r="AF1213" s="76"/>
      <c r="AG1213" s="76"/>
      <c r="AH1213" s="76"/>
      <c r="AI1213" s="76"/>
      <c r="AJ1213" s="76"/>
      <c r="AK1213" s="76"/>
      <c r="AL1213" s="77"/>
      <c r="AM1213" s="76"/>
      <c r="AN1213" s="76"/>
    </row>
    <row r="1214" spans="1:40" ht="15">
      <c r="A1214" s="83" t="e">
        <f>IF(#REF!&lt;&gt;#REF!,1,A1213+1)</f>
        <v>#REF!</v>
      </c>
      <c r="O1214" s="79"/>
      <c r="P1214" s="79"/>
      <c r="Q1214" s="76"/>
      <c r="R1214" s="77"/>
      <c r="S1214" s="76"/>
      <c r="T1214" s="77"/>
      <c r="U1214" s="76"/>
      <c r="V1214" s="77"/>
      <c r="W1214" s="76"/>
      <c r="X1214" s="77"/>
      <c r="Y1214" s="76"/>
      <c r="Z1214" s="76"/>
      <c r="AA1214" s="76"/>
      <c r="AB1214" s="76"/>
      <c r="AC1214" s="76"/>
      <c r="AD1214" s="76"/>
      <c r="AE1214" s="76"/>
      <c r="AF1214" s="76"/>
      <c r="AG1214" s="76"/>
      <c r="AH1214" s="76"/>
      <c r="AI1214" s="76"/>
      <c r="AJ1214" s="76"/>
      <c r="AK1214" s="76"/>
      <c r="AL1214" s="77"/>
      <c r="AM1214" s="76"/>
      <c r="AN1214" s="76"/>
    </row>
    <row r="1215" spans="1:40" ht="15">
      <c r="A1215" s="83" t="e">
        <f>IF(#REF!&lt;&gt;#REF!,1,A1214+1)</f>
        <v>#REF!</v>
      </c>
      <c r="O1215" s="79"/>
      <c r="P1215" s="79"/>
      <c r="Q1215" s="76"/>
      <c r="R1215" s="77"/>
      <c r="S1215" s="76"/>
      <c r="T1215" s="77"/>
      <c r="U1215" s="76"/>
      <c r="V1215" s="77"/>
      <c r="W1215" s="76"/>
      <c r="X1215" s="77"/>
      <c r="Y1215" s="76"/>
      <c r="Z1215" s="76"/>
      <c r="AA1215" s="76"/>
      <c r="AB1215" s="76"/>
      <c r="AC1215" s="76"/>
      <c r="AD1215" s="76"/>
      <c r="AE1215" s="76"/>
      <c r="AF1215" s="76"/>
      <c r="AG1215" s="76"/>
      <c r="AH1215" s="76"/>
      <c r="AI1215" s="76"/>
      <c r="AJ1215" s="76"/>
      <c r="AK1215" s="76"/>
      <c r="AL1215" s="77"/>
      <c r="AM1215" s="76"/>
      <c r="AN1215" s="76"/>
    </row>
    <row r="1216" spans="1:40" ht="15">
      <c r="A1216" s="83" t="e">
        <f>IF(#REF!&lt;&gt;#REF!,1,A1215+1)</f>
        <v>#REF!</v>
      </c>
      <c r="O1216" s="79"/>
      <c r="P1216" s="79"/>
      <c r="Q1216" s="76"/>
      <c r="R1216" s="77"/>
      <c r="S1216" s="76"/>
      <c r="T1216" s="77"/>
      <c r="U1216" s="76"/>
      <c r="V1216" s="77"/>
      <c r="W1216" s="76"/>
      <c r="X1216" s="77"/>
      <c r="Y1216" s="76"/>
      <c r="Z1216" s="76"/>
      <c r="AA1216" s="76"/>
      <c r="AB1216" s="76"/>
      <c r="AC1216" s="76"/>
      <c r="AD1216" s="76"/>
      <c r="AE1216" s="76"/>
      <c r="AF1216" s="76"/>
      <c r="AG1216" s="76"/>
      <c r="AH1216" s="76"/>
      <c r="AI1216" s="76"/>
      <c r="AJ1216" s="76"/>
      <c r="AK1216" s="76"/>
      <c r="AL1216" s="77"/>
      <c r="AM1216" s="76"/>
      <c r="AN1216" s="76"/>
    </row>
    <row r="1217" spans="1:40" ht="15">
      <c r="A1217" s="83" t="e">
        <f>IF(#REF!&lt;&gt;#REF!,1,A1216+1)</f>
        <v>#REF!</v>
      </c>
      <c r="O1217" s="79"/>
      <c r="P1217" s="79"/>
      <c r="Q1217" s="76"/>
      <c r="R1217" s="77"/>
      <c r="S1217" s="76"/>
      <c r="T1217" s="77"/>
      <c r="U1217" s="76"/>
      <c r="V1217" s="77"/>
      <c r="W1217" s="76"/>
      <c r="X1217" s="77"/>
      <c r="Y1217" s="76"/>
      <c r="Z1217" s="76"/>
      <c r="AA1217" s="76"/>
      <c r="AB1217" s="76"/>
      <c r="AC1217" s="76"/>
      <c r="AD1217" s="76"/>
      <c r="AE1217" s="76"/>
      <c r="AF1217" s="76"/>
      <c r="AG1217" s="76"/>
      <c r="AH1217" s="76"/>
      <c r="AI1217" s="76"/>
      <c r="AJ1217" s="76"/>
      <c r="AK1217" s="76"/>
      <c r="AL1217" s="77"/>
      <c r="AM1217" s="76"/>
      <c r="AN1217" s="76"/>
    </row>
    <row r="1218" spans="1:40" ht="15">
      <c r="A1218" s="83" t="e">
        <f>IF(#REF!&lt;&gt;#REF!,1,A1217+1)</f>
        <v>#REF!</v>
      </c>
      <c r="O1218" s="79"/>
      <c r="P1218" s="79"/>
      <c r="Q1218" s="76"/>
      <c r="R1218" s="77"/>
      <c r="S1218" s="76"/>
      <c r="T1218" s="77"/>
      <c r="U1218" s="76"/>
      <c r="V1218" s="77"/>
      <c r="W1218" s="76"/>
      <c r="X1218" s="77"/>
      <c r="Y1218" s="76"/>
      <c r="Z1218" s="76"/>
      <c r="AA1218" s="76"/>
      <c r="AB1218" s="76"/>
      <c r="AC1218" s="76"/>
      <c r="AD1218" s="76"/>
      <c r="AE1218" s="76"/>
      <c r="AF1218" s="76"/>
      <c r="AG1218" s="76"/>
      <c r="AH1218" s="76"/>
      <c r="AI1218" s="76"/>
      <c r="AJ1218" s="76"/>
      <c r="AK1218" s="76"/>
      <c r="AL1218" s="77"/>
      <c r="AM1218" s="76"/>
      <c r="AN1218" s="76"/>
    </row>
    <row r="1219" spans="1:40" ht="15">
      <c r="A1219" s="83" t="e">
        <f>IF(#REF!&lt;&gt;#REF!,1,A1218+1)</f>
        <v>#REF!</v>
      </c>
      <c r="O1219" s="79"/>
      <c r="P1219" s="79"/>
      <c r="Q1219" s="76"/>
      <c r="R1219" s="77"/>
      <c r="S1219" s="76"/>
      <c r="T1219" s="77"/>
      <c r="U1219" s="76"/>
      <c r="V1219" s="77"/>
      <c r="W1219" s="76"/>
      <c r="X1219" s="77"/>
      <c r="Y1219" s="76"/>
      <c r="Z1219" s="76"/>
      <c r="AA1219" s="76"/>
      <c r="AB1219" s="76"/>
      <c r="AC1219" s="76"/>
      <c r="AD1219" s="76"/>
      <c r="AE1219" s="76"/>
      <c r="AF1219" s="76"/>
      <c r="AG1219" s="76"/>
      <c r="AH1219" s="76"/>
      <c r="AI1219" s="76"/>
      <c r="AJ1219" s="76"/>
      <c r="AK1219" s="76"/>
      <c r="AL1219" s="77"/>
      <c r="AM1219" s="76"/>
      <c r="AN1219" s="76"/>
    </row>
    <row r="1220" spans="1:40" ht="15">
      <c r="A1220" s="83" t="e">
        <f>IF(#REF!&lt;&gt;#REF!,1,A1219+1)</f>
        <v>#REF!</v>
      </c>
      <c r="O1220" s="79"/>
      <c r="P1220" s="79"/>
      <c r="Q1220" s="76"/>
      <c r="R1220" s="77"/>
      <c r="S1220" s="76"/>
      <c r="T1220" s="77"/>
      <c r="U1220" s="76"/>
      <c r="V1220" s="77"/>
      <c r="W1220" s="76"/>
      <c r="X1220" s="77"/>
      <c r="Y1220" s="76"/>
      <c r="Z1220" s="76"/>
      <c r="AA1220" s="76"/>
      <c r="AB1220" s="76"/>
      <c r="AC1220" s="76"/>
      <c r="AD1220" s="76"/>
      <c r="AE1220" s="76"/>
      <c r="AF1220" s="76"/>
      <c r="AG1220" s="76"/>
      <c r="AH1220" s="76"/>
      <c r="AI1220" s="76"/>
      <c r="AJ1220" s="76"/>
      <c r="AK1220" s="76"/>
      <c r="AL1220" s="77"/>
      <c r="AM1220" s="76"/>
      <c r="AN1220" s="76"/>
    </row>
    <row r="1221" spans="1:40" ht="15">
      <c r="A1221" s="83" t="e">
        <f>IF(#REF!&lt;&gt;#REF!,1,A1220+1)</f>
        <v>#REF!</v>
      </c>
      <c r="O1221" s="79"/>
      <c r="P1221" s="79"/>
      <c r="Q1221" s="76"/>
      <c r="R1221" s="77"/>
      <c r="S1221" s="76"/>
      <c r="T1221" s="77"/>
      <c r="U1221" s="76"/>
      <c r="V1221" s="77"/>
      <c r="W1221" s="76"/>
      <c r="X1221" s="77"/>
      <c r="Y1221" s="76"/>
      <c r="Z1221" s="76"/>
      <c r="AA1221" s="76"/>
      <c r="AB1221" s="76"/>
      <c r="AC1221" s="76"/>
      <c r="AD1221" s="76"/>
      <c r="AE1221" s="76"/>
      <c r="AF1221" s="76"/>
      <c r="AG1221" s="76"/>
      <c r="AH1221" s="76"/>
      <c r="AI1221" s="76"/>
      <c r="AJ1221" s="76"/>
      <c r="AK1221" s="76"/>
      <c r="AL1221" s="77"/>
      <c r="AM1221" s="76"/>
      <c r="AN1221" s="76"/>
    </row>
    <row r="1222" spans="1:40" ht="15">
      <c r="A1222" s="83" t="e">
        <f>IF(#REF!&lt;&gt;#REF!,1,A1221+1)</f>
        <v>#REF!</v>
      </c>
      <c r="O1222" s="79"/>
      <c r="P1222" s="79"/>
      <c r="Q1222" s="76"/>
      <c r="R1222" s="77"/>
      <c r="S1222" s="76"/>
      <c r="T1222" s="77"/>
      <c r="U1222" s="76"/>
      <c r="V1222" s="77"/>
      <c r="W1222" s="76"/>
      <c r="X1222" s="77"/>
      <c r="Y1222" s="76"/>
      <c r="Z1222" s="76"/>
      <c r="AA1222" s="76"/>
      <c r="AB1222" s="76"/>
      <c r="AC1222" s="76"/>
      <c r="AD1222" s="76"/>
      <c r="AE1222" s="76"/>
      <c r="AF1222" s="76"/>
      <c r="AG1222" s="76"/>
      <c r="AH1222" s="76"/>
      <c r="AI1222" s="76"/>
      <c r="AJ1222" s="76"/>
      <c r="AK1222" s="76"/>
      <c r="AL1222" s="77"/>
      <c r="AM1222" s="76"/>
      <c r="AN1222" s="76"/>
    </row>
    <row r="1223" spans="1:40" ht="15">
      <c r="A1223" s="83" t="e">
        <f>IF(#REF!&lt;&gt;#REF!,1,A1222+1)</f>
        <v>#REF!</v>
      </c>
      <c r="O1223" s="79"/>
      <c r="P1223" s="79"/>
      <c r="Q1223" s="76"/>
      <c r="R1223" s="77"/>
      <c r="S1223" s="76"/>
      <c r="T1223" s="77"/>
      <c r="U1223" s="76"/>
      <c r="V1223" s="77"/>
      <c r="W1223" s="76"/>
      <c r="X1223" s="77"/>
      <c r="Y1223" s="76"/>
      <c r="Z1223" s="76"/>
      <c r="AA1223" s="76"/>
      <c r="AB1223" s="76"/>
      <c r="AC1223" s="76"/>
      <c r="AD1223" s="76"/>
      <c r="AE1223" s="76"/>
      <c r="AF1223" s="76"/>
      <c r="AG1223" s="76"/>
      <c r="AH1223" s="76"/>
      <c r="AI1223" s="76"/>
      <c r="AJ1223" s="76"/>
      <c r="AK1223" s="76"/>
      <c r="AL1223" s="77"/>
      <c r="AM1223" s="76"/>
      <c r="AN1223" s="76"/>
    </row>
    <row r="1224" spans="1:40" ht="15">
      <c r="A1224" s="83" t="e">
        <f>IF(#REF!&lt;&gt;#REF!,1,A1223+1)</f>
        <v>#REF!</v>
      </c>
      <c r="O1224" s="79"/>
      <c r="P1224" s="79"/>
      <c r="Q1224" s="76"/>
      <c r="R1224" s="77"/>
      <c r="S1224" s="76"/>
      <c r="T1224" s="77"/>
      <c r="U1224" s="76"/>
      <c r="V1224" s="77"/>
      <c r="W1224" s="76"/>
      <c r="X1224" s="77"/>
      <c r="Y1224" s="76"/>
      <c r="Z1224" s="76"/>
      <c r="AA1224" s="76"/>
      <c r="AB1224" s="76"/>
      <c r="AC1224" s="76"/>
      <c r="AD1224" s="76"/>
      <c r="AE1224" s="76"/>
      <c r="AF1224" s="76"/>
      <c r="AG1224" s="76"/>
      <c r="AH1224" s="76"/>
      <c r="AI1224" s="76"/>
      <c r="AJ1224" s="76"/>
      <c r="AK1224" s="76"/>
      <c r="AL1224" s="77"/>
      <c r="AM1224" s="76"/>
      <c r="AN1224" s="76"/>
    </row>
    <row r="1225" spans="1:40" ht="15">
      <c r="A1225" s="83" t="e">
        <f>IF(#REF!&lt;&gt;#REF!,1,A1224+1)</f>
        <v>#REF!</v>
      </c>
      <c r="O1225" s="79"/>
      <c r="P1225" s="79"/>
      <c r="Q1225" s="76"/>
      <c r="R1225" s="77"/>
      <c r="S1225" s="76"/>
      <c r="T1225" s="77"/>
      <c r="U1225" s="76"/>
      <c r="V1225" s="77"/>
      <c r="W1225" s="76"/>
      <c r="X1225" s="77"/>
      <c r="Y1225" s="76"/>
      <c r="Z1225" s="76"/>
      <c r="AA1225" s="76"/>
      <c r="AB1225" s="76"/>
      <c r="AC1225" s="76"/>
      <c r="AD1225" s="76"/>
      <c r="AE1225" s="76"/>
      <c r="AF1225" s="76"/>
      <c r="AG1225" s="76"/>
      <c r="AH1225" s="76"/>
      <c r="AI1225" s="76"/>
      <c r="AJ1225" s="76"/>
      <c r="AK1225" s="76"/>
      <c r="AL1225" s="77"/>
      <c r="AM1225" s="76"/>
      <c r="AN1225" s="76"/>
    </row>
    <row r="1226" spans="1:40" ht="15">
      <c r="A1226" s="83" t="e">
        <f>IF(#REF!&lt;&gt;#REF!,1,A1225+1)</f>
        <v>#REF!</v>
      </c>
      <c r="O1226" s="79"/>
      <c r="P1226" s="79"/>
      <c r="Q1226" s="76"/>
      <c r="R1226" s="77"/>
      <c r="S1226" s="76"/>
      <c r="T1226" s="77"/>
      <c r="U1226" s="76"/>
      <c r="V1226" s="77"/>
      <c r="W1226" s="76"/>
      <c r="X1226" s="77"/>
      <c r="Y1226" s="76"/>
      <c r="Z1226" s="76"/>
      <c r="AA1226" s="76"/>
      <c r="AB1226" s="76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7"/>
      <c r="AM1226" s="76"/>
      <c r="AN1226" s="76"/>
    </row>
    <row r="1227" spans="1:40" ht="15">
      <c r="A1227" s="83" t="e">
        <f>IF(#REF!&lt;&gt;#REF!,1,A1226+1)</f>
        <v>#REF!</v>
      </c>
      <c r="O1227" s="79"/>
      <c r="P1227" s="79"/>
      <c r="Q1227" s="76"/>
      <c r="R1227" s="77"/>
      <c r="S1227" s="76"/>
      <c r="T1227" s="77"/>
      <c r="U1227" s="76"/>
      <c r="V1227" s="77"/>
      <c r="W1227" s="76"/>
      <c r="X1227" s="77"/>
      <c r="Y1227" s="76"/>
      <c r="Z1227" s="76"/>
      <c r="AA1227" s="76"/>
      <c r="AB1227" s="76"/>
      <c r="AC1227" s="76"/>
      <c r="AD1227" s="76"/>
      <c r="AE1227" s="76"/>
      <c r="AF1227" s="76"/>
      <c r="AG1227" s="76"/>
      <c r="AH1227" s="76"/>
      <c r="AI1227" s="76"/>
      <c r="AJ1227" s="76"/>
      <c r="AK1227" s="76"/>
      <c r="AL1227" s="77"/>
      <c r="AM1227" s="76"/>
      <c r="AN1227" s="76"/>
    </row>
    <row r="1228" spans="1:40" ht="15">
      <c r="A1228" s="83" t="e">
        <f>IF(#REF!&lt;&gt;#REF!,1,A1227+1)</f>
        <v>#REF!</v>
      </c>
      <c r="O1228" s="79"/>
      <c r="P1228" s="79"/>
      <c r="Q1228" s="76"/>
      <c r="R1228" s="77"/>
      <c r="S1228" s="76"/>
      <c r="T1228" s="77"/>
      <c r="U1228" s="76"/>
      <c r="V1228" s="77"/>
      <c r="W1228" s="76"/>
      <c r="X1228" s="77"/>
      <c r="Y1228" s="76"/>
      <c r="Z1228" s="76"/>
      <c r="AA1228" s="76"/>
      <c r="AB1228" s="76"/>
      <c r="AC1228" s="76"/>
      <c r="AD1228" s="76"/>
      <c r="AE1228" s="76"/>
      <c r="AF1228" s="76"/>
      <c r="AG1228" s="76"/>
      <c r="AH1228" s="76"/>
      <c r="AI1228" s="76"/>
      <c r="AJ1228" s="76"/>
      <c r="AK1228" s="76"/>
      <c r="AL1228" s="77"/>
      <c r="AM1228" s="76"/>
      <c r="AN1228" s="76"/>
    </row>
    <row r="1229" spans="1:40" ht="15">
      <c r="A1229" s="83" t="e">
        <f>IF(#REF!&lt;&gt;#REF!,1,A1228+1)</f>
        <v>#REF!</v>
      </c>
      <c r="O1229" s="79"/>
      <c r="P1229" s="79"/>
      <c r="Q1229" s="76"/>
      <c r="R1229" s="77"/>
      <c r="S1229" s="76"/>
      <c r="T1229" s="77"/>
      <c r="U1229" s="76"/>
      <c r="V1229" s="77"/>
      <c r="W1229" s="76"/>
      <c r="X1229" s="77"/>
      <c r="Y1229" s="76"/>
      <c r="Z1229" s="76"/>
      <c r="AA1229" s="76"/>
      <c r="AB1229" s="76"/>
      <c r="AC1229" s="76"/>
      <c r="AD1229" s="76"/>
      <c r="AE1229" s="76"/>
      <c r="AF1229" s="76"/>
      <c r="AG1229" s="76"/>
      <c r="AH1229" s="76"/>
      <c r="AI1229" s="76"/>
      <c r="AJ1229" s="76"/>
      <c r="AK1229" s="76"/>
      <c r="AL1229" s="77"/>
      <c r="AM1229" s="76"/>
      <c r="AN1229" s="76"/>
    </row>
    <row r="1230" spans="1:40" ht="15">
      <c r="A1230" s="83" t="e">
        <f>IF(#REF!&lt;&gt;#REF!,1,A1229+1)</f>
        <v>#REF!</v>
      </c>
      <c r="O1230" s="79"/>
      <c r="P1230" s="79"/>
      <c r="Q1230" s="76"/>
      <c r="R1230" s="77"/>
      <c r="S1230" s="76"/>
      <c r="T1230" s="77"/>
      <c r="U1230" s="76"/>
      <c r="V1230" s="77"/>
      <c r="W1230" s="76"/>
      <c r="X1230" s="77"/>
      <c r="Y1230" s="76"/>
      <c r="Z1230" s="76"/>
      <c r="AA1230" s="76"/>
      <c r="AB1230" s="76"/>
      <c r="AC1230" s="76"/>
      <c r="AD1230" s="76"/>
      <c r="AE1230" s="76"/>
      <c r="AF1230" s="76"/>
      <c r="AG1230" s="76"/>
      <c r="AH1230" s="76"/>
      <c r="AI1230" s="76"/>
      <c r="AJ1230" s="76"/>
      <c r="AK1230" s="76"/>
      <c r="AL1230" s="77"/>
      <c r="AM1230" s="76"/>
      <c r="AN1230" s="76"/>
    </row>
    <row r="1231" spans="1:40" ht="15">
      <c r="A1231" s="83" t="e">
        <f>IF(#REF!&lt;&gt;#REF!,1,A1230+1)</f>
        <v>#REF!</v>
      </c>
      <c r="O1231" s="79"/>
      <c r="P1231" s="79"/>
      <c r="Q1231" s="76"/>
      <c r="R1231" s="77"/>
      <c r="S1231" s="76"/>
      <c r="T1231" s="77"/>
      <c r="U1231" s="76"/>
      <c r="V1231" s="77"/>
      <c r="W1231" s="76"/>
      <c r="X1231" s="77"/>
      <c r="Y1231" s="76"/>
      <c r="Z1231" s="76"/>
      <c r="AA1231" s="76"/>
      <c r="AB1231" s="76"/>
      <c r="AC1231" s="76"/>
      <c r="AD1231" s="76"/>
      <c r="AE1231" s="76"/>
      <c r="AF1231" s="76"/>
      <c r="AG1231" s="76"/>
      <c r="AH1231" s="76"/>
      <c r="AI1231" s="76"/>
      <c r="AJ1231" s="76"/>
      <c r="AK1231" s="76"/>
      <c r="AL1231" s="77"/>
      <c r="AM1231" s="76"/>
      <c r="AN1231" s="76"/>
    </row>
    <row r="1232" spans="1:40" ht="15">
      <c r="A1232" s="83" t="e">
        <f>IF(#REF!&lt;&gt;#REF!,1,A1231+1)</f>
        <v>#REF!</v>
      </c>
      <c r="O1232" s="79"/>
      <c r="P1232" s="79"/>
      <c r="Q1232" s="76"/>
      <c r="R1232" s="77"/>
      <c r="S1232" s="76"/>
      <c r="T1232" s="77"/>
      <c r="U1232" s="76"/>
      <c r="V1232" s="77"/>
      <c r="W1232" s="76"/>
      <c r="X1232" s="77"/>
      <c r="Y1232" s="76"/>
      <c r="Z1232" s="76"/>
      <c r="AA1232" s="76"/>
      <c r="AB1232" s="76"/>
      <c r="AC1232" s="76"/>
      <c r="AD1232" s="76"/>
      <c r="AE1232" s="76"/>
      <c r="AF1232" s="76"/>
      <c r="AG1232" s="76"/>
      <c r="AH1232" s="76"/>
      <c r="AI1232" s="76"/>
      <c r="AJ1232" s="76"/>
      <c r="AK1232" s="76"/>
      <c r="AL1232" s="77"/>
      <c r="AM1232" s="76"/>
      <c r="AN1232" s="76"/>
    </row>
    <row r="1233" spans="1:40" ht="15">
      <c r="A1233" s="83" t="e">
        <f>IF(#REF!&lt;&gt;#REF!,1,A1232+1)</f>
        <v>#REF!</v>
      </c>
      <c r="O1233" s="79"/>
      <c r="P1233" s="79"/>
      <c r="Q1233" s="76"/>
      <c r="R1233" s="77"/>
      <c r="S1233" s="76"/>
      <c r="T1233" s="77"/>
      <c r="U1233" s="76"/>
      <c r="V1233" s="77"/>
      <c r="W1233" s="76"/>
      <c r="X1233" s="77"/>
      <c r="Y1233" s="76"/>
      <c r="Z1233" s="76"/>
      <c r="AA1233" s="76"/>
      <c r="AB1233" s="76"/>
      <c r="AC1233" s="76"/>
      <c r="AD1233" s="76"/>
      <c r="AE1233" s="76"/>
      <c r="AF1233" s="76"/>
      <c r="AG1233" s="76"/>
      <c r="AH1233" s="76"/>
      <c r="AI1233" s="76"/>
      <c r="AJ1233" s="76"/>
      <c r="AK1233" s="76"/>
      <c r="AL1233" s="77"/>
      <c r="AM1233" s="76"/>
      <c r="AN1233" s="76"/>
    </row>
    <row r="1234" spans="1:40" ht="15">
      <c r="A1234" s="83" t="e">
        <f>IF(#REF!&lt;&gt;#REF!,1,A1233+1)</f>
        <v>#REF!</v>
      </c>
      <c r="O1234" s="79"/>
      <c r="P1234" s="79"/>
      <c r="Q1234" s="76"/>
      <c r="R1234" s="77"/>
      <c r="S1234" s="76"/>
      <c r="T1234" s="77"/>
      <c r="U1234" s="76"/>
      <c r="V1234" s="77"/>
      <c r="W1234" s="76"/>
      <c r="X1234" s="77"/>
      <c r="Y1234" s="76"/>
      <c r="Z1234" s="76"/>
      <c r="AA1234" s="76"/>
      <c r="AB1234" s="76"/>
      <c r="AC1234" s="76"/>
      <c r="AD1234" s="76"/>
      <c r="AE1234" s="76"/>
      <c r="AF1234" s="76"/>
      <c r="AG1234" s="76"/>
      <c r="AH1234" s="76"/>
      <c r="AI1234" s="76"/>
      <c r="AJ1234" s="76"/>
      <c r="AK1234" s="76"/>
      <c r="AL1234" s="77"/>
      <c r="AM1234" s="76"/>
      <c r="AN1234" s="76"/>
    </row>
    <row r="1235" spans="1:40" ht="15">
      <c r="A1235" s="83" t="e">
        <f>IF(#REF!&lt;&gt;#REF!,1,A1234+1)</f>
        <v>#REF!</v>
      </c>
      <c r="O1235" s="79"/>
      <c r="P1235" s="79"/>
      <c r="Q1235" s="76"/>
      <c r="R1235" s="77"/>
      <c r="S1235" s="76"/>
      <c r="T1235" s="77"/>
      <c r="U1235" s="76"/>
      <c r="V1235" s="77"/>
      <c r="W1235" s="76"/>
      <c r="X1235" s="77"/>
      <c r="Y1235" s="76"/>
      <c r="Z1235" s="76"/>
      <c r="AA1235" s="76"/>
      <c r="AB1235" s="76"/>
      <c r="AC1235" s="76"/>
      <c r="AD1235" s="76"/>
      <c r="AE1235" s="76"/>
      <c r="AF1235" s="76"/>
      <c r="AG1235" s="76"/>
      <c r="AH1235" s="76"/>
      <c r="AI1235" s="76"/>
      <c r="AJ1235" s="76"/>
      <c r="AK1235" s="76"/>
      <c r="AL1235" s="77"/>
      <c r="AM1235" s="76"/>
      <c r="AN1235" s="76"/>
    </row>
    <row r="1236" spans="1:40" ht="15">
      <c r="A1236" s="83" t="e">
        <f>IF(#REF!&lt;&gt;#REF!,1,A1235+1)</f>
        <v>#REF!</v>
      </c>
      <c r="O1236" s="79"/>
      <c r="P1236" s="79"/>
      <c r="Q1236" s="76"/>
      <c r="R1236" s="77"/>
      <c r="S1236" s="76"/>
      <c r="T1236" s="77"/>
      <c r="U1236" s="76"/>
      <c r="V1236" s="77"/>
      <c r="W1236" s="76"/>
      <c r="X1236" s="77"/>
      <c r="Y1236" s="76"/>
      <c r="Z1236" s="76"/>
      <c r="AA1236" s="76"/>
      <c r="AB1236" s="76"/>
      <c r="AC1236" s="76"/>
      <c r="AD1236" s="76"/>
      <c r="AE1236" s="76"/>
      <c r="AF1236" s="76"/>
      <c r="AG1236" s="76"/>
      <c r="AH1236" s="76"/>
      <c r="AI1236" s="76"/>
      <c r="AJ1236" s="76"/>
      <c r="AK1236" s="76"/>
      <c r="AL1236" s="77"/>
      <c r="AM1236" s="76"/>
      <c r="AN1236" s="76"/>
    </row>
    <row r="1237" spans="1:40" ht="15">
      <c r="A1237" s="83" t="e">
        <f>IF(#REF!&lt;&gt;#REF!,1,A1236+1)</f>
        <v>#REF!</v>
      </c>
      <c r="O1237" s="79"/>
      <c r="P1237" s="79"/>
      <c r="Q1237" s="76"/>
      <c r="R1237" s="77"/>
      <c r="S1237" s="76"/>
      <c r="T1237" s="77"/>
      <c r="U1237" s="76"/>
      <c r="V1237" s="77"/>
      <c r="W1237" s="76"/>
      <c r="X1237" s="77"/>
      <c r="Y1237" s="76"/>
      <c r="Z1237" s="76"/>
      <c r="AA1237" s="76"/>
      <c r="AB1237" s="76"/>
      <c r="AC1237" s="76"/>
      <c r="AD1237" s="76"/>
      <c r="AE1237" s="76"/>
      <c r="AF1237" s="76"/>
      <c r="AG1237" s="76"/>
      <c r="AH1237" s="76"/>
      <c r="AI1237" s="76"/>
      <c r="AJ1237" s="76"/>
      <c r="AK1237" s="76"/>
      <c r="AL1237" s="77"/>
      <c r="AM1237" s="76"/>
      <c r="AN1237" s="76"/>
    </row>
    <row r="1238" spans="1:40" ht="15">
      <c r="A1238" s="83" t="e">
        <f>IF(#REF!&lt;&gt;#REF!,1,A1237+1)</f>
        <v>#REF!</v>
      </c>
      <c r="O1238" s="79"/>
      <c r="P1238" s="79"/>
      <c r="Q1238" s="76"/>
      <c r="R1238" s="77"/>
      <c r="S1238" s="76"/>
      <c r="T1238" s="77"/>
      <c r="U1238" s="76"/>
      <c r="V1238" s="77"/>
      <c r="W1238" s="76"/>
      <c r="X1238" s="77"/>
      <c r="Y1238" s="76"/>
      <c r="Z1238" s="76"/>
      <c r="AA1238" s="76"/>
      <c r="AB1238" s="76"/>
      <c r="AC1238" s="76"/>
      <c r="AD1238" s="76"/>
      <c r="AE1238" s="76"/>
      <c r="AF1238" s="76"/>
      <c r="AG1238" s="76"/>
      <c r="AH1238" s="76"/>
      <c r="AI1238" s="76"/>
      <c r="AJ1238" s="76"/>
      <c r="AK1238" s="76"/>
      <c r="AL1238" s="77"/>
      <c r="AM1238" s="76"/>
      <c r="AN1238" s="76"/>
    </row>
    <row r="1239" spans="1:40" ht="15">
      <c r="A1239" s="83" t="e">
        <f>IF(#REF!&lt;&gt;#REF!,1,A1238+1)</f>
        <v>#REF!</v>
      </c>
      <c r="O1239" s="79"/>
      <c r="P1239" s="79"/>
      <c r="Q1239" s="76"/>
      <c r="R1239" s="77"/>
      <c r="S1239" s="76"/>
      <c r="T1239" s="77"/>
      <c r="U1239" s="76"/>
      <c r="V1239" s="77"/>
      <c r="W1239" s="76"/>
      <c r="X1239" s="77"/>
      <c r="Y1239" s="76"/>
      <c r="Z1239" s="76"/>
      <c r="AA1239" s="76"/>
      <c r="AB1239" s="76"/>
      <c r="AC1239" s="76"/>
      <c r="AD1239" s="76"/>
      <c r="AE1239" s="76"/>
      <c r="AF1239" s="76"/>
      <c r="AG1239" s="76"/>
      <c r="AH1239" s="76"/>
      <c r="AI1239" s="76"/>
      <c r="AJ1239" s="76"/>
      <c r="AK1239" s="76"/>
      <c r="AL1239" s="77"/>
      <c r="AM1239" s="76"/>
      <c r="AN1239" s="76"/>
    </row>
    <row r="1240" spans="1:40" ht="15">
      <c r="A1240" s="83" t="e">
        <f>IF(#REF!&lt;&gt;#REF!,1,A1239+1)</f>
        <v>#REF!</v>
      </c>
      <c r="O1240" s="79"/>
      <c r="P1240" s="79"/>
      <c r="Q1240" s="76"/>
      <c r="R1240" s="77"/>
      <c r="S1240" s="76"/>
      <c r="T1240" s="77"/>
      <c r="U1240" s="76"/>
      <c r="V1240" s="77"/>
      <c r="W1240" s="76"/>
      <c r="X1240" s="77"/>
      <c r="Y1240" s="76"/>
      <c r="Z1240" s="76"/>
      <c r="AA1240" s="76"/>
      <c r="AB1240" s="76"/>
      <c r="AC1240" s="76"/>
      <c r="AD1240" s="76"/>
      <c r="AE1240" s="76"/>
      <c r="AF1240" s="76"/>
      <c r="AG1240" s="76"/>
      <c r="AH1240" s="76"/>
      <c r="AI1240" s="76"/>
      <c r="AJ1240" s="76"/>
      <c r="AK1240" s="76"/>
      <c r="AL1240" s="77"/>
      <c r="AM1240" s="76"/>
      <c r="AN1240" s="76"/>
    </row>
    <row r="1241" spans="1:40" ht="15">
      <c r="A1241" s="83" t="e">
        <f>IF(#REF!&lt;&gt;#REF!,1,A1240+1)</f>
        <v>#REF!</v>
      </c>
      <c r="O1241" s="79"/>
      <c r="P1241" s="79"/>
      <c r="Q1241" s="76"/>
      <c r="R1241" s="77"/>
      <c r="S1241" s="76"/>
      <c r="T1241" s="77"/>
      <c r="U1241" s="76"/>
      <c r="V1241" s="77"/>
      <c r="W1241" s="76"/>
      <c r="X1241" s="77"/>
      <c r="Y1241" s="76"/>
      <c r="Z1241" s="76"/>
      <c r="AA1241" s="76"/>
      <c r="AB1241" s="76"/>
      <c r="AC1241" s="76"/>
      <c r="AD1241" s="76"/>
      <c r="AE1241" s="76"/>
      <c r="AF1241" s="76"/>
      <c r="AG1241" s="76"/>
      <c r="AH1241" s="76"/>
      <c r="AI1241" s="76"/>
      <c r="AJ1241" s="76"/>
      <c r="AK1241" s="76"/>
      <c r="AL1241" s="77"/>
      <c r="AM1241" s="76"/>
      <c r="AN1241" s="76"/>
    </row>
    <row r="1242" spans="1:40" ht="15">
      <c r="A1242" s="83" t="e">
        <f>IF(#REF!&lt;&gt;#REF!,1,A1241+1)</f>
        <v>#REF!</v>
      </c>
      <c r="O1242" s="79"/>
      <c r="P1242" s="79"/>
      <c r="Q1242" s="76"/>
      <c r="R1242" s="77"/>
      <c r="S1242" s="76"/>
      <c r="T1242" s="77"/>
      <c r="U1242" s="76"/>
      <c r="V1242" s="77"/>
      <c r="W1242" s="76"/>
      <c r="X1242" s="77"/>
      <c r="Y1242" s="76"/>
      <c r="Z1242" s="76"/>
      <c r="AA1242" s="76"/>
      <c r="AB1242" s="76"/>
      <c r="AC1242" s="76"/>
      <c r="AD1242" s="76"/>
      <c r="AE1242" s="76"/>
      <c r="AF1242" s="76"/>
      <c r="AG1242" s="76"/>
      <c r="AH1242" s="76"/>
      <c r="AI1242" s="76"/>
      <c r="AJ1242" s="76"/>
      <c r="AK1242" s="76"/>
      <c r="AL1242" s="77"/>
      <c r="AM1242" s="76"/>
      <c r="AN1242" s="76"/>
    </row>
    <row r="1243" spans="1:40" ht="15">
      <c r="A1243" s="83" t="e">
        <f>IF(#REF!&lt;&gt;#REF!,1,A1242+1)</f>
        <v>#REF!</v>
      </c>
      <c r="O1243" s="79"/>
      <c r="P1243" s="79"/>
      <c r="Q1243" s="76"/>
      <c r="R1243" s="77"/>
      <c r="S1243" s="76"/>
      <c r="T1243" s="77"/>
      <c r="U1243" s="76"/>
      <c r="V1243" s="77"/>
      <c r="W1243" s="76"/>
      <c r="X1243" s="77"/>
      <c r="Y1243" s="76"/>
      <c r="Z1243" s="76"/>
      <c r="AA1243" s="76"/>
      <c r="AB1243" s="76"/>
      <c r="AC1243" s="76"/>
      <c r="AD1243" s="76"/>
      <c r="AE1243" s="76"/>
      <c r="AF1243" s="76"/>
      <c r="AG1243" s="76"/>
      <c r="AH1243" s="76"/>
      <c r="AI1243" s="76"/>
      <c r="AJ1243" s="76"/>
      <c r="AK1243" s="76"/>
      <c r="AL1243" s="77"/>
      <c r="AM1243" s="76"/>
      <c r="AN1243" s="76"/>
    </row>
    <row r="1244" spans="1:40" ht="15">
      <c r="A1244" s="83" t="e">
        <f>IF(#REF!&lt;&gt;#REF!,1,A1243+1)</f>
        <v>#REF!</v>
      </c>
      <c r="O1244" s="79"/>
      <c r="P1244" s="79"/>
      <c r="Q1244" s="76"/>
      <c r="R1244" s="77"/>
      <c r="S1244" s="76"/>
      <c r="T1244" s="77"/>
      <c r="U1244" s="76"/>
      <c r="V1244" s="77"/>
      <c r="W1244" s="76"/>
      <c r="X1244" s="77"/>
      <c r="Y1244" s="76"/>
      <c r="Z1244" s="76"/>
      <c r="AA1244" s="76"/>
      <c r="AB1244" s="76"/>
      <c r="AC1244" s="76"/>
      <c r="AD1244" s="76"/>
      <c r="AE1244" s="76"/>
      <c r="AF1244" s="76"/>
      <c r="AG1244" s="76"/>
      <c r="AH1244" s="76"/>
      <c r="AI1244" s="76"/>
      <c r="AJ1244" s="76"/>
      <c r="AK1244" s="76"/>
      <c r="AL1244" s="77"/>
      <c r="AM1244" s="76"/>
      <c r="AN1244" s="76"/>
    </row>
    <row r="1245" spans="1:40" ht="15">
      <c r="A1245" s="83" t="e">
        <f>IF(#REF!&lt;&gt;#REF!,1,A1244+1)</f>
        <v>#REF!</v>
      </c>
      <c r="O1245" s="79"/>
      <c r="P1245" s="79"/>
      <c r="Q1245" s="76"/>
      <c r="R1245" s="77"/>
      <c r="S1245" s="76"/>
      <c r="T1245" s="77"/>
      <c r="U1245" s="76"/>
      <c r="V1245" s="77"/>
      <c r="W1245" s="76"/>
      <c r="X1245" s="77"/>
      <c r="Y1245" s="76"/>
      <c r="Z1245" s="76"/>
      <c r="AA1245" s="76"/>
      <c r="AB1245" s="76"/>
      <c r="AC1245" s="76"/>
      <c r="AD1245" s="76"/>
      <c r="AE1245" s="76"/>
      <c r="AF1245" s="76"/>
      <c r="AG1245" s="76"/>
      <c r="AH1245" s="76"/>
      <c r="AI1245" s="76"/>
      <c r="AJ1245" s="76"/>
      <c r="AK1245" s="76"/>
      <c r="AL1245" s="77"/>
      <c r="AM1245" s="76"/>
      <c r="AN1245" s="76"/>
    </row>
    <row r="1246" spans="1:40" ht="15">
      <c r="A1246" s="83" t="e">
        <f>IF(#REF!&lt;&gt;#REF!,1,A1245+1)</f>
        <v>#REF!</v>
      </c>
      <c r="O1246" s="79"/>
      <c r="P1246" s="79"/>
      <c r="Q1246" s="76"/>
      <c r="R1246" s="77"/>
      <c r="S1246" s="76"/>
      <c r="T1246" s="77"/>
      <c r="U1246" s="76"/>
      <c r="V1246" s="77"/>
      <c r="W1246" s="76"/>
      <c r="X1246" s="77"/>
      <c r="Y1246" s="76"/>
      <c r="Z1246" s="76"/>
      <c r="AA1246" s="76"/>
      <c r="AB1246" s="76"/>
      <c r="AC1246" s="76"/>
      <c r="AD1246" s="76"/>
      <c r="AE1246" s="76"/>
      <c r="AF1246" s="76"/>
      <c r="AG1246" s="76"/>
      <c r="AH1246" s="76"/>
      <c r="AI1246" s="76"/>
      <c r="AJ1246" s="76"/>
      <c r="AK1246" s="76"/>
      <c r="AL1246" s="77"/>
      <c r="AM1246" s="76"/>
      <c r="AN1246" s="76"/>
    </row>
    <row r="1247" spans="1:40" ht="15">
      <c r="A1247" s="83" t="e">
        <f>IF(#REF!&lt;&gt;#REF!,1,A1246+1)</f>
        <v>#REF!</v>
      </c>
      <c r="O1247" s="79"/>
      <c r="P1247" s="79"/>
      <c r="Q1247" s="76"/>
      <c r="R1247" s="77"/>
      <c r="S1247" s="76"/>
      <c r="T1247" s="77"/>
      <c r="U1247" s="76"/>
      <c r="V1247" s="77"/>
      <c r="W1247" s="76"/>
      <c r="X1247" s="77"/>
      <c r="Y1247" s="76"/>
      <c r="Z1247" s="76"/>
      <c r="AA1247" s="76"/>
      <c r="AB1247" s="76"/>
      <c r="AC1247" s="76"/>
      <c r="AD1247" s="76"/>
      <c r="AE1247" s="76"/>
      <c r="AF1247" s="76"/>
      <c r="AG1247" s="76"/>
      <c r="AH1247" s="76"/>
      <c r="AI1247" s="76"/>
      <c r="AJ1247" s="76"/>
      <c r="AK1247" s="76"/>
      <c r="AL1247" s="77"/>
      <c r="AM1247" s="76"/>
      <c r="AN1247" s="76"/>
    </row>
    <row r="1248" spans="1:40" ht="15">
      <c r="A1248" s="83" t="e">
        <f>IF(#REF!&lt;&gt;#REF!,1,A1247+1)</f>
        <v>#REF!</v>
      </c>
      <c r="O1248" s="79"/>
      <c r="P1248" s="79"/>
      <c r="Q1248" s="76"/>
      <c r="R1248" s="77"/>
      <c r="S1248" s="76"/>
      <c r="T1248" s="77"/>
      <c r="U1248" s="76"/>
      <c r="V1248" s="77"/>
      <c r="W1248" s="76"/>
      <c r="X1248" s="77"/>
      <c r="Y1248" s="76"/>
      <c r="Z1248" s="76"/>
      <c r="AA1248" s="76"/>
      <c r="AB1248" s="76"/>
      <c r="AC1248" s="76"/>
      <c r="AD1248" s="76"/>
      <c r="AE1248" s="76"/>
      <c r="AF1248" s="76"/>
      <c r="AG1248" s="76"/>
      <c r="AH1248" s="76"/>
      <c r="AI1248" s="76"/>
      <c r="AJ1248" s="76"/>
      <c r="AK1248" s="76"/>
      <c r="AL1248" s="77"/>
      <c r="AM1248" s="76"/>
      <c r="AN1248" s="76"/>
    </row>
    <row r="1249" spans="1:40" ht="15">
      <c r="A1249" s="83" t="e">
        <f>IF(#REF!&lt;&gt;#REF!,1,A1248+1)</f>
        <v>#REF!</v>
      </c>
      <c r="O1249" s="79"/>
      <c r="P1249" s="79"/>
      <c r="Q1249" s="76"/>
      <c r="R1249" s="77"/>
      <c r="S1249" s="76"/>
      <c r="T1249" s="77"/>
      <c r="U1249" s="76"/>
      <c r="V1249" s="77"/>
      <c r="W1249" s="76"/>
      <c r="X1249" s="77"/>
      <c r="Y1249" s="76"/>
      <c r="Z1249" s="76"/>
      <c r="AA1249" s="76"/>
      <c r="AB1249" s="76"/>
      <c r="AC1249" s="76"/>
      <c r="AD1249" s="76"/>
      <c r="AE1249" s="76"/>
      <c r="AF1249" s="76"/>
      <c r="AG1249" s="76"/>
      <c r="AH1249" s="76"/>
      <c r="AI1249" s="76"/>
      <c r="AJ1249" s="76"/>
      <c r="AK1249" s="76"/>
      <c r="AL1249" s="77"/>
      <c r="AM1249" s="76"/>
      <c r="AN1249" s="76"/>
    </row>
    <row r="1250" spans="1:40" ht="15">
      <c r="A1250" s="83" t="e">
        <f>IF(#REF!&lt;&gt;#REF!,1,A1249+1)</f>
        <v>#REF!</v>
      </c>
      <c r="O1250" s="79"/>
      <c r="P1250" s="79"/>
      <c r="Q1250" s="76"/>
      <c r="R1250" s="77"/>
      <c r="S1250" s="76"/>
      <c r="T1250" s="77"/>
      <c r="U1250" s="76"/>
      <c r="V1250" s="77"/>
      <c r="W1250" s="76"/>
      <c r="X1250" s="77"/>
      <c r="Y1250" s="76"/>
      <c r="Z1250" s="76"/>
      <c r="AA1250" s="76"/>
      <c r="AB1250" s="76"/>
      <c r="AC1250" s="76"/>
      <c r="AD1250" s="76"/>
      <c r="AE1250" s="76"/>
      <c r="AF1250" s="76"/>
      <c r="AG1250" s="76"/>
      <c r="AH1250" s="76"/>
      <c r="AI1250" s="76"/>
      <c r="AJ1250" s="76"/>
      <c r="AK1250" s="76"/>
      <c r="AL1250" s="77"/>
      <c r="AM1250" s="76"/>
      <c r="AN1250" s="76"/>
    </row>
    <row r="1251" spans="1:40" ht="15">
      <c r="A1251" s="83" t="e">
        <f>IF(#REF!&lt;&gt;#REF!,1,A1250+1)</f>
        <v>#REF!</v>
      </c>
      <c r="O1251" s="79"/>
      <c r="P1251" s="79"/>
      <c r="Q1251" s="76"/>
      <c r="R1251" s="77"/>
      <c r="S1251" s="76"/>
      <c r="T1251" s="77"/>
      <c r="U1251" s="76"/>
      <c r="V1251" s="77"/>
      <c r="W1251" s="76"/>
      <c r="X1251" s="77"/>
      <c r="Y1251" s="76"/>
      <c r="Z1251" s="76"/>
      <c r="AA1251" s="76"/>
      <c r="AB1251" s="76"/>
      <c r="AC1251" s="76"/>
      <c r="AD1251" s="76"/>
      <c r="AE1251" s="76"/>
      <c r="AF1251" s="76"/>
      <c r="AG1251" s="76"/>
      <c r="AH1251" s="76"/>
      <c r="AI1251" s="76"/>
      <c r="AJ1251" s="76"/>
      <c r="AK1251" s="76"/>
      <c r="AL1251" s="77"/>
      <c r="AM1251" s="76"/>
      <c r="AN1251" s="76"/>
    </row>
    <row r="1252" spans="1:40" ht="15">
      <c r="A1252" s="83" t="e">
        <f>IF(#REF!&lt;&gt;#REF!,1,A1251+1)</f>
        <v>#REF!</v>
      </c>
      <c r="O1252" s="79"/>
      <c r="P1252" s="79"/>
      <c r="Q1252" s="76"/>
      <c r="R1252" s="77"/>
      <c r="S1252" s="76"/>
      <c r="T1252" s="77"/>
      <c r="U1252" s="76"/>
      <c r="V1252" s="77"/>
      <c r="W1252" s="76"/>
      <c r="X1252" s="77"/>
      <c r="Y1252" s="76"/>
      <c r="Z1252" s="76"/>
      <c r="AA1252" s="76"/>
      <c r="AB1252" s="76"/>
      <c r="AC1252" s="76"/>
      <c r="AD1252" s="76"/>
      <c r="AE1252" s="76"/>
      <c r="AF1252" s="76"/>
      <c r="AG1252" s="76"/>
      <c r="AH1252" s="76"/>
      <c r="AI1252" s="76"/>
      <c r="AJ1252" s="76"/>
      <c r="AK1252" s="76"/>
      <c r="AL1252" s="77"/>
      <c r="AM1252" s="76"/>
      <c r="AN1252" s="76"/>
    </row>
    <row r="1253" spans="1:40" ht="15">
      <c r="A1253" s="83" t="e">
        <f>IF(#REF!&lt;&gt;#REF!,1,A1252+1)</f>
        <v>#REF!</v>
      </c>
      <c r="O1253" s="79"/>
      <c r="P1253" s="79"/>
      <c r="Q1253" s="76"/>
      <c r="R1253" s="77"/>
      <c r="S1253" s="76"/>
      <c r="T1253" s="77"/>
      <c r="U1253" s="76"/>
      <c r="V1253" s="77"/>
      <c r="W1253" s="76"/>
      <c r="X1253" s="77"/>
      <c r="Y1253" s="76"/>
      <c r="Z1253" s="76"/>
      <c r="AA1253" s="76"/>
      <c r="AB1253" s="76"/>
      <c r="AC1253" s="76"/>
      <c r="AD1253" s="76"/>
      <c r="AE1253" s="76"/>
      <c r="AF1253" s="76"/>
      <c r="AG1253" s="76"/>
      <c r="AH1253" s="76"/>
      <c r="AI1253" s="76"/>
      <c r="AJ1253" s="76"/>
      <c r="AK1253" s="76"/>
      <c r="AL1253" s="77"/>
      <c r="AM1253" s="76"/>
      <c r="AN1253" s="76"/>
    </row>
    <row r="1254" spans="1:40" ht="15">
      <c r="A1254" s="83" t="e">
        <f>IF(#REF!&lt;&gt;#REF!,1,A1253+1)</f>
        <v>#REF!</v>
      </c>
      <c r="O1254" s="79"/>
      <c r="P1254" s="79"/>
      <c r="Q1254" s="76"/>
      <c r="R1254" s="77"/>
      <c r="S1254" s="76"/>
      <c r="T1254" s="77"/>
      <c r="U1254" s="76"/>
      <c r="V1254" s="77"/>
      <c r="W1254" s="76"/>
      <c r="X1254" s="77"/>
      <c r="Y1254" s="76"/>
      <c r="Z1254" s="76"/>
      <c r="AA1254" s="76"/>
      <c r="AB1254" s="76"/>
      <c r="AC1254" s="76"/>
      <c r="AD1254" s="76"/>
      <c r="AE1254" s="76"/>
      <c r="AF1254" s="76"/>
      <c r="AG1254" s="76"/>
      <c r="AH1254" s="76"/>
      <c r="AI1254" s="76"/>
      <c r="AJ1254" s="76"/>
      <c r="AK1254" s="76"/>
      <c r="AL1254" s="77"/>
      <c r="AM1254" s="76"/>
      <c r="AN1254" s="76"/>
    </row>
    <row r="1255" spans="1:40" ht="15">
      <c r="A1255" s="83" t="e">
        <f>IF(#REF!&lt;&gt;#REF!,1,A1254+1)</f>
        <v>#REF!</v>
      </c>
      <c r="O1255" s="79"/>
      <c r="P1255" s="79"/>
      <c r="Q1255" s="76"/>
      <c r="R1255" s="77"/>
      <c r="S1255" s="76"/>
      <c r="T1255" s="77"/>
      <c r="U1255" s="76"/>
      <c r="V1255" s="77"/>
      <c r="W1255" s="76"/>
      <c r="X1255" s="77"/>
      <c r="Y1255" s="76"/>
      <c r="Z1255" s="76"/>
      <c r="AA1255" s="76"/>
      <c r="AB1255" s="76"/>
      <c r="AC1255" s="76"/>
      <c r="AD1255" s="76"/>
      <c r="AE1255" s="76"/>
      <c r="AF1255" s="76"/>
      <c r="AG1255" s="76"/>
      <c r="AH1255" s="76"/>
      <c r="AI1255" s="76"/>
      <c r="AJ1255" s="76"/>
      <c r="AK1255" s="76"/>
      <c r="AL1255" s="77"/>
      <c r="AM1255" s="76"/>
      <c r="AN1255" s="76"/>
    </row>
    <row r="1256" spans="1:40" ht="15">
      <c r="A1256" s="83" t="e">
        <f>IF(#REF!&lt;&gt;#REF!,1,A1255+1)</f>
        <v>#REF!</v>
      </c>
      <c r="O1256" s="79"/>
      <c r="P1256" s="79"/>
      <c r="Q1256" s="76"/>
      <c r="R1256" s="77"/>
      <c r="S1256" s="76"/>
      <c r="T1256" s="77"/>
      <c r="U1256" s="76"/>
      <c r="V1256" s="77"/>
      <c r="W1256" s="76"/>
      <c r="X1256" s="77"/>
      <c r="Y1256" s="76"/>
      <c r="Z1256" s="76"/>
      <c r="AA1256" s="76"/>
      <c r="AB1256" s="76"/>
      <c r="AC1256" s="76"/>
      <c r="AD1256" s="76"/>
      <c r="AE1256" s="76"/>
      <c r="AF1256" s="76"/>
      <c r="AG1256" s="76"/>
      <c r="AH1256" s="76"/>
      <c r="AI1256" s="76"/>
      <c r="AJ1256" s="76"/>
      <c r="AK1256" s="76"/>
      <c r="AL1256" s="77"/>
      <c r="AM1256" s="76"/>
      <c r="AN1256" s="76"/>
    </row>
    <row r="1257" spans="1:40" ht="15">
      <c r="A1257" s="83" t="e">
        <f>IF(#REF!&lt;&gt;#REF!,1,A1256+1)</f>
        <v>#REF!</v>
      </c>
      <c r="O1257" s="79"/>
      <c r="P1257" s="79"/>
      <c r="Q1257" s="76"/>
      <c r="R1257" s="77"/>
      <c r="S1257" s="76"/>
      <c r="T1257" s="77"/>
      <c r="U1257" s="76"/>
      <c r="V1257" s="77"/>
      <c r="W1257" s="76"/>
      <c r="X1257" s="77"/>
      <c r="Y1257" s="76"/>
      <c r="Z1257" s="76"/>
      <c r="AA1257" s="76"/>
      <c r="AB1257" s="76"/>
      <c r="AC1257" s="76"/>
      <c r="AD1257" s="76"/>
      <c r="AE1257" s="76"/>
      <c r="AF1257" s="76"/>
      <c r="AG1257" s="76"/>
      <c r="AH1257" s="76"/>
      <c r="AI1257" s="76"/>
      <c r="AJ1257" s="76"/>
      <c r="AK1257" s="76"/>
      <c r="AL1257" s="77"/>
      <c r="AM1257" s="76"/>
      <c r="AN1257" s="76"/>
    </row>
    <row r="1258" spans="1:40" ht="15">
      <c r="A1258" s="83" t="e">
        <f>IF(#REF!&lt;&gt;#REF!,1,A1257+1)</f>
        <v>#REF!</v>
      </c>
      <c r="O1258" s="79"/>
      <c r="P1258" s="79"/>
      <c r="Q1258" s="76"/>
      <c r="R1258" s="77"/>
      <c r="S1258" s="76"/>
      <c r="T1258" s="77"/>
      <c r="U1258" s="76"/>
      <c r="V1258" s="77"/>
      <c r="W1258" s="76"/>
      <c r="X1258" s="77"/>
      <c r="Y1258" s="76"/>
      <c r="Z1258" s="76"/>
      <c r="AA1258" s="76"/>
      <c r="AB1258" s="76"/>
      <c r="AC1258" s="76"/>
      <c r="AD1258" s="76"/>
      <c r="AE1258" s="76"/>
      <c r="AF1258" s="76"/>
      <c r="AG1258" s="76"/>
      <c r="AH1258" s="76"/>
      <c r="AI1258" s="76"/>
      <c r="AJ1258" s="76"/>
      <c r="AK1258" s="76"/>
      <c r="AL1258" s="77"/>
      <c r="AM1258" s="76"/>
      <c r="AN1258" s="76"/>
    </row>
    <row r="1259" spans="1:40" ht="15">
      <c r="A1259" s="83" t="e">
        <f>IF(#REF!&lt;&gt;#REF!,1,A1258+1)</f>
        <v>#REF!</v>
      </c>
      <c r="O1259" s="79"/>
      <c r="P1259" s="79"/>
      <c r="Q1259" s="76"/>
      <c r="R1259" s="77"/>
      <c r="S1259" s="76"/>
      <c r="T1259" s="77"/>
      <c r="U1259" s="76"/>
      <c r="V1259" s="77"/>
      <c r="W1259" s="76"/>
      <c r="X1259" s="77"/>
      <c r="Y1259" s="76"/>
      <c r="Z1259" s="76"/>
      <c r="AA1259" s="76"/>
      <c r="AB1259" s="76"/>
      <c r="AC1259" s="76"/>
      <c r="AD1259" s="76"/>
      <c r="AE1259" s="76"/>
      <c r="AF1259" s="76"/>
      <c r="AG1259" s="76"/>
      <c r="AH1259" s="76"/>
      <c r="AI1259" s="76"/>
      <c r="AJ1259" s="76"/>
      <c r="AK1259" s="76"/>
      <c r="AL1259" s="77"/>
      <c r="AM1259" s="76"/>
      <c r="AN1259" s="76"/>
    </row>
    <row r="1260" spans="1:40" ht="15">
      <c r="A1260" s="83" t="e">
        <f>IF(#REF!&lt;&gt;#REF!,1,A1259+1)</f>
        <v>#REF!</v>
      </c>
      <c r="O1260" s="79"/>
      <c r="P1260" s="79"/>
      <c r="Q1260" s="76"/>
      <c r="R1260" s="77"/>
      <c r="S1260" s="76"/>
      <c r="T1260" s="77"/>
      <c r="U1260" s="76"/>
      <c r="V1260" s="77"/>
      <c r="W1260" s="76"/>
      <c r="X1260" s="77"/>
      <c r="Y1260" s="76"/>
      <c r="Z1260" s="76"/>
      <c r="AA1260" s="76"/>
      <c r="AB1260" s="76"/>
      <c r="AC1260" s="76"/>
      <c r="AD1260" s="76"/>
      <c r="AE1260" s="76"/>
      <c r="AF1260" s="76"/>
      <c r="AG1260" s="76"/>
      <c r="AH1260" s="76"/>
      <c r="AI1260" s="76"/>
      <c r="AJ1260" s="76"/>
      <c r="AK1260" s="76"/>
      <c r="AL1260" s="77"/>
      <c r="AM1260" s="76"/>
      <c r="AN1260" s="76"/>
    </row>
    <row r="1261" spans="1:40" ht="15">
      <c r="A1261" s="83" t="e">
        <f>IF(#REF!&lt;&gt;#REF!,1,A1260+1)</f>
        <v>#REF!</v>
      </c>
      <c r="O1261" s="79"/>
      <c r="P1261" s="79"/>
      <c r="Q1261" s="76"/>
      <c r="R1261" s="77"/>
      <c r="S1261" s="76"/>
      <c r="T1261" s="77"/>
      <c r="U1261" s="76"/>
      <c r="V1261" s="77"/>
      <c r="W1261" s="76"/>
      <c r="X1261" s="77"/>
      <c r="Y1261" s="76"/>
      <c r="Z1261" s="76"/>
      <c r="AA1261" s="76"/>
      <c r="AB1261" s="76"/>
      <c r="AC1261" s="76"/>
      <c r="AD1261" s="76"/>
      <c r="AE1261" s="76"/>
      <c r="AF1261" s="76"/>
      <c r="AG1261" s="76"/>
      <c r="AH1261" s="76"/>
      <c r="AI1261" s="76"/>
      <c r="AJ1261" s="76"/>
      <c r="AK1261" s="76"/>
      <c r="AL1261" s="77"/>
      <c r="AM1261" s="76"/>
      <c r="AN1261" s="76"/>
    </row>
    <row r="1262" spans="1:40" ht="15">
      <c r="A1262" s="83" t="e">
        <f>IF(#REF!&lt;&gt;#REF!,1,A1261+1)</f>
        <v>#REF!</v>
      </c>
      <c r="O1262" s="79"/>
      <c r="P1262" s="79"/>
      <c r="Q1262" s="76"/>
      <c r="R1262" s="77"/>
      <c r="S1262" s="76"/>
      <c r="T1262" s="77"/>
      <c r="U1262" s="76"/>
      <c r="V1262" s="77"/>
      <c r="W1262" s="76"/>
      <c r="X1262" s="77"/>
      <c r="Y1262" s="76"/>
      <c r="Z1262" s="76"/>
      <c r="AA1262" s="76"/>
      <c r="AB1262" s="76"/>
      <c r="AC1262" s="76"/>
      <c r="AD1262" s="76"/>
      <c r="AE1262" s="76"/>
      <c r="AF1262" s="76"/>
      <c r="AG1262" s="76"/>
      <c r="AH1262" s="76"/>
      <c r="AI1262" s="76"/>
      <c r="AJ1262" s="76"/>
      <c r="AK1262" s="76"/>
      <c r="AL1262" s="77"/>
      <c r="AM1262" s="76"/>
      <c r="AN1262" s="76"/>
    </row>
    <row r="1263" spans="1:40" ht="15">
      <c r="A1263" s="83" t="e">
        <f>IF(#REF!&lt;&gt;#REF!,1,A1262+1)</f>
        <v>#REF!</v>
      </c>
      <c r="O1263" s="79"/>
      <c r="P1263" s="79"/>
      <c r="Q1263" s="76"/>
      <c r="R1263" s="77"/>
      <c r="S1263" s="76"/>
      <c r="T1263" s="77"/>
      <c r="U1263" s="76"/>
      <c r="V1263" s="77"/>
      <c r="W1263" s="76"/>
      <c r="X1263" s="77"/>
      <c r="Y1263" s="76"/>
      <c r="Z1263" s="76"/>
      <c r="AA1263" s="76"/>
      <c r="AB1263" s="76"/>
      <c r="AC1263" s="76"/>
      <c r="AD1263" s="76"/>
      <c r="AE1263" s="76"/>
      <c r="AF1263" s="76"/>
      <c r="AG1263" s="76"/>
      <c r="AH1263" s="76"/>
      <c r="AI1263" s="76"/>
      <c r="AJ1263" s="76"/>
      <c r="AK1263" s="76"/>
      <c r="AL1263" s="77"/>
      <c r="AM1263" s="76"/>
      <c r="AN1263" s="76"/>
    </row>
    <row r="1264" spans="1:40" ht="15">
      <c r="A1264" s="83" t="e">
        <f>IF(#REF!&lt;&gt;#REF!,1,A1263+1)</f>
        <v>#REF!</v>
      </c>
      <c r="O1264" s="79"/>
      <c r="P1264" s="79"/>
      <c r="Q1264" s="76"/>
      <c r="R1264" s="77"/>
      <c r="S1264" s="76"/>
      <c r="T1264" s="77"/>
      <c r="U1264" s="76"/>
      <c r="V1264" s="77"/>
      <c r="W1264" s="76"/>
      <c r="X1264" s="77"/>
      <c r="Y1264" s="76"/>
      <c r="Z1264" s="76"/>
      <c r="AA1264" s="76"/>
      <c r="AB1264" s="76"/>
      <c r="AC1264" s="76"/>
      <c r="AD1264" s="76"/>
      <c r="AE1264" s="76"/>
      <c r="AF1264" s="76"/>
      <c r="AG1264" s="76"/>
      <c r="AH1264" s="76"/>
      <c r="AI1264" s="76"/>
      <c r="AJ1264" s="76"/>
      <c r="AK1264" s="76"/>
      <c r="AL1264" s="77"/>
      <c r="AM1264" s="76"/>
      <c r="AN1264" s="76"/>
    </row>
    <row r="1265" spans="1:40" ht="15">
      <c r="A1265" s="83" t="e">
        <f>IF(#REF!&lt;&gt;#REF!,1,A1264+1)</f>
        <v>#REF!</v>
      </c>
      <c r="O1265" s="79"/>
      <c r="P1265" s="79"/>
      <c r="Q1265" s="76"/>
      <c r="R1265" s="77"/>
      <c r="S1265" s="76"/>
      <c r="T1265" s="77"/>
      <c r="U1265" s="76"/>
      <c r="V1265" s="77"/>
      <c r="W1265" s="76"/>
      <c r="X1265" s="77"/>
      <c r="Y1265" s="76"/>
      <c r="Z1265" s="76"/>
      <c r="AA1265" s="76"/>
      <c r="AB1265" s="76"/>
      <c r="AC1265" s="76"/>
      <c r="AD1265" s="76"/>
      <c r="AE1265" s="76"/>
      <c r="AF1265" s="76"/>
      <c r="AG1265" s="76"/>
      <c r="AH1265" s="76"/>
      <c r="AI1265" s="76"/>
      <c r="AJ1265" s="76"/>
      <c r="AK1265" s="76"/>
      <c r="AL1265" s="77"/>
      <c r="AM1265" s="76"/>
      <c r="AN1265" s="76"/>
    </row>
    <row r="1266" spans="1:40" ht="15">
      <c r="A1266" s="83" t="e">
        <f>IF(#REF!&lt;&gt;#REF!,1,A1265+1)</f>
        <v>#REF!</v>
      </c>
      <c r="O1266" s="79"/>
      <c r="P1266" s="79"/>
      <c r="Q1266" s="76"/>
      <c r="R1266" s="77"/>
      <c r="S1266" s="76"/>
      <c r="T1266" s="77"/>
      <c r="U1266" s="76"/>
      <c r="V1266" s="77"/>
      <c r="W1266" s="76"/>
      <c r="X1266" s="77"/>
      <c r="Y1266" s="76"/>
      <c r="Z1266" s="76"/>
      <c r="AA1266" s="76"/>
      <c r="AB1266" s="76"/>
      <c r="AC1266" s="76"/>
      <c r="AD1266" s="76"/>
      <c r="AE1266" s="76"/>
      <c r="AF1266" s="76"/>
      <c r="AG1266" s="76"/>
      <c r="AH1266" s="76"/>
      <c r="AI1266" s="76"/>
      <c r="AJ1266" s="76"/>
      <c r="AK1266" s="76"/>
      <c r="AL1266" s="77"/>
      <c r="AM1266" s="76"/>
      <c r="AN1266" s="76"/>
    </row>
    <row r="1267" spans="1:40" ht="15">
      <c r="A1267" s="83" t="e">
        <f>IF(#REF!&lt;&gt;#REF!,1,A1266+1)</f>
        <v>#REF!</v>
      </c>
      <c r="O1267" s="79"/>
      <c r="P1267" s="79"/>
      <c r="Q1267" s="76"/>
      <c r="R1267" s="77"/>
      <c r="S1267" s="76"/>
      <c r="T1267" s="77"/>
      <c r="U1267" s="76"/>
      <c r="V1267" s="77"/>
      <c r="W1267" s="76"/>
      <c r="X1267" s="77"/>
      <c r="Y1267" s="76"/>
      <c r="Z1267" s="76"/>
      <c r="AA1267" s="76"/>
      <c r="AB1267" s="76"/>
      <c r="AC1267" s="76"/>
      <c r="AD1267" s="76"/>
      <c r="AE1267" s="76"/>
      <c r="AF1267" s="76"/>
      <c r="AG1267" s="76"/>
      <c r="AH1267" s="76"/>
      <c r="AI1267" s="76"/>
      <c r="AJ1267" s="76"/>
      <c r="AK1267" s="76"/>
      <c r="AL1267" s="77"/>
      <c r="AM1267" s="76"/>
      <c r="AN1267" s="76"/>
    </row>
    <row r="1268" spans="1:40" ht="15">
      <c r="A1268" s="83" t="e">
        <f>IF(#REF!&lt;&gt;#REF!,1,A1267+1)</f>
        <v>#REF!</v>
      </c>
      <c r="O1268" s="79"/>
      <c r="P1268" s="79"/>
      <c r="Q1268" s="76"/>
      <c r="R1268" s="77"/>
      <c r="S1268" s="76"/>
      <c r="T1268" s="77"/>
      <c r="U1268" s="76"/>
      <c r="V1268" s="77"/>
      <c r="W1268" s="76"/>
      <c r="X1268" s="77"/>
      <c r="Y1268" s="76"/>
      <c r="Z1268" s="76"/>
      <c r="AA1268" s="76"/>
      <c r="AB1268" s="76"/>
      <c r="AC1268" s="76"/>
      <c r="AD1268" s="76"/>
      <c r="AE1268" s="76"/>
      <c r="AF1268" s="76"/>
      <c r="AG1268" s="76"/>
      <c r="AH1268" s="76"/>
      <c r="AI1268" s="76"/>
      <c r="AJ1268" s="76"/>
      <c r="AK1268" s="76"/>
      <c r="AL1268" s="77"/>
      <c r="AM1268" s="76"/>
      <c r="AN1268" s="76"/>
    </row>
    <row r="1269" spans="1:40" ht="15">
      <c r="A1269" s="83" t="e">
        <f>IF(#REF!&lt;&gt;#REF!,1,A1268+1)</f>
        <v>#REF!</v>
      </c>
      <c r="O1269" s="79"/>
      <c r="P1269" s="79"/>
      <c r="Q1269" s="76"/>
      <c r="R1269" s="77"/>
      <c r="S1269" s="76"/>
      <c r="T1269" s="77"/>
      <c r="U1269" s="76"/>
      <c r="V1269" s="77"/>
      <c r="W1269" s="76"/>
      <c r="X1269" s="77"/>
      <c r="Y1269" s="76"/>
      <c r="Z1269" s="76"/>
      <c r="AA1269" s="76"/>
      <c r="AB1269" s="76"/>
      <c r="AC1269" s="76"/>
      <c r="AD1269" s="76"/>
      <c r="AE1269" s="76"/>
      <c r="AF1269" s="76"/>
      <c r="AG1269" s="76"/>
      <c r="AH1269" s="76"/>
      <c r="AI1269" s="76"/>
      <c r="AJ1269" s="76"/>
      <c r="AK1269" s="76"/>
      <c r="AL1269" s="77"/>
      <c r="AM1269" s="76"/>
      <c r="AN1269" s="76"/>
    </row>
    <row r="1270" spans="1:40" ht="15">
      <c r="A1270" s="83" t="e">
        <f>IF(#REF!&lt;&gt;#REF!,1,A1269+1)</f>
        <v>#REF!</v>
      </c>
      <c r="O1270" s="79"/>
      <c r="P1270" s="79"/>
      <c r="Q1270" s="76"/>
      <c r="R1270" s="77"/>
      <c r="S1270" s="76"/>
      <c r="T1270" s="77"/>
      <c r="U1270" s="76"/>
      <c r="V1270" s="77"/>
      <c r="W1270" s="76"/>
      <c r="X1270" s="77"/>
      <c r="Y1270" s="76"/>
      <c r="Z1270" s="76"/>
      <c r="AA1270" s="76"/>
      <c r="AB1270" s="76"/>
      <c r="AC1270" s="76"/>
      <c r="AD1270" s="76"/>
      <c r="AE1270" s="76"/>
      <c r="AF1270" s="76"/>
      <c r="AG1270" s="76"/>
      <c r="AH1270" s="76"/>
      <c r="AI1270" s="76"/>
      <c r="AJ1270" s="76"/>
      <c r="AK1270" s="76"/>
      <c r="AL1270" s="77"/>
      <c r="AM1270" s="76"/>
      <c r="AN1270" s="76"/>
    </row>
    <row r="1271" spans="1:40" ht="15">
      <c r="A1271" s="83" t="e">
        <f>IF(#REF!&lt;&gt;#REF!,1,A1270+1)</f>
        <v>#REF!</v>
      </c>
      <c r="O1271" s="79"/>
      <c r="P1271" s="79"/>
      <c r="Q1271" s="76"/>
      <c r="R1271" s="77"/>
      <c r="S1271" s="76"/>
      <c r="T1271" s="77"/>
      <c r="U1271" s="76"/>
      <c r="V1271" s="77"/>
      <c r="W1271" s="76"/>
      <c r="X1271" s="77"/>
      <c r="Y1271" s="76"/>
      <c r="Z1271" s="76"/>
      <c r="AA1271" s="76"/>
      <c r="AB1271" s="76"/>
      <c r="AC1271" s="76"/>
      <c r="AD1271" s="76"/>
      <c r="AE1271" s="76"/>
      <c r="AF1271" s="76"/>
      <c r="AG1271" s="76"/>
      <c r="AH1271" s="76"/>
      <c r="AI1271" s="76"/>
      <c r="AJ1271" s="76"/>
      <c r="AK1271" s="76"/>
      <c r="AL1271" s="77"/>
      <c r="AM1271" s="76"/>
      <c r="AN1271" s="76"/>
    </row>
    <row r="1272" spans="1:40" ht="15">
      <c r="A1272" s="83" t="e">
        <f>IF(#REF!&lt;&gt;#REF!,1,A1271+1)</f>
        <v>#REF!</v>
      </c>
      <c r="O1272" s="79"/>
      <c r="P1272" s="79"/>
      <c r="Q1272" s="76"/>
      <c r="R1272" s="77"/>
      <c r="S1272" s="76"/>
      <c r="T1272" s="77"/>
      <c r="U1272" s="76"/>
      <c r="V1272" s="77"/>
      <c r="W1272" s="76"/>
      <c r="X1272" s="77"/>
      <c r="Y1272" s="76"/>
      <c r="Z1272" s="76"/>
      <c r="AA1272" s="76"/>
      <c r="AB1272" s="76"/>
      <c r="AC1272" s="76"/>
      <c r="AD1272" s="76"/>
      <c r="AE1272" s="76"/>
      <c r="AF1272" s="76"/>
      <c r="AG1272" s="76"/>
      <c r="AH1272" s="76"/>
      <c r="AI1272" s="76"/>
      <c r="AJ1272" s="76"/>
      <c r="AK1272" s="76"/>
      <c r="AL1272" s="77"/>
      <c r="AM1272" s="76"/>
      <c r="AN1272" s="76"/>
    </row>
    <row r="1273" spans="1:40" ht="15">
      <c r="A1273" s="83" t="e">
        <f>IF(#REF!&lt;&gt;#REF!,1,A1272+1)</f>
        <v>#REF!</v>
      </c>
      <c r="O1273" s="79"/>
      <c r="P1273" s="79"/>
      <c r="Q1273" s="76"/>
      <c r="R1273" s="77"/>
      <c r="S1273" s="76"/>
      <c r="T1273" s="77"/>
      <c r="U1273" s="76"/>
      <c r="V1273" s="77"/>
      <c r="W1273" s="76"/>
      <c r="X1273" s="77"/>
      <c r="Y1273" s="76"/>
      <c r="Z1273" s="76"/>
      <c r="AA1273" s="76"/>
      <c r="AB1273" s="76"/>
      <c r="AC1273" s="76"/>
      <c r="AD1273" s="76"/>
      <c r="AE1273" s="76"/>
      <c r="AF1273" s="76"/>
      <c r="AG1273" s="76"/>
      <c r="AH1273" s="76"/>
      <c r="AI1273" s="76"/>
      <c r="AJ1273" s="76"/>
      <c r="AK1273" s="76"/>
      <c r="AL1273" s="77"/>
      <c r="AM1273" s="76"/>
      <c r="AN1273" s="76"/>
    </row>
    <row r="1274" spans="1:40" ht="15">
      <c r="A1274" s="83" t="e">
        <f>IF(#REF!&lt;&gt;#REF!,1,A1273+1)</f>
        <v>#REF!</v>
      </c>
      <c r="O1274" s="79"/>
      <c r="P1274" s="79"/>
      <c r="Q1274" s="76"/>
      <c r="R1274" s="77"/>
      <c r="S1274" s="76"/>
      <c r="T1274" s="77"/>
      <c r="U1274" s="76"/>
      <c r="V1274" s="77"/>
      <c r="W1274" s="76"/>
      <c r="X1274" s="77"/>
      <c r="Y1274" s="76"/>
      <c r="Z1274" s="76"/>
      <c r="AA1274" s="76"/>
      <c r="AB1274" s="76"/>
      <c r="AC1274" s="76"/>
      <c r="AD1274" s="76"/>
      <c r="AE1274" s="76"/>
      <c r="AF1274" s="76"/>
      <c r="AG1274" s="76"/>
      <c r="AH1274" s="76"/>
      <c r="AI1274" s="76"/>
      <c r="AJ1274" s="76"/>
      <c r="AK1274" s="76"/>
      <c r="AL1274" s="77"/>
      <c r="AM1274" s="76"/>
      <c r="AN1274" s="76"/>
    </row>
    <row r="1275" spans="1:40" ht="15">
      <c r="A1275" s="83" t="e">
        <f>IF(#REF!&lt;&gt;#REF!,1,A1274+1)</f>
        <v>#REF!</v>
      </c>
      <c r="O1275" s="79"/>
      <c r="P1275" s="79"/>
      <c r="Q1275" s="76"/>
      <c r="R1275" s="77"/>
      <c r="S1275" s="76"/>
      <c r="T1275" s="77"/>
      <c r="U1275" s="76"/>
      <c r="V1275" s="77"/>
      <c r="W1275" s="76"/>
      <c r="X1275" s="77"/>
      <c r="Y1275" s="76"/>
      <c r="Z1275" s="76"/>
      <c r="AA1275" s="76"/>
      <c r="AB1275" s="76"/>
      <c r="AC1275" s="76"/>
      <c r="AD1275" s="76"/>
      <c r="AE1275" s="76"/>
      <c r="AF1275" s="76"/>
      <c r="AG1275" s="76"/>
      <c r="AH1275" s="76"/>
      <c r="AI1275" s="76"/>
      <c r="AJ1275" s="76"/>
      <c r="AK1275" s="76"/>
      <c r="AL1275" s="77"/>
      <c r="AM1275" s="76"/>
      <c r="AN1275" s="76"/>
    </row>
    <row r="1276" spans="1:40" ht="15">
      <c r="A1276" s="83" t="e">
        <f>IF(#REF!&lt;&gt;#REF!,1,A1275+1)</f>
        <v>#REF!</v>
      </c>
      <c r="O1276" s="79"/>
      <c r="P1276" s="79"/>
      <c r="Q1276" s="76"/>
      <c r="R1276" s="77"/>
      <c r="S1276" s="76"/>
      <c r="T1276" s="77"/>
      <c r="U1276" s="76"/>
      <c r="V1276" s="77"/>
      <c r="W1276" s="76"/>
      <c r="X1276" s="77"/>
      <c r="Y1276" s="76"/>
      <c r="Z1276" s="76"/>
      <c r="AA1276" s="76"/>
      <c r="AB1276" s="76"/>
      <c r="AC1276" s="76"/>
      <c r="AD1276" s="76"/>
      <c r="AE1276" s="76"/>
      <c r="AF1276" s="76"/>
      <c r="AG1276" s="76"/>
      <c r="AH1276" s="76"/>
      <c r="AI1276" s="76"/>
      <c r="AJ1276" s="76"/>
      <c r="AK1276" s="76"/>
      <c r="AL1276" s="77"/>
      <c r="AM1276" s="76"/>
      <c r="AN1276" s="76"/>
    </row>
    <row r="1277" spans="1:40" ht="15">
      <c r="A1277" s="83" t="e">
        <f>IF(#REF!&lt;&gt;#REF!,1,A1276+1)</f>
        <v>#REF!</v>
      </c>
      <c r="O1277" s="79"/>
      <c r="P1277" s="79"/>
      <c r="Q1277" s="76"/>
      <c r="R1277" s="77"/>
      <c r="S1277" s="76"/>
      <c r="T1277" s="77"/>
      <c r="U1277" s="76"/>
      <c r="V1277" s="77"/>
      <c r="W1277" s="76"/>
      <c r="X1277" s="77"/>
      <c r="Y1277" s="76"/>
      <c r="Z1277" s="76"/>
      <c r="AA1277" s="76"/>
      <c r="AB1277" s="76"/>
      <c r="AC1277" s="76"/>
      <c r="AD1277" s="76"/>
      <c r="AE1277" s="76"/>
      <c r="AF1277" s="76"/>
      <c r="AG1277" s="76"/>
      <c r="AH1277" s="76"/>
      <c r="AI1277" s="76"/>
      <c r="AJ1277" s="76"/>
      <c r="AK1277" s="76"/>
      <c r="AL1277" s="77"/>
      <c r="AM1277" s="76"/>
      <c r="AN1277" s="76"/>
    </row>
    <row r="1278" spans="1:40" ht="15">
      <c r="A1278" s="83" t="e">
        <f>IF(#REF!&lt;&gt;#REF!,1,A1277+1)</f>
        <v>#REF!</v>
      </c>
      <c r="O1278" s="79"/>
      <c r="P1278" s="79"/>
      <c r="Q1278" s="76"/>
      <c r="R1278" s="77"/>
      <c r="S1278" s="76"/>
      <c r="T1278" s="77"/>
      <c r="U1278" s="76"/>
      <c r="V1278" s="77"/>
      <c r="W1278" s="76"/>
      <c r="X1278" s="77"/>
      <c r="Y1278" s="76"/>
      <c r="Z1278" s="76"/>
      <c r="AA1278" s="76"/>
      <c r="AB1278" s="76"/>
      <c r="AC1278" s="76"/>
      <c r="AD1278" s="76"/>
      <c r="AE1278" s="76"/>
      <c r="AF1278" s="76"/>
      <c r="AG1278" s="76"/>
      <c r="AH1278" s="76"/>
      <c r="AI1278" s="76"/>
      <c r="AJ1278" s="76"/>
      <c r="AK1278" s="76"/>
      <c r="AL1278" s="77"/>
      <c r="AM1278" s="76"/>
      <c r="AN1278" s="76"/>
    </row>
    <row r="1279" spans="1:40" ht="15">
      <c r="A1279" s="83" t="e">
        <f>IF(#REF!&lt;&gt;#REF!,1,A1278+1)</f>
        <v>#REF!</v>
      </c>
      <c r="O1279" s="79"/>
      <c r="P1279" s="79"/>
      <c r="Q1279" s="76"/>
      <c r="R1279" s="77"/>
      <c r="S1279" s="76"/>
      <c r="T1279" s="77"/>
      <c r="U1279" s="76"/>
      <c r="V1279" s="77"/>
      <c r="W1279" s="76"/>
      <c r="X1279" s="77"/>
      <c r="Y1279" s="76"/>
      <c r="Z1279" s="76"/>
      <c r="AA1279" s="76"/>
      <c r="AB1279" s="76"/>
      <c r="AC1279" s="76"/>
      <c r="AD1279" s="76"/>
      <c r="AE1279" s="76"/>
      <c r="AF1279" s="76"/>
      <c r="AG1279" s="76"/>
      <c r="AH1279" s="76"/>
      <c r="AI1279" s="76"/>
      <c r="AJ1279" s="76"/>
      <c r="AK1279" s="76"/>
      <c r="AL1279" s="77"/>
      <c r="AM1279" s="76"/>
      <c r="AN1279" s="76"/>
    </row>
    <row r="1280" spans="1:40" ht="15">
      <c r="A1280" s="83" t="e">
        <f>IF(#REF!&lt;&gt;#REF!,1,A1279+1)</f>
        <v>#REF!</v>
      </c>
      <c r="O1280" s="79"/>
      <c r="P1280" s="79"/>
      <c r="Q1280" s="76"/>
      <c r="R1280" s="77"/>
      <c r="S1280" s="76"/>
      <c r="T1280" s="77"/>
      <c r="U1280" s="76"/>
      <c r="V1280" s="77"/>
      <c r="W1280" s="76"/>
      <c r="X1280" s="77"/>
      <c r="Y1280" s="76"/>
      <c r="Z1280" s="76"/>
      <c r="AA1280" s="76"/>
      <c r="AB1280" s="76"/>
      <c r="AC1280" s="76"/>
      <c r="AD1280" s="76"/>
      <c r="AE1280" s="76"/>
      <c r="AF1280" s="76"/>
      <c r="AG1280" s="76"/>
      <c r="AH1280" s="76"/>
      <c r="AI1280" s="76"/>
      <c r="AJ1280" s="76"/>
      <c r="AK1280" s="76"/>
      <c r="AL1280" s="77"/>
      <c r="AM1280" s="76"/>
      <c r="AN1280" s="76"/>
    </row>
    <row r="1281" spans="1:40" ht="15">
      <c r="A1281" s="83" t="e">
        <f>IF(#REF!&lt;&gt;#REF!,1,A1280+1)</f>
        <v>#REF!</v>
      </c>
      <c r="O1281" s="79"/>
      <c r="P1281" s="79"/>
      <c r="Q1281" s="76"/>
      <c r="R1281" s="77"/>
      <c r="S1281" s="76"/>
      <c r="T1281" s="77"/>
      <c r="U1281" s="76"/>
      <c r="V1281" s="77"/>
      <c r="W1281" s="76"/>
      <c r="X1281" s="77"/>
      <c r="Y1281" s="76"/>
      <c r="Z1281" s="76"/>
      <c r="AA1281" s="76"/>
      <c r="AB1281" s="76"/>
      <c r="AC1281" s="76"/>
      <c r="AD1281" s="76"/>
      <c r="AE1281" s="76"/>
      <c r="AF1281" s="76"/>
      <c r="AG1281" s="76"/>
      <c r="AH1281" s="76"/>
      <c r="AI1281" s="76"/>
      <c r="AJ1281" s="76"/>
      <c r="AK1281" s="76"/>
      <c r="AL1281" s="77"/>
      <c r="AM1281" s="76"/>
      <c r="AN1281" s="76"/>
    </row>
    <row r="1282" spans="1:40" ht="15">
      <c r="A1282" s="83" t="e">
        <f>IF(#REF!&lt;&gt;#REF!,1,A1281+1)</f>
        <v>#REF!</v>
      </c>
      <c r="O1282" s="79"/>
      <c r="P1282" s="79"/>
      <c r="Q1282" s="76"/>
      <c r="R1282" s="77"/>
      <c r="S1282" s="76"/>
      <c r="T1282" s="77"/>
      <c r="U1282" s="76"/>
      <c r="V1282" s="77"/>
      <c r="W1282" s="76"/>
      <c r="X1282" s="77"/>
      <c r="Y1282" s="76"/>
      <c r="Z1282" s="76"/>
      <c r="AA1282" s="76"/>
      <c r="AB1282" s="76"/>
      <c r="AC1282" s="76"/>
      <c r="AD1282" s="76"/>
      <c r="AE1282" s="76"/>
      <c r="AF1282" s="76"/>
      <c r="AG1282" s="76"/>
      <c r="AH1282" s="76"/>
      <c r="AI1282" s="76"/>
      <c r="AJ1282" s="76"/>
      <c r="AK1282" s="76"/>
      <c r="AL1282" s="77"/>
      <c r="AM1282" s="76"/>
      <c r="AN1282" s="76"/>
    </row>
    <row r="1283" spans="1:40" ht="15">
      <c r="A1283" s="83" t="e">
        <f>IF(#REF!&lt;&gt;#REF!,1,A1282+1)</f>
        <v>#REF!</v>
      </c>
      <c r="O1283" s="79"/>
      <c r="P1283" s="79"/>
      <c r="Q1283" s="76"/>
      <c r="R1283" s="77"/>
      <c r="S1283" s="76"/>
      <c r="T1283" s="77"/>
      <c r="U1283" s="76"/>
      <c r="V1283" s="77"/>
      <c r="W1283" s="76"/>
      <c r="X1283" s="77"/>
      <c r="Y1283" s="76"/>
      <c r="Z1283" s="76"/>
      <c r="AA1283" s="76"/>
      <c r="AB1283" s="76"/>
      <c r="AC1283" s="76"/>
      <c r="AD1283" s="76"/>
      <c r="AE1283" s="76"/>
      <c r="AF1283" s="76"/>
      <c r="AG1283" s="76"/>
      <c r="AH1283" s="76"/>
      <c r="AI1283" s="76"/>
      <c r="AJ1283" s="76"/>
      <c r="AK1283" s="76"/>
      <c r="AL1283" s="77"/>
      <c r="AM1283" s="76"/>
      <c r="AN1283" s="76"/>
    </row>
    <row r="1284" spans="1:40" ht="15">
      <c r="A1284" s="83" t="e">
        <f>IF(#REF!&lt;&gt;#REF!,1,A1283+1)</f>
        <v>#REF!</v>
      </c>
      <c r="O1284" s="79"/>
      <c r="P1284" s="79"/>
      <c r="Q1284" s="76"/>
      <c r="R1284" s="77"/>
      <c r="S1284" s="76"/>
      <c r="T1284" s="77"/>
      <c r="U1284" s="76"/>
      <c r="V1284" s="77"/>
      <c r="W1284" s="76"/>
      <c r="X1284" s="77"/>
      <c r="Y1284" s="76"/>
      <c r="Z1284" s="76"/>
      <c r="AA1284" s="76"/>
      <c r="AB1284" s="76"/>
      <c r="AC1284" s="76"/>
      <c r="AD1284" s="76"/>
      <c r="AE1284" s="76"/>
      <c r="AF1284" s="76"/>
      <c r="AG1284" s="76"/>
      <c r="AH1284" s="76"/>
      <c r="AI1284" s="76"/>
      <c r="AJ1284" s="76"/>
      <c r="AK1284" s="76"/>
      <c r="AL1284" s="77"/>
      <c r="AM1284" s="76"/>
      <c r="AN1284" s="76"/>
    </row>
    <row r="1285" spans="1:40" ht="15">
      <c r="A1285" s="83" t="e">
        <f>IF(#REF!&lt;&gt;#REF!,1,A1284+1)</f>
        <v>#REF!</v>
      </c>
      <c r="O1285" s="79"/>
      <c r="P1285" s="79"/>
      <c r="Q1285" s="76"/>
      <c r="R1285" s="77"/>
      <c r="S1285" s="76"/>
      <c r="T1285" s="77"/>
      <c r="U1285" s="76"/>
      <c r="V1285" s="77"/>
      <c r="W1285" s="76"/>
      <c r="X1285" s="77"/>
      <c r="Y1285" s="76"/>
      <c r="Z1285" s="76"/>
      <c r="AA1285" s="76"/>
      <c r="AB1285" s="76"/>
      <c r="AC1285" s="76"/>
      <c r="AD1285" s="76"/>
      <c r="AE1285" s="76"/>
      <c r="AF1285" s="76"/>
      <c r="AG1285" s="76"/>
      <c r="AH1285" s="76"/>
      <c r="AI1285" s="76"/>
      <c r="AJ1285" s="76"/>
      <c r="AK1285" s="76"/>
      <c r="AL1285" s="77"/>
      <c r="AM1285" s="76"/>
      <c r="AN1285" s="76"/>
    </row>
    <row r="1286" spans="1:40" ht="15">
      <c r="A1286" s="83" t="e">
        <f>IF(#REF!&lt;&gt;#REF!,1,A1285+1)</f>
        <v>#REF!</v>
      </c>
      <c r="O1286" s="79"/>
      <c r="P1286" s="79"/>
      <c r="Q1286" s="76"/>
      <c r="R1286" s="77"/>
      <c r="S1286" s="76"/>
      <c r="T1286" s="77"/>
      <c r="U1286" s="76"/>
      <c r="V1286" s="77"/>
      <c r="W1286" s="76"/>
      <c r="X1286" s="77"/>
      <c r="Y1286" s="76"/>
      <c r="Z1286" s="76"/>
      <c r="AA1286" s="76"/>
      <c r="AB1286" s="76"/>
      <c r="AC1286" s="76"/>
      <c r="AD1286" s="76"/>
      <c r="AE1286" s="76"/>
      <c r="AF1286" s="76"/>
      <c r="AG1286" s="76"/>
      <c r="AH1286" s="76"/>
      <c r="AI1286" s="76"/>
      <c r="AJ1286" s="76"/>
      <c r="AK1286" s="76"/>
      <c r="AL1286" s="77"/>
      <c r="AM1286" s="76"/>
      <c r="AN1286" s="76"/>
    </row>
    <row r="1287" spans="1:40" ht="15">
      <c r="A1287" s="83" t="e">
        <f>IF(#REF!&lt;&gt;#REF!,1,A1286+1)</f>
        <v>#REF!</v>
      </c>
      <c r="O1287" s="79"/>
      <c r="P1287" s="79"/>
      <c r="Q1287" s="76"/>
      <c r="R1287" s="77"/>
      <c r="S1287" s="76"/>
      <c r="T1287" s="77"/>
      <c r="U1287" s="76"/>
      <c r="V1287" s="77"/>
      <c r="W1287" s="76"/>
      <c r="X1287" s="77"/>
      <c r="Y1287" s="76"/>
      <c r="Z1287" s="76"/>
      <c r="AA1287" s="76"/>
      <c r="AB1287" s="76"/>
      <c r="AC1287" s="76"/>
      <c r="AD1287" s="76"/>
      <c r="AE1287" s="76"/>
      <c r="AF1287" s="76"/>
      <c r="AG1287" s="76"/>
      <c r="AH1287" s="76"/>
      <c r="AI1287" s="76"/>
      <c r="AJ1287" s="76"/>
      <c r="AK1287" s="76"/>
      <c r="AL1287" s="77"/>
      <c r="AM1287" s="76"/>
      <c r="AN1287" s="76"/>
    </row>
    <row r="1288" spans="1:40" ht="15">
      <c r="A1288" s="83" t="e">
        <f>IF(#REF!&lt;&gt;#REF!,1,A1287+1)</f>
        <v>#REF!</v>
      </c>
      <c r="O1288" s="79"/>
      <c r="P1288" s="79"/>
      <c r="Q1288" s="76"/>
      <c r="R1288" s="77"/>
      <c r="S1288" s="76"/>
      <c r="T1288" s="77"/>
      <c r="U1288" s="76"/>
      <c r="V1288" s="77"/>
      <c r="W1288" s="76"/>
      <c r="X1288" s="77"/>
      <c r="Y1288" s="76"/>
      <c r="Z1288" s="76"/>
      <c r="AA1288" s="76"/>
      <c r="AB1288" s="76"/>
      <c r="AC1288" s="76"/>
      <c r="AD1288" s="76"/>
      <c r="AE1288" s="76"/>
      <c r="AF1288" s="76"/>
      <c r="AG1288" s="76"/>
      <c r="AH1288" s="76"/>
      <c r="AI1288" s="76"/>
      <c r="AJ1288" s="76"/>
      <c r="AK1288" s="76"/>
      <c r="AL1288" s="77"/>
      <c r="AM1288" s="76"/>
      <c r="AN1288" s="76"/>
    </row>
    <row r="1289" spans="1:40" ht="15">
      <c r="A1289" s="83" t="e">
        <f>IF(#REF!&lt;&gt;#REF!,1,A1288+1)</f>
        <v>#REF!</v>
      </c>
      <c r="O1289" s="79"/>
      <c r="P1289" s="79"/>
      <c r="Q1289" s="76"/>
      <c r="R1289" s="77"/>
      <c r="S1289" s="76"/>
      <c r="T1289" s="77"/>
      <c r="U1289" s="76"/>
      <c r="V1289" s="77"/>
      <c r="W1289" s="76"/>
      <c r="X1289" s="77"/>
      <c r="Y1289" s="76"/>
      <c r="Z1289" s="76"/>
      <c r="AA1289" s="76"/>
      <c r="AB1289" s="76"/>
      <c r="AC1289" s="76"/>
      <c r="AD1289" s="76"/>
      <c r="AE1289" s="76"/>
      <c r="AF1289" s="76"/>
      <c r="AG1289" s="76"/>
      <c r="AH1289" s="76"/>
      <c r="AI1289" s="76"/>
      <c r="AJ1289" s="76"/>
      <c r="AK1289" s="76"/>
      <c r="AL1289" s="77"/>
      <c r="AM1289" s="76"/>
      <c r="AN1289" s="76"/>
    </row>
    <row r="1290" spans="1:40" ht="15">
      <c r="A1290" s="83" t="e">
        <f>IF(#REF!&lt;&gt;#REF!,1,A1289+1)</f>
        <v>#REF!</v>
      </c>
      <c r="O1290" s="79"/>
      <c r="P1290" s="79"/>
      <c r="Q1290" s="76"/>
      <c r="R1290" s="77"/>
      <c r="S1290" s="76"/>
      <c r="T1290" s="77"/>
      <c r="U1290" s="76"/>
      <c r="V1290" s="77"/>
      <c r="W1290" s="76"/>
      <c r="X1290" s="77"/>
      <c r="Y1290" s="76"/>
      <c r="Z1290" s="76"/>
      <c r="AA1290" s="76"/>
      <c r="AB1290" s="76"/>
      <c r="AC1290" s="76"/>
      <c r="AD1290" s="76"/>
      <c r="AE1290" s="76"/>
      <c r="AF1290" s="76"/>
      <c r="AG1290" s="76"/>
      <c r="AH1290" s="76"/>
      <c r="AI1290" s="76"/>
      <c r="AJ1290" s="76"/>
      <c r="AK1290" s="76"/>
      <c r="AL1290" s="77"/>
      <c r="AM1290" s="76"/>
      <c r="AN1290" s="76"/>
    </row>
    <row r="1291" spans="1:40" ht="15">
      <c r="A1291" s="83" t="e">
        <f>IF(#REF!&lt;&gt;#REF!,1,A1290+1)</f>
        <v>#REF!</v>
      </c>
      <c r="O1291" s="79"/>
      <c r="P1291" s="79"/>
      <c r="Q1291" s="76"/>
      <c r="R1291" s="77"/>
      <c r="S1291" s="76"/>
      <c r="T1291" s="77"/>
      <c r="U1291" s="76"/>
      <c r="V1291" s="77"/>
      <c r="W1291" s="76"/>
      <c r="X1291" s="77"/>
      <c r="Y1291" s="76"/>
      <c r="Z1291" s="76"/>
      <c r="AA1291" s="76"/>
      <c r="AB1291" s="76"/>
      <c r="AC1291" s="76"/>
      <c r="AD1291" s="76"/>
      <c r="AE1291" s="76"/>
      <c r="AF1291" s="76"/>
      <c r="AG1291" s="76"/>
      <c r="AH1291" s="76"/>
      <c r="AI1291" s="76"/>
      <c r="AJ1291" s="76"/>
      <c r="AK1291" s="76"/>
      <c r="AL1291" s="77"/>
      <c r="AM1291" s="76"/>
      <c r="AN1291" s="76"/>
    </row>
    <row r="1292" spans="1:40" ht="15">
      <c r="A1292" s="83" t="e">
        <f>IF(#REF!&lt;&gt;#REF!,1,A1291+1)</f>
        <v>#REF!</v>
      </c>
      <c r="O1292" s="79"/>
      <c r="P1292" s="79"/>
      <c r="Q1292" s="76"/>
      <c r="R1292" s="77"/>
      <c r="S1292" s="76"/>
      <c r="T1292" s="77"/>
      <c r="U1292" s="76"/>
      <c r="V1292" s="77"/>
      <c r="W1292" s="76"/>
      <c r="X1292" s="77"/>
      <c r="Y1292" s="76"/>
      <c r="Z1292" s="76"/>
      <c r="AA1292" s="76"/>
      <c r="AB1292" s="76"/>
      <c r="AC1292" s="76"/>
      <c r="AD1292" s="76"/>
      <c r="AE1292" s="76"/>
      <c r="AF1292" s="76"/>
      <c r="AG1292" s="76"/>
      <c r="AH1292" s="76"/>
      <c r="AI1292" s="76"/>
      <c r="AJ1292" s="76"/>
      <c r="AK1292" s="76"/>
      <c r="AL1292" s="77"/>
      <c r="AM1292" s="76"/>
      <c r="AN1292" s="76"/>
    </row>
    <row r="1293" spans="1:40" ht="15">
      <c r="A1293" s="83" t="e">
        <f>IF(#REF!&lt;&gt;#REF!,1,A1292+1)</f>
        <v>#REF!</v>
      </c>
      <c r="O1293" s="79"/>
      <c r="P1293" s="79"/>
      <c r="Q1293" s="76"/>
      <c r="R1293" s="77"/>
      <c r="S1293" s="76"/>
      <c r="T1293" s="77"/>
      <c r="U1293" s="76"/>
      <c r="V1293" s="77"/>
      <c r="W1293" s="76"/>
      <c r="X1293" s="77"/>
      <c r="Y1293" s="76"/>
      <c r="Z1293" s="76"/>
      <c r="AA1293" s="76"/>
      <c r="AB1293" s="76"/>
      <c r="AC1293" s="76"/>
      <c r="AD1293" s="76"/>
      <c r="AE1293" s="76"/>
      <c r="AF1293" s="76"/>
      <c r="AG1293" s="76"/>
      <c r="AH1293" s="76"/>
      <c r="AI1293" s="76"/>
      <c r="AJ1293" s="76"/>
      <c r="AK1293" s="76"/>
      <c r="AL1293" s="77"/>
      <c r="AM1293" s="76"/>
      <c r="AN1293" s="76"/>
    </row>
    <row r="1294" spans="1:40" ht="15">
      <c r="A1294" s="83" t="e">
        <f>IF(#REF!&lt;&gt;#REF!,1,A1293+1)</f>
        <v>#REF!</v>
      </c>
      <c r="O1294" s="79"/>
      <c r="P1294" s="79"/>
      <c r="Q1294" s="76"/>
      <c r="R1294" s="77"/>
      <c r="S1294" s="76"/>
      <c r="T1294" s="77"/>
      <c r="U1294" s="76"/>
      <c r="V1294" s="77"/>
      <c r="W1294" s="76"/>
      <c r="X1294" s="77"/>
      <c r="Y1294" s="76"/>
      <c r="Z1294" s="76"/>
      <c r="AA1294" s="76"/>
      <c r="AB1294" s="76"/>
      <c r="AC1294" s="76"/>
      <c r="AD1294" s="76"/>
      <c r="AE1294" s="76"/>
      <c r="AF1294" s="76"/>
      <c r="AG1294" s="76"/>
      <c r="AH1294" s="76"/>
      <c r="AI1294" s="76"/>
      <c r="AJ1294" s="76"/>
      <c r="AK1294" s="76"/>
      <c r="AL1294" s="77"/>
      <c r="AM1294" s="76"/>
      <c r="AN1294" s="76"/>
    </row>
    <row r="1295" spans="1:40" ht="15">
      <c r="A1295" s="83" t="e">
        <f>IF(#REF!&lt;&gt;#REF!,1,A1294+1)</f>
        <v>#REF!</v>
      </c>
      <c r="O1295" s="79"/>
      <c r="P1295" s="79"/>
      <c r="Q1295" s="76"/>
      <c r="R1295" s="77"/>
      <c r="S1295" s="76"/>
      <c r="T1295" s="77"/>
      <c r="U1295" s="76"/>
      <c r="V1295" s="77"/>
      <c r="W1295" s="76"/>
      <c r="X1295" s="77"/>
      <c r="Y1295" s="76"/>
      <c r="Z1295" s="76"/>
      <c r="AA1295" s="76"/>
      <c r="AB1295" s="76"/>
      <c r="AC1295" s="76"/>
      <c r="AD1295" s="76"/>
      <c r="AE1295" s="76"/>
      <c r="AF1295" s="76"/>
      <c r="AG1295" s="76"/>
      <c r="AH1295" s="76"/>
      <c r="AI1295" s="76"/>
      <c r="AJ1295" s="76"/>
      <c r="AK1295" s="76"/>
      <c r="AL1295" s="77"/>
      <c r="AM1295" s="76"/>
      <c r="AN1295" s="76"/>
    </row>
    <row r="1296" spans="1:40" ht="15">
      <c r="A1296" s="83" t="e">
        <f>IF(#REF!&lt;&gt;#REF!,1,A1295+1)</f>
        <v>#REF!</v>
      </c>
      <c r="O1296" s="79"/>
      <c r="P1296" s="79"/>
      <c r="Q1296" s="76"/>
      <c r="R1296" s="77"/>
      <c r="S1296" s="76"/>
      <c r="T1296" s="77"/>
      <c r="U1296" s="76"/>
      <c r="V1296" s="77"/>
      <c r="W1296" s="76"/>
      <c r="X1296" s="77"/>
      <c r="Y1296" s="76"/>
      <c r="Z1296" s="76"/>
      <c r="AA1296" s="76"/>
      <c r="AB1296" s="76"/>
      <c r="AC1296" s="76"/>
      <c r="AD1296" s="76"/>
      <c r="AE1296" s="76"/>
      <c r="AF1296" s="76"/>
      <c r="AG1296" s="76"/>
      <c r="AH1296" s="76"/>
      <c r="AI1296" s="76"/>
      <c r="AJ1296" s="76"/>
      <c r="AK1296" s="76"/>
      <c r="AL1296" s="77"/>
      <c r="AM1296" s="76"/>
      <c r="AN1296" s="76"/>
    </row>
    <row r="1297" spans="1:40" ht="15">
      <c r="A1297" s="83" t="e">
        <f>IF(#REF!&lt;&gt;#REF!,1,A1296+1)</f>
        <v>#REF!</v>
      </c>
      <c r="O1297" s="79"/>
      <c r="P1297" s="79"/>
      <c r="Q1297" s="76"/>
      <c r="R1297" s="77"/>
      <c r="S1297" s="76"/>
      <c r="T1297" s="77"/>
      <c r="U1297" s="76"/>
      <c r="V1297" s="77"/>
      <c r="W1297" s="76"/>
      <c r="X1297" s="77"/>
      <c r="Y1297" s="76"/>
      <c r="Z1297" s="76"/>
      <c r="AA1297" s="76"/>
      <c r="AB1297" s="76"/>
      <c r="AC1297" s="76"/>
      <c r="AD1297" s="76"/>
      <c r="AE1297" s="76"/>
      <c r="AF1297" s="76"/>
      <c r="AG1297" s="76"/>
      <c r="AH1297" s="76"/>
      <c r="AI1297" s="76"/>
      <c r="AJ1297" s="76"/>
      <c r="AK1297" s="76"/>
      <c r="AL1297" s="77"/>
      <c r="AM1297" s="76"/>
      <c r="AN1297" s="76"/>
    </row>
    <row r="1298" spans="1:40" ht="15">
      <c r="A1298" s="83" t="e">
        <f>IF(#REF!&lt;&gt;#REF!,1,A1297+1)</f>
        <v>#REF!</v>
      </c>
      <c r="O1298" s="79"/>
      <c r="P1298" s="79"/>
      <c r="Q1298" s="76"/>
      <c r="R1298" s="77"/>
      <c r="S1298" s="76"/>
      <c r="T1298" s="77"/>
      <c r="U1298" s="76"/>
      <c r="V1298" s="77"/>
      <c r="W1298" s="76"/>
      <c r="X1298" s="77"/>
      <c r="Y1298" s="76"/>
      <c r="Z1298" s="76"/>
      <c r="AA1298" s="76"/>
      <c r="AB1298" s="76"/>
      <c r="AC1298" s="76"/>
      <c r="AD1298" s="76"/>
      <c r="AE1298" s="76"/>
      <c r="AF1298" s="76"/>
      <c r="AG1298" s="76"/>
      <c r="AH1298" s="76"/>
      <c r="AI1298" s="76"/>
      <c r="AJ1298" s="76"/>
      <c r="AK1298" s="76"/>
      <c r="AL1298" s="77"/>
      <c r="AM1298" s="76"/>
      <c r="AN1298" s="76"/>
    </row>
    <row r="1299" spans="1:40" ht="15">
      <c r="A1299" s="83" t="e">
        <f>IF(#REF!&lt;&gt;#REF!,1,A1298+1)</f>
        <v>#REF!</v>
      </c>
      <c r="O1299" s="79"/>
      <c r="P1299" s="79"/>
      <c r="Q1299" s="76"/>
      <c r="R1299" s="77"/>
      <c r="S1299" s="76"/>
      <c r="T1299" s="77"/>
      <c r="U1299" s="76"/>
      <c r="V1299" s="77"/>
      <c r="W1299" s="76"/>
      <c r="X1299" s="77"/>
      <c r="Y1299" s="76"/>
      <c r="Z1299" s="76"/>
      <c r="AA1299" s="76"/>
      <c r="AB1299" s="76"/>
      <c r="AC1299" s="76"/>
      <c r="AD1299" s="76"/>
      <c r="AE1299" s="76"/>
      <c r="AF1299" s="76"/>
      <c r="AG1299" s="76"/>
      <c r="AH1299" s="76"/>
      <c r="AI1299" s="76"/>
      <c r="AJ1299" s="76"/>
      <c r="AK1299" s="76"/>
      <c r="AL1299" s="77"/>
      <c r="AM1299" s="76"/>
      <c r="AN1299" s="76"/>
    </row>
    <row r="1300" spans="1:40" ht="15">
      <c r="A1300" s="83" t="e">
        <f>IF(#REF!&lt;&gt;#REF!,1,A1299+1)</f>
        <v>#REF!</v>
      </c>
      <c r="O1300" s="79"/>
      <c r="P1300" s="79"/>
      <c r="Q1300" s="76"/>
      <c r="R1300" s="77"/>
      <c r="S1300" s="76"/>
      <c r="T1300" s="77"/>
      <c r="U1300" s="76"/>
      <c r="V1300" s="77"/>
      <c r="W1300" s="76"/>
      <c r="X1300" s="77"/>
      <c r="Y1300" s="76"/>
      <c r="Z1300" s="76"/>
      <c r="AA1300" s="76"/>
      <c r="AB1300" s="76"/>
      <c r="AC1300" s="76"/>
      <c r="AD1300" s="76"/>
      <c r="AE1300" s="76"/>
      <c r="AF1300" s="76"/>
      <c r="AG1300" s="76"/>
      <c r="AH1300" s="76"/>
      <c r="AI1300" s="76"/>
      <c r="AJ1300" s="76"/>
      <c r="AK1300" s="76"/>
      <c r="AL1300" s="77"/>
      <c r="AM1300" s="76"/>
      <c r="AN1300" s="76"/>
    </row>
    <row r="1301" spans="1:40" ht="15">
      <c r="A1301" s="83" t="e">
        <f>IF(#REF!&lt;&gt;#REF!,1,A1300+1)</f>
        <v>#REF!</v>
      </c>
      <c r="O1301" s="79"/>
      <c r="P1301" s="79"/>
      <c r="Q1301" s="76"/>
      <c r="R1301" s="77"/>
      <c r="S1301" s="76"/>
      <c r="T1301" s="77"/>
      <c r="U1301" s="76"/>
      <c r="V1301" s="77"/>
      <c r="W1301" s="76"/>
      <c r="X1301" s="77"/>
      <c r="Y1301" s="76"/>
      <c r="Z1301" s="76"/>
      <c r="AA1301" s="76"/>
      <c r="AB1301" s="76"/>
      <c r="AC1301" s="76"/>
      <c r="AD1301" s="76"/>
      <c r="AE1301" s="76"/>
      <c r="AF1301" s="76"/>
      <c r="AG1301" s="76"/>
      <c r="AH1301" s="76"/>
      <c r="AI1301" s="76"/>
      <c r="AJ1301" s="76"/>
      <c r="AK1301" s="76"/>
      <c r="AL1301" s="77"/>
      <c r="AM1301" s="76"/>
      <c r="AN1301" s="76"/>
    </row>
    <row r="1302" spans="1:40" ht="15">
      <c r="A1302" s="83" t="e">
        <f>IF(#REF!&lt;&gt;#REF!,1,A1301+1)</f>
        <v>#REF!</v>
      </c>
      <c r="O1302" s="79"/>
      <c r="P1302" s="79"/>
      <c r="Q1302" s="76"/>
      <c r="R1302" s="77"/>
      <c r="S1302" s="76"/>
      <c r="T1302" s="77"/>
      <c r="U1302" s="76"/>
      <c r="V1302" s="77"/>
      <c r="W1302" s="76"/>
      <c r="X1302" s="77"/>
      <c r="Y1302" s="76"/>
      <c r="Z1302" s="76"/>
      <c r="AA1302" s="76"/>
      <c r="AB1302" s="76"/>
      <c r="AC1302" s="76"/>
      <c r="AD1302" s="76"/>
      <c r="AE1302" s="76"/>
      <c r="AF1302" s="76"/>
      <c r="AG1302" s="76"/>
      <c r="AH1302" s="76"/>
      <c r="AI1302" s="76"/>
      <c r="AJ1302" s="76"/>
      <c r="AK1302" s="76"/>
      <c r="AL1302" s="77"/>
      <c r="AM1302" s="76"/>
      <c r="AN1302" s="76"/>
    </row>
    <row r="1303" spans="1:40" ht="15">
      <c r="A1303" s="83" t="e">
        <f>IF(#REF!&lt;&gt;#REF!,1,A1302+1)</f>
        <v>#REF!</v>
      </c>
      <c r="O1303" s="79"/>
      <c r="P1303" s="79"/>
      <c r="Q1303" s="76"/>
      <c r="R1303" s="77"/>
      <c r="S1303" s="76"/>
      <c r="T1303" s="77"/>
      <c r="U1303" s="76"/>
      <c r="V1303" s="77"/>
      <c r="W1303" s="76"/>
      <c r="X1303" s="77"/>
      <c r="Y1303" s="76"/>
      <c r="Z1303" s="76"/>
      <c r="AA1303" s="76"/>
      <c r="AB1303" s="76"/>
      <c r="AC1303" s="76"/>
      <c r="AD1303" s="76"/>
      <c r="AE1303" s="76"/>
      <c r="AF1303" s="76"/>
      <c r="AG1303" s="76"/>
      <c r="AH1303" s="76"/>
      <c r="AI1303" s="76"/>
      <c r="AJ1303" s="76"/>
      <c r="AK1303" s="76"/>
      <c r="AL1303" s="77"/>
      <c r="AM1303" s="76"/>
      <c r="AN1303" s="76"/>
    </row>
    <row r="1304" spans="1:40" ht="15">
      <c r="A1304" s="83" t="e">
        <f>IF(#REF!&lt;&gt;#REF!,1,A1303+1)</f>
        <v>#REF!</v>
      </c>
      <c r="O1304" s="79"/>
      <c r="P1304" s="79"/>
      <c r="Q1304" s="76"/>
      <c r="R1304" s="77"/>
      <c r="S1304" s="76"/>
      <c r="T1304" s="77"/>
      <c r="U1304" s="76"/>
      <c r="V1304" s="77"/>
      <c r="W1304" s="76"/>
      <c r="X1304" s="77"/>
      <c r="Y1304" s="76"/>
      <c r="Z1304" s="76"/>
      <c r="AA1304" s="76"/>
      <c r="AB1304" s="76"/>
      <c r="AC1304" s="76"/>
      <c r="AD1304" s="76"/>
      <c r="AE1304" s="76"/>
      <c r="AF1304" s="76"/>
      <c r="AG1304" s="76"/>
      <c r="AH1304" s="76"/>
      <c r="AI1304" s="76"/>
      <c r="AJ1304" s="76"/>
      <c r="AK1304" s="76"/>
      <c r="AL1304" s="77"/>
      <c r="AM1304" s="76"/>
      <c r="AN1304" s="76"/>
    </row>
    <row r="1305" spans="1:40" ht="15">
      <c r="A1305" s="83" t="e">
        <f>IF(#REF!&lt;&gt;#REF!,1,A1304+1)</f>
        <v>#REF!</v>
      </c>
      <c r="O1305" s="79"/>
      <c r="P1305" s="79"/>
      <c r="Q1305" s="76"/>
      <c r="R1305" s="77"/>
      <c r="S1305" s="76"/>
      <c r="T1305" s="77"/>
      <c r="U1305" s="76"/>
      <c r="V1305" s="77"/>
      <c r="W1305" s="76"/>
      <c r="X1305" s="77"/>
      <c r="Y1305" s="76"/>
      <c r="Z1305" s="76"/>
      <c r="AA1305" s="76"/>
      <c r="AB1305" s="76"/>
      <c r="AC1305" s="76"/>
      <c r="AD1305" s="76"/>
      <c r="AE1305" s="76"/>
      <c r="AF1305" s="76"/>
      <c r="AG1305" s="76"/>
      <c r="AH1305" s="76"/>
      <c r="AI1305" s="76"/>
      <c r="AJ1305" s="76"/>
      <c r="AK1305" s="76"/>
      <c r="AL1305" s="77"/>
      <c r="AM1305" s="76"/>
      <c r="AN1305" s="76"/>
    </row>
    <row r="1306" spans="1:40" ht="15">
      <c r="A1306" s="83" t="e">
        <f>IF(#REF!&lt;&gt;#REF!,1,A1305+1)</f>
        <v>#REF!</v>
      </c>
      <c r="O1306" s="79"/>
      <c r="P1306" s="79"/>
      <c r="Q1306" s="76"/>
      <c r="R1306" s="77"/>
      <c r="S1306" s="76"/>
      <c r="T1306" s="77"/>
      <c r="U1306" s="76"/>
      <c r="V1306" s="77"/>
      <c r="W1306" s="76"/>
      <c r="X1306" s="77"/>
      <c r="Y1306" s="76"/>
      <c r="Z1306" s="76"/>
      <c r="AA1306" s="76"/>
      <c r="AB1306" s="76"/>
      <c r="AC1306" s="76"/>
      <c r="AD1306" s="76"/>
      <c r="AE1306" s="76"/>
      <c r="AF1306" s="76"/>
      <c r="AG1306" s="76"/>
      <c r="AH1306" s="76"/>
      <c r="AI1306" s="76"/>
      <c r="AJ1306" s="76"/>
      <c r="AK1306" s="76"/>
      <c r="AL1306" s="77"/>
      <c r="AM1306" s="76"/>
      <c r="AN1306" s="76"/>
    </row>
    <row r="1307" spans="1:40" ht="15">
      <c r="A1307" s="83" t="e">
        <f>IF(#REF!&lt;&gt;#REF!,1,A1306+1)</f>
        <v>#REF!</v>
      </c>
      <c r="O1307" s="79"/>
      <c r="P1307" s="79"/>
      <c r="Q1307" s="76"/>
      <c r="R1307" s="77"/>
      <c r="S1307" s="76"/>
      <c r="T1307" s="77"/>
      <c r="U1307" s="76"/>
      <c r="V1307" s="77"/>
      <c r="W1307" s="76"/>
      <c r="X1307" s="77"/>
      <c r="Y1307" s="76"/>
      <c r="Z1307" s="76"/>
      <c r="AA1307" s="76"/>
      <c r="AB1307" s="76"/>
      <c r="AC1307" s="76"/>
      <c r="AD1307" s="76"/>
      <c r="AE1307" s="76"/>
      <c r="AF1307" s="76"/>
      <c r="AG1307" s="76"/>
      <c r="AH1307" s="76"/>
      <c r="AI1307" s="76"/>
      <c r="AJ1307" s="76"/>
      <c r="AK1307" s="76"/>
      <c r="AL1307" s="77"/>
      <c r="AM1307" s="76"/>
      <c r="AN1307" s="76"/>
    </row>
    <row r="1308" spans="1:40" ht="15">
      <c r="A1308" s="83" t="e">
        <f>IF(#REF!&lt;&gt;#REF!,1,A1307+1)</f>
        <v>#REF!</v>
      </c>
      <c r="O1308" s="79"/>
      <c r="P1308" s="79"/>
      <c r="Q1308" s="76"/>
      <c r="R1308" s="77"/>
      <c r="S1308" s="76"/>
      <c r="T1308" s="77"/>
      <c r="U1308" s="76"/>
      <c r="V1308" s="77"/>
      <c r="W1308" s="76"/>
      <c r="X1308" s="77"/>
      <c r="Y1308" s="76"/>
      <c r="Z1308" s="76"/>
      <c r="AA1308" s="76"/>
      <c r="AB1308" s="76"/>
      <c r="AC1308" s="76"/>
      <c r="AD1308" s="76"/>
      <c r="AE1308" s="76"/>
      <c r="AF1308" s="76"/>
      <c r="AG1308" s="76"/>
      <c r="AH1308" s="76"/>
      <c r="AI1308" s="76"/>
      <c r="AJ1308" s="76"/>
      <c r="AK1308" s="76"/>
      <c r="AL1308" s="77"/>
      <c r="AM1308" s="76"/>
      <c r="AN1308" s="76"/>
    </row>
    <row r="1309" spans="1:40" ht="15">
      <c r="A1309" s="83" t="e">
        <f>IF(#REF!&lt;&gt;#REF!,1,A1308+1)</f>
        <v>#REF!</v>
      </c>
      <c r="O1309" s="79"/>
      <c r="P1309" s="79"/>
      <c r="Q1309" s="76"/>
      <c r="R1309" s="77"/>
      <c r="S1309" s="76"/>
      <c r="T1309" s="77"/>
      <c r="U1309" s="76"/>
      <c r="V1309" s="77"/>
      <c r="W1309" s="76"/>
      <c r="X1309" s="77"/>
      <c r="Y1309" s="76"/>
      <c r="Z1309" s="76"/>
      <c r="AA1309" s="76"/>
      <c r="AB1309" s="76"/>
      <c r="AC1309" s="76"/>
      <c r="AD1309" s="76"/>
      <c r="AE1309" s="76"/>
      <c r="AF1309" s="76"/>
      <c r="AG1309" s="76"/>
      <c r="AH1309" s="76"/>
      <c r="AI1309" s="76"/>
      <c r="AJ1309" s="76"/>
      <c r="AK1309" s="76"/>
      <c r="AL1309" s="77"/>
      <c r="AM1309" s="76"/>
      <c r="AN1309" s="76"/>
    </row>
    <row r="1310" spans="1:40" ht="15">
      <c r="A1310" s="83" t="e">
        <f>IF(#REF!&lt;&gt;#REF!,1,A1309+1)</f>
        <v>#REF!</v>
      </c>
      <c r="O1310" s="79"/>
      <c r="P1310" s="79"/>
      <c r="Q1310" s="76"/>
      <c r="R1310" s="77"/>
      <c r="S1310" s="76"/>
      <c r="T1310" s="77"/>
      <c r="U1310" s="76"/>
      <c r="V1310" s="77"/>
      <c r="W1310" s="76"/>
      <c r="X1310" s="77"/>
      <c r="Y1310" s="76"/>
      <c r="Z1310" s="76"/>
      <c r="AA1310" s="76"/>
      <c r="AB1310" s="76"/>
      <c r="AC1310" s="76"/>
      <c r="AD1310" s="76"/>
      <c r="AE1310" s="76"/>
      <c r="AF1310" s="76"/>
      <c r="AG1310" s="76"/>
      <c r="AH1310" s="76"/>
      <c r="AI1310" s="76"/>
      <c r="AJ1310" s="76"/>
      <c r="AK1310" s="76"/>
      <c r="AL1310" s="77"/>
      <c r="AM1310" s="76"/>
      <c r="AN1310" s="76"/>
    </row>
    <row r="1311" spans="1:40" ht="15">
      <c r="A1311" s="83" t="e">
        <f>IF(#REF!&lt;&gt;#REF!,1,A1310+1)</f>
        <v>#REF!</v>
      </c>
      <c r="O1311" s="79"/>
      <c r="P1311" s="79"/>
      <c r="Q1311" s="76"/>
      <c r="R1311" s="77"/>
      <c r="S1311" s="76"/>
      <c r="T1311" s="77"/>
      <c r="U1311" s="76"/>
      <c r="V1311" s="77"/>
      <c r="W1311" s="76"/>
      <c r="X1311" s="77"/>
      <c r="Y1311" s="76"/>
      <c r="Z1311" s="76"/>
      <c r="AA1311" s="76"/>
      <c r="AB1311" s="76"/>
      <c r="AC1311" s="76"/>
      <c r="AD1311" s="76"/>
      <c r="AE1311" s="76"/>
      <c r="AF1311" s="76"/>
      <c r="AG1311" s="76"/>
      <c r="AH1311" s="76"/>
      <c r="AI1311" s="76"/>
      <c r="AJ1311" s="76"/>
      <c r="AK1311" s="76"/>
      <c r="AL1311" s="77"/>
      <c r="AM1311" s="76"/>
      <c r="AN1311" s="76"/>
    </row>
    <row r="1312" spans="1:40" ht="15">
      <c r="A1312" s="83" t="e">
        <f>IF(#REF!&lt;&gt;#REF!,1,A1311+1)</f>
        <v>#REF!</v>
      </c>
      <c r="O1312" s="79"/>
      <c r="P1312" s="79"/>
      <c r="Q1312" s="76"/>
      <c r="R1312" s="77"/>
      <c r="S1312" s="76"/>
      <c r="T1312" s="77"/>
      <c r="U1312" s="76"/>
      <c r="V1312" s="77"/>
      <c r="W1312" s="76"/>
      <c r="X1312" s="77"/>
      <c r="Y1312" s="76"/>
      <c r="Z1312" s="76"/>
      <c r="AA1312" s="76"/>
      <c r="AB1312" s="76"/>
      <c r="AC1312" s="76"/>
      <c r="AD1312" s="76"/>
      <c r="AE1312" s="76"/>
      <c r="AF1312" s="76"/>
      <c r="AG1312" s="76"/>
      <c r="AH1312" s="76"/>
      <c r="AI1312" s="76"/>
      <c r="AJ1312" s="76"/>
      <c r="AK1312" s="76"/>
      <c r="AL1312" s="77"/>
      <c r="AM1312" s="76"/>
      <c r="AN1312" s="76"/>
    </row>
    <row r="1313" spans="1:40" ht="15">
      <c r="A1313" s="83" t="e">
        <f>IF(#REF!&lt;&gt;#REF!,1,A1312+1)</f>
        <v>#REF!</v>
      </c>
      <c r="O1313" s="79"/>
      <c r="P1313" s="79"/>
      <c r="Q1313" s="76"/>
      <c r="R1313" s="77"/>
      <c r="S1313" s="76"/>
      <c r="T1313" s="77"/>
      <c r="U1313" s="76"/>
      <c r="V1313" s="77"/>
      <c r="W1313" s="76"/>
      <c r="X1313" s="77"/>
      <c r="Y1313" s="76"/>
      <c r="Z1313" s="76"/>
      <c r="AA1313" s="76"/>
      <c r="AB1313" s="76"/>
      <c r="AC1313" s="76"/>
      <c r="AD1313" s="76"/>
      <c r="AE1313" s="76"/>
      <c r="AF1313" s="76"/>
      <c r="AG1313" s="76"/>
      <c r="AH1313" s="76"/>
      <c r="AI1313" s="76"/>
      <c r="AJ1313" s="76"/>
      <c r="AK1313" s="76"/>
      <c r="AL1313" s="77"/>
      <c r="AM1313" s="76"/>
      <c r="AN1313" s="76"/>
    </row>
    <row r="1314" spans="1:40" ht="15">
      <c r="A1314" s="83" t="e">
        <f>IF(#REF!&lt;&gt;#REF!,1,A1313+1)</f>
        <v>#REF!</v>
      </c>
      <c r="O1314" s="79"/>
      <c r="P1314" s="79"/>
      <c r="Q1314" s="76"/>
      <c r="R1314" s="77"/>
      <c r="S1314" s="76"/>
      <c r="T1314" s="77"/>
      <c r="U1314" s="76"/>
      <c r="V1314" s="77"/>
      <c r="W1314" s="76"/>
      <c r="X1314" s="77"/>
      <c r="Y1314" s="76"/>
      <c r="Z1314" s="76"/>
      <c r="AA1314" s="76"/>
      <c r="AB1314" s="76"/>
      <c r="AC1314" s="76"/>
      <c r="AD1314" s="76"/>
      <c r="AE1314" s="76"/>
      <c r="AF1314" s="76"/>
      <c r="AG1314" s="76"/>
      <c r="AH1314" s="76"/>
      <c r="AI1314" s="76"/>
      <c r="AJ1314" s="76"/>
      <c r="AK1314" s="76"/>
      <c r="AL1314" s="77"/>
      <c r="AM1314" s="76"/>
      <c r="AN1314" s="76"/>
    </row>
    <row r="1315" spans="1:40" ht="15">
      <c r="A1315" s="83" t="e">
        <f>IF(#REF!&lt;&gt;#REF!,1,A1314+1)</f>
        <v>#REF!</v>
      </c>
      <c r="O1315" s="79"/>
      <c r="P1315" s="79"/>
      <c r="Q1315" s="76"/>
      <c r="R1315" s="77"/>
      <c r="S1315" s="76"/>
      <c r="T1315" s="77"/>
      <c r="U1315" s="76"/>
      <c r="V1315" s="77"/>
      <c r="W1315" s="76"/>
      <c r="X1315" s="77"/>
      <c r="Y1315" s="76"/>
      <c r="Z1315" s="76"/>
      <c r="AA1315" s="76"/>
      <c r="AB1315" s="76"/>
      <c r="AC1315" s="76"/>
      <c r="AD1315" s="76"/>
      <c r="AE1315" s="76"/>
      <c r="AF1315" s="76"/>
      <c r="AG1315" s="76"/>
      <c r="AH1315" s="76"/>
      <c r="AI1315" s="76"/>
      <c r="AJ1315" s="76"/>
      <c r="AK1315" s="76"/>
      <c r="AL1315" s="77"/>
      <c r="AM1315" s="76"/>
      <c r="AN1315" s="76"/>
    </row>
    <row r="1316" spans="1:40" ht="15">
      <c r="A1316" s="83" t="e">
        <f>IF(#REF!&lt;&gt;#REF!,1,A1315+1)</f>
        <v>#REF!</v>
      </c>
      <c r="O1316" s="79"/>
      <c r="P1316" s="79"/>
      <c r="Q1316" s="76"/>
      <c r="R1316" s="77"/>
      <c r="S1316" s="76"/>
      <c r="T1316" s="77"/>
      <c r="U1316" s="76"/>
      <c r="V1316" s="77"/>
      <c r="W1316" s="76"/>
      <c r="X1316" s="77"/>
      <c r="Y1316" s="76"/>
      <c r="Z1316" s="76"/>
      <c r="AA1316" s="76"/>
      <c r="AB1316" s="76"/>
      <c r="AC1316" s="76"/>
      <c r="AD1316" s="76"/>
      <c r="AE1316" s="76"/>
      <c r="AF1316" s="76"/>
      <c r="AG1316" s="76"/>
      <c r="AH1316" s="76"/>
      <c r="AI1316" s="76"/>
      <c r="AJ1316" s="76"/>
      <c r="AK1316" s="76"/>
      <c r="AL1316" s="77"/>
      <c r="AM1316" s="76"/>
      <c r="AN1316" s="76"/>
    </row>
    <row r="1317" spans="1:40" ht="15">
      <c r="A1317" s="83" t="e">
        <f>IF(#REF!&lt;&gt;#REF!,1,A1316+1)</f>
        <v>#REF!</v>
      </c>
      <c r="O1317" s="79"/>
      <c r="P1317" s="79"/>
      <c r="Q1317" s="76"/>
      <c r="R1317" s="77"/>
      <c r="S1317" s="76"/>
      <c r="T1317" s="77"/>
      <c r="U1317" s="76"/>
      <c r="V1317" s="77"/>
      <c r="W1317" s="76"/>
      <c r="X1317" s="77"/>
      <c r="Y1317" s="76"/>
      <c r="Z1317" s="76"/>
      <c r="AA1317" s="76"/>
      <c r="AB1317" s="76"/>
      <c r="AC1317" s="76"/>
      <c r="AD1317" s="76"/>
      <c r="AE1317" s="76"/>
      <c r="AF1317" s="76"/>
      <c r="AG1317" s="76"/>
      <c r="AH1317" s="76"/>
      <c r="AI1317" s="76"/>
      <c r="AJ1317" s="76"/>
      <c r="AK1317" s="76"/>
      <c r="AL1317" s="77"/>
      <c r="AM1317" s="76"/>
      <c r="AN1317" s="76"/>
    </row>
    <row r="1318" spans="1:40" ht="15">
      <c r="A1318" s="83" t="e">
        <f>IF(#REF!&lt;&gt;#REF!,1,A1317+1)</f>
        <v>#REF!</v>
      </c>
      <c r="O1318" s="79"/>
      <c r="P1318" s="79"/>
      <c r="Q1318" s="76"/>
      <c r="R1318" s="77"/>
      <c r="S1318" s="76"/>
      <c r="T1318" s="77"/>
      <c r="U1318" s="76"/>
      <c r="V1318" s="77"/>
      <c r="W1318" s="76"/>
      <c r="X1318" s="77"/>
      <c r="Y1318" s="76"/>
      <c r="Z1318" s="76"/>
      <c r="AA1318" s="76"/>
      <c r="AB1318" s="76"/>
      <c r="AC1318" s="76"/>
      <c r="AD1318" s="76"/>
      <c r="AE1318" s="76"/>
      <c r="AF1318" s="76"/>
      <c r="AG1318" s="76"/>
      <c r="AH1318" s="76"/>
      <c r="AI1318" s="76"/>
      <c r="AJ1318" s="76"/>
      <c r="AK1318" s="76"/>
      <c r="AL1318" s="77"/>
      <c r="AM1318" s="76"/>
      <c r="AN1318" s="76"/>
    </row>
    <row r="1319" spans="1:40" ht="15">
      <c r="A1319" s="83" t="e">
        <f>IF(#REF!&lt;&gt;#REF!,1,A1318+1)</f>
        <v>#REF!</v>
      </c>
      <c r="O1319" s="79"/>
      <c r="P1319" s="79"/>
      <c r="Q1319" s="76"/>
      <c r="R1319" s="77"/>
      <c r="S1319" s="76"/>
      <c r="T1319" s="77"/>
      <c r="U1319" s="76"/>
      <c r="V1319" s="77"/>
      <c r="W1319" s="76"/>
      <c r="X1319" s="77"/>
      <c r="Y1319" s="76"/>
      <c r="Z1319" s="76"/>
      <c r="AA1319" s="76"/>
      <c r="AB1319" s="76"/>
      <c r="AC1319" s="76"/>
      <c r="AD1319" s="76"/>
      <c r="AE1319" s="76"/>
      <c r="AF1319" s="76"/>
      <c r="AG1319" s="76"/>
      <c r="AH1319" s="76"/>
      <c r="AI1319" s="76"/>
      <c r="AJ1319" s="76"/>
      <c r="AK1319" s="76"/>
      <c r="AL1319" s="77"/>
      <c r="AM1319" s="76"/>
      <c r="AN1319" s="76"/>
    </row>
    <row r="1320" spans="1:40" ht="15">
      <c r="A1320" s="83" t="e">
        <f>IF(#REF!&lt;&gt;#REF!,1,A1319+1)</f>
        <v>#REF!</v>
      </c>
      <c r="O1320" s="79"/>
      <c r="P1320" s="79"/>
      <c r="Q1320" s="76"/>
      <c r="R1320" s="77"/>
      <c r="S1320" s="76"/>
      <c r="T1320" s="77"/>
      <c r="U1320" s="76"/>
      <c r="V1320" s="77"/>
      <c r="W1320" s="76"/>
      <c r="X1320" s="77"/>
      <c r="Y1320" s="76"/>
      <c r="Z1320" s="76"/>
      <c r="AA1320" s="76"/>
      <c r="AB1320" s="76"/>
      <c r="AC1320" s="76"/>
      <c r="AD1320" s="76"/>
      <c r="AE1320" s="76"/>
      <c r="AF1320" s="76"/>
      <c r="AG1320" s="76"/>
      <c r="AH1320" s="76"/>
      <c r="AI1320" s="76"/>
      <c r="AJ1320" s="76"/>
      <c r="AK1320" s="76"/>
      <c r="AL1320" s="77"/>
      <c r="AM1320" s="76"/>
      <c r="AN1320" s="76"/>
    </row>
    <row r="1321" spans="1:40" ht="15">
      <c r="A1321" s="83" t="e">
        <f>IF(#REF!&lt;&gt;#REF!,1,A1320+1)</f>
        <v>#REF!</v>
      </c>
      <c r="O1321" s="79"/>
      <c r="P1321" s="79"/>
      <c r="Q1321" s="76"/>
      <c r="R1321" s="77"/>
      <c r="S1321" s="76"/>
      <c r="T1321" s="77"/>
      <c r="U1321" s="76"/>
      <c r="V1321" s="77"/>
      <c r="W1321" s="76"/>
      <c r="X1321" s="77"/>
      <c r="Y1321" s="76"/>
      <c r="Z1321" s="76"/>
      <c r="AA1321" s="76"/>
      <c r="AB1321" s="76"/>
      <c r="AC1321" s="76"/>
      <c r="AD1321" s="76"/>
      <c r="AE1321" s="76"/>
      <c r="AF1321" s="76"/>
      <c r="AG1321" s="76"/>
      <c r="AH1321" s="76"/>
      <c r="AI1321" s="76"/>
      <c r="AJ1321" s="76"/>
      <c r="AK1321" s="76"/>
      <c r="AL1321" s="77"/>
      <c r="AM1321" s="76"/>
      <c r="AN1321" s="76"/>
    </row>
    <row r="1322" spans="1:40" ht="15">
      <c r="A1322" s="83" t="e">
        <f>IF(#REF!&lt;&gt;#REF!,1,A1321+1)</f>
        <v>#REF!</v>
      </c>
      <c r="O1322" s="79"/>
      <c r="P1322" s="79"/>
      <c r="Q1322" s="76"/>
      <c r="R1322" s="77"/>
      <c r="S1322" s="76"/>
      <c r="T1322" s="77"/>
      <c r="U1322" s="76"/>
      <c r="V1322" s="77"/>
      <c r="W1322" s="76"/>
      <c r="X1322" s="77"/>
      <c r="Y1322" s="76"/>
      <c r="Z1322" s="76"/>
      <c r="AA1322" s="76"/>
      <c r="AB1322" s="76"/>
      <c r="AC1322" s="76"/>
      <c r="AD1322" s="76"/>
      <c r="AE1322" s="76"/>
      <c r="AF1322" s="76"/>
      <c r="AG1322" s="76"/>
      <c r="AH1322" s="76"/>
      <c r="AI1322" s="76"/>
      <c r="AJ1322" s="76"/>
      <c r="AK1322" s="76"/>
      <c r="AL1322" s="77"/>
      <c r="AM1322" s="76"/>
      <c r="AN1322" s="76"/>
    </row>
    <row r="1323" spans="1:40" ht="15">
      <c r="A1323" s="83" t="e">
        <f>IF(#REF!&lt;&gt;#REF!,1,A1322+1)</f>
        <v>#REF!</v>
      </c>
      <c r="O1323" s="79"/>
      <c r="P1323" s="79"/>
      <c r="Q1323" s="76"/>
      <c r="R1323" s="77"/>
      <c r="S1323" s="76"/>
      <c r="T1323" s="77"/>
      <c r="U1323" s="76"/>
      <c r="V1323" s="77"/>
      <c r="W1323" s="76"/>
      <c r="X1323" s="77"/>
      <c r="Y1323" s="76"/>
      <c r="Z1323" s="76"/>
      <c r="AA1323" s="76"/>
      <c r="AB1323" s="76"/>
      <c r="AC1323" s="76"/>
      <c r="AD1323" s="76"/>
      <c r="AE1323" s="76"/>
      <c r="AF1323" s="76"/>
      <c r="AG1323" s="76"/>
      <c r="AH1323" s="76"/>
      <c r="AI1323" s="76"/>
      <c r="AJ1323" s="76"/>
      <c r="AK1323" s="76"/>
      <c r="AL1323" s="77"/>
      <c r="AM1323" s="76"/>
      <c r="AN1323" s="76"/>
    </row>
    <row r="1324" spans="1:40" ht="15">
      <c r="A1324" s="83" t="e">
        <f>IF(#REF!&lt;&gt;#REF!,1,A1323+1)</f>
        <v>#REF!</v>
      </c>
      <c r="O1324" s="79"/>
      <c r="P1324" s="79"/>
      <c r="Q1324" s="76"/>
      <c r="R1324" s="77"/>
      <c r="S1324" s="76"/>
      <c r="T1324" s="77"/>
      <c r="U1324" s="76"/>
      <c r="V1324" s="77"/>
      <c r="W1324" s="76"/>
      <c r="X1324" s="77"/>
      <c r="Y1324" s="76"/>
      <c r="Z1324" s="76"/>
      <c r="AA1324" s="76"/>
      <c r="AB1324" s="76"/>
      <c r="AC1324" s="76"/>
      <c r="AD1324" s="76"/>
      <c r="AE1324" s="76"/>
      <c r="AF1324" s="76"/>
      <c r="AG1324" s="76"/>
      <c r="AH1324" s="76"/>
      <c r="AI1324" s="76"/>
      <c r="AJ1324" s="76"/>
      <c r="AK1324" s="76"/>
      <c r="AL1324" s="77"/>
      <c r="AM1324" s="76"/>
      <c r="AN1324" s="76"/>
    </row>
    <row r="1325" spans="1:40" ht="15">
      <c r="A1325" s="83" t="e">
        <f>IF(#REF!&lt;&gt;#REF!,1,A1324+1)</f>
        <v>#REF!</v>
      </c>
      <c r="O1325" s="79"/>
      <c r="P1325" s="79"/>
      <c r="Q1325" s="76"/>
      <c r="R1325" s="77"/>
      <c r="S1325" s="76"/>
      <c r="T1325" s="77"/>
      <c r="U1325" s="76"/>
      <c r="V1325" s="77"/>
      <c r="W1325" s="76"/>
      <c r="X1325" s="77"/>
      <c r="Y1325" s="76"/>
      <c r="Z1325" s="76"/>
      <c r="AA1325" s="76"/>
      <c r="AB1325" s="76"/>
      <c r="AC1325" s="76"/>
      <c r="AD1325" s="76"/>
      <c r="AE1325" s="76"/>
      <c r="AF1325" s="76"/>
      <c r="AG1325" s="76"/>
      <c r="AH1325" s="76"/>
      <c r="AI1325" s="76"/>
      <c r="AJ1325" s="76"/>
      <c r="AK1325" s="76"/>
      <c r="AL1325" s="77"/>
      <c r="AM1325" s="76"/>
      <c r="AN1325" s="76"/>
    </row>
    <row r="1326" spans="1:40" ht="15">
      <c r="A1326" s="83" t="e">
        <f>IF(#REF!&lt;&gt;#REF!,1,A1325+1)</f>
        <v>#REF!</v>
      </c>
      <c r="O1326" s="79"/>
      <c r="P1326" s="79"/>
      <c r="Q1326" s="76"/>
      <c r="R1326" s="77"/>
      <c r="S1326" s="76"/>
      <c r="T1326" s="77"/>
      <c r="U1326" s="76"/>
      <c r="V1326" s="77"/>
      <c r="W1326" s="76"/>
      <c r="X1326" s="77"/>
      <c r="Y1326" s="76"/>
      <c r="Z1326" s="76"/>
      <c r="AA1326" s="76"/>
      <c r="AB1326" s="76"/>
      <c r="AC1326" s="76"/>
      <c r="AD1326" s="76"/>
      <c r="AE1326" s="76"/>
      <c r="AF1326" s="76"/>
      <c r="AG1326" s="76"/>
      <c r="AH1326" s="76"/>
      <c r="AI1326" s="76"/>
      <c r="AJ1326" s="76"/>
      <c r="AK1326" s="76"/>
      <c r="AL1326" s="77"/>
      <c r="AM1326" s="76"/>
      <c r="AN1326" s="76"/>
    </row>
    <row r="1327" spans="1:40" ht="15">
      <c r="A1327" s="83" t="e">
        <f>IF(#REF!&lt;&gt;#REF!,1,A1326+1)</f>
        <v>#REF!</v>
      </c>
      <c r="O1327" s="79"/>
      <c r="P1327" s="79"/>
      <c r="Q1327" s="76"/>
      <c r="R1327" s="77"/>
      <c r="S1327" s="76"/>
      <c r="T1327" s="77"/>
      <c r="U1327" s="76"/>
      <c r="V1327" s="77"/>
      <c r="W1327" s="76"/>
      <c r="X1327" s="77"/>
      <c r="Y1327" s="76"/>
      <c r="Z1327" s="76"/>
      <c r="AA1327" s="76"/>
      <c r="AB1327" s="76"/>
      <c r="AC1327" s="76"/>
      <c r="AD1327" s="76"/>
      <c r="AE1327" s="76"/>
      <c r="AF1327" s="76"/>
      <c r="AG1327" s="76"/>
      <c r="AH1327" s="76"/>
      <c r="AI1327" s="76"/>
      <c r="AJ1327" s="76"/>
      <c r="AK1327" s="76"/>
      <c r="AL1327" s="77"/>
      <c r="AM1327" s="76"/>
      <c r="AN1327" s="76"/>
    </row>
    <row r="1328" spans="1:40" ht="15">
      <c r="A1328" s="83" t="e">
        <f>IF(#REF!&lt;&gt;#REF!,1,A1327+1)</f>
        <v>#REF!</v>
      </c>
      <c r="O1328" s="79"/>
      <c r="P1328" s="79"/>
      <c r="Q1328" s="76"/>
      <c r="R1328" s="77"/>
      <c r="S1328" s="76"/>
      <c r="T1328" s="77"/>
      <c r="U1328" s="76"/>
      <c r="V1328" s="77"/>
      <c r="W1328" s="76"/>
      <c r="X1328" s="77"/>
      <c r="Y1328" s="76"/>
      <c r="Z1328" s="76"/>
      <c r="AA1328" s="76"/>
      <c r="AB1328" s="76"/>
      <c r="AC1328" s="76"/>
      <c r="AD1328" s="76"/>
      <c r="AE1328" s="76"/>
      <c r="AF1328" s="76"/>
      <c r="AG1328" s="76"/>
      <c r="AH1328" s="76"/>
      <c r="AI1328" s="76"/>
      <c r="AJ1328" s="76"/>
      <c r="AK1328" s="76"/>
      <c r="AL1328" s="77"/>
      <c r="AM1328" s="76"/>
      <c r="AN1328" s="76"/>
    </row>
    <row r="1329" spans="1:40" ht="15">
      <c r="A1329" s="83" t="e">
        <f>IF(#REF!&lt;&gt;#REF!,1,A1328+1)</f>
        <v>#REF!</v>
      </c>
      <c r="O1329" s="79"/>
      <c r="P1329" s="79"/>
      <c r="Q1329" s="76"/>
      <c r="R1329" s="77"/>
      <c r="S1329" s="76"/>
      <c r="T1329" s="77"/>
      <c r="U1329" s="76"/>
      <c r="V1329" s="77"/>
      <c r="W1329" s="76"/>
      <c r="X1329" s="77"/>
      <c r="Y1329" s="76"/>
      <c r="Z1329" s="76"/>
      <c r="AA1329" s="76"/>
      <c r="AB1329" s="76"/>
      <c r="AC1329" s="76"/>
      <c r="AD1329" s="76"/>
      <c r="AE1329" s="76"/>
      <c r="AF1329" s="76"/>
      <c r="AG1329" s="76"/>
      <c r="AH1329" s="76"/>
      <c r="AI1329" s="76"/>
      <c r="AJ1329" s="76"/>
      <c r="AK1329" s="76"/>
      <c r="AL1329" s="77"/>
      <c r="AM1329" s="76"/>
      <c r="AN1329" s="76"/>
    </row>
    <row r="1330" spans="1:40" ht="15">
      <c r="A1330" s="83" t="e">
        <f>IF(#REF!&lt;&gt;#REF!,1,A1329+1)</f>
        <v>#REF!</v>
      </c>
      <c r="O1330" s="79"/>
      <c r="P1330" s="79"/>
      <c r="Q1330" s="76"/>
      <c r="R1330" s="77"/>
      <c r="S1330" s="76"/>
      <c r="T1330" s="77"/>
      <c r="U1330" s="76"/>
      <c r="V1330" s="77"/>
      <c r="W1330" s="76"/>
      <c r="X1330" s="77"/>
      <c r="Y1330" s="76"/>
      <c r="Z1330" s="76"/>
      <c r="AA1330" s="76"/>
      <c r="AB1330" s="76"/>
      <c r="AC1330" s="76"/>
      <c r="AD1330" s="76"/>
      <c r="AE1330" s="76"/>
      <c r="AF1330" s="76"/>
      <c r="AG1330" s="76"/>
      <c r="AH1330" s="76"/>
      <c r="AI1330" s="76"/>
      <c r="AJ1330" s="76"/>
      <c r="AK1330" s="76"/>
      <c r="AL1330" s="77"/>
      <c r="AM1330" s="76"/>
      <c r="AN1330" s="76"/>
    </row>
    <row r="1331" spans="1:40" ht="15">
      <c r="A1331" s="83" t="e">
        <f>IF(#REF!&lt;&gt;#REF!,1,A1330+1)</f>
        <v>#REF!</v>
      </c>
      <c r="O1331" s="79"/>
      <c r="P1331" s="79"/>
      <c r="Q1331" s="76"/>
      <c r="R1331" s="77"/>
      <c r="S1331" s="76"/>
      <c r="T1331" s="77"/>
      <c r="U1331" s="76"/>
      <c r="V1331" s="77"/>
      <c r="W1331" s="76"/>
      <c r="X1331" s="77"/>
      <c r="Y1331" s="76"/>
      <c r="Z1331" s="76"/>
      <c r="AA1331" s="76"/>
      <c r="AB1331" s="76"/>
      <c r="AC1331" s="76"/>
      <c r="AD1331" s="76"/>
      <c r="AE1331" s="76"/>
      <c r="AF1331" s="76"/>
      <c r="AG1331" s="76"/>
      <c r="AH1331" s="76"/>
      <c r="AI1331" s="76"/>
      <c r="AJ1331" s="76"/>
      <c r="AK1331" s="76"/>
      <c r="AL1331" s="77"/>
      <c r="AM1331" s="76"/>
      <c r="AN1331" s="76"/>
    </row>
    <row r="1332" spans="1:40" ht="15">
      <c r="A1332" s="83" t="e">
        <f>IF(#REF!&lt;&gt;#REF!,1,A1331+1)</f>
        <v>#REF!</v>
      </c>
      <c r="O1332" s="79"/>
      <c r="P1332" s="79"/>
      <c r="Q1332" s="76"/>
      <c r="R1332" s="77"/>
      <c r="S1332" s="76"/>
      <c r="T1332" s="77"/>
      <c r="U1332" s="76"/>
      <c r="V1332" s="77"/>
      <c r="W1332" s="76"/>
      <c r="X1332" s="77"/>
      <c r="Y1332" s="76"/>
      <c r="Z1332" s="76"/>
      <c r="AA1332" s="76"/>
      <c r="AB1332" s="76"/>
      <c r="AC1332" s="76"/>
      <c r="AD1332" s="76"/>
      <c r="AE1332" s="76"/>
      <c r="AF1332" s="76"/>
      <c r="AG1332" s="76"/>
      <c r="AH1332" s="76"/>
      <c r="AI1332" s="76"/>
      <c r="AJ1332" s="76"/>
      <c r="AK1332" s="76"/>
      <c r="AL1332" s="77"/>
      <c r="AM1332" s="76"/>
      <c r="AN1332" s="76"/>
    </row>
    <row r="1333" spans="1:40" ht="15">
      <c r="A1333" s="83" t="e">
        <f>IF(#REF!&lt;&gt;#REF!,1,A1332+1)</f>
        <v>#REF!</v>
      </c>
      <c r="O1333" s="79"/>
      <c r="P1333" s="79"/>
      <c r="Q1333" s="76"/>
      <c r="R1333" s="77"/>
      <c r="S1333" s="76"/>
      <c r="T1333" s="77"/>
      <c r="U1333" s="76"/>
      <c r="V1333" s="77"/>
      <c r="W1333" s="76"/>
      <c r="X1333" s="77"/>
      <c r="Y1333" s="76"/>
      <c r="Z1333" s="76"/>
      <c r="AA1333" s="76"/>
      <c r="AB1333" s="76"/>
      <c r="AC1333" s="76"/>
      <c r="AD1333" s="76"/>
      <c r="AE1333" s="76"/>
      <c r="AF1333" s="76"/>
      <c r="AG1333" s="76"/>
      <c r="AH1333" s="76"/>
      <c r="AI1333" s="76"/>
      <c r="AJ1333" s="76"/>
      <c r="AK1333" s="76"/>
      <c r="AL1333" s="77"/>
      <c r="AM1333" s="76"/>
      <c r="AN1333" s="76"/>
    </row>
    <row r="1334" spans="1:40" ht="15">
      <c r="A1334" s="83" t="e">
        <f>IF(#REF!&lt;&gt;#REF!,1,A1333+1)</f>
        <v>#REF!</v>
      </c>
      <c r="O1334" s="79"/>
      <c r="P1334" s="79"/>
      <c r="Q1334" s="76"/>
      <c r="R1334" s="77"/>
      <c r="S1334" s="76"/>
      <c r="T1334" s="77"/>
      <c r="U1334" s="76"/>
      <c r="V1334" s="77"/>
      <c r="W1334" s="76"/>
      <c r="X1334" s="77"/>
      <c r="Y1334" s="76"/>
      <c r="Z1334" s="76"/>
      <c r="AA1334" s="76"/>
      <c r="AB1334" s="76"/>
      <c r="AC1334" s="76"/>
      <c r="AD1334" s="76"/>
      <c r="AE1334" s="76"/>
      <c r="AF1334" s="76"/>
      <c r="AG1334" s="76"/>
      <c r="AH1334" s="76"/>
      <c r="AI1334" s="76"/>
      <c r="AJ1334" s="76"/>
      <c r="AK1334" s="76"/>
      <c r="AL1334" s="77"/>
      <c r="AM1334" s="76"/>
      <c r="AN1334" s="76"/>
    </row>
    <row r="1335" spans="1:40" ht="15">
      <c r="A1335" s="83" t="e">
        <f>IF(#REF!&lt;&gt;#REF!,1,A1334+1)</f>
        <v>#REF!</v>
      </c>
      <c r="O1335" s="79"/>
      <c r="P1335" s="79"/>
      <c r="Q1335" s="76"/>
      <c r="R1335" s="77"/>
      <c r="S1335" s="76"/>
      <c r="T1335" s="77"/>
      <c r="U1335" s="76"/>
      <c r="V1335" s="77"/>
      <c r="W1335" s="76"/>
      <c r="X1335" s="77"/>
      <c r="Y1335" s="76"/>
      <c r="Z1335" s="76"/>
      <c r="AA1335" s="76"/>
      <c r="AB1335" s="76"/>
      <c r="AC1335" s="76"/>
      <c r="AD1335" s="76"/>
      <c r="AE1335" s="76"/>
      <c r="AF1335" s="76"/>
      <c r="AG1335" s="76"/>
      <c r="AH1335" s="76"/>
      <c r="AI1335" s="76"/>
      <c r="AJ1335" s="76"/>
      <c r="AK1335" s="76"/>
      <c r="AL1335" s="77"/>
      <c r="AM1335" s="76"/>
      <c r="AN1335" s="76"/>
    </row>
    <row r="1336" spans="1:40" ht="15">
      <c r="A1336" s="83" t="e">
        <f>IF(#REF!&lt;&gt;#REF!,1,A1335+1)</f>
        <v>#REF!</v>
      </c>
      <c r="O1336" s="79"/>
      <c r="P1336" s="79"/>
      <c r="Q1336" s="76"/>
      <c r="R1336" s="77"/>
      <c r="S1336" s="76"/>
      <c r="T1336" s="77"/>
      <c r="U1336" s="76"/>
      <c r="V1336" s="77"/>
      <c r="W1336" s="76"/>
      <c r="X1336" s="77"/>
      <c r="Y1336" s="76"/>
      <c r="Z1336" s="76"/>
      <c r="AA1336" s="76"/>
      <c r="AB1336" s="76"/>
      <c r="AC1336" s="76"/>
      <c r="AD1336" s="76"/>
      <c r="AE1336" s="76"/>
      <c r="AF1336" s="76"/>
      <c r="AG1336" s="76"/>
      <c r="AH1336" s="76"/>
      <c r="AI1336" s="76"/>
      <c r="AJ1336" s="76"/>
      <c r="AK1336" s="76"/>
      <c r="AL1336" s="77"/>
      <c r="AM1336" s="76"/>
      <c r="AN1336" s="76"/>
    </row>
    <row r="1337" spans="1:40" ht="15">
      <c r="A1337" s="83" t="e">
        <f>IF(#REF!&lt;&gt;#REF!,1,A1336+1)</f>
        <v>#REF!</v>
      </c>
      <c r="O1337" s="79"/>
      <c r="P1337" s="79"/>
      <c r="Q1337" s="76"/>
      <c r="R1337" s="77"/>
      <c r="S1337" s="76"/>
      <c r="T1337" s="77"/>
      <c r="U1337" s="76"/>
      <c r="V1337" s="77"/>
      <c r="W1337" s="76"/>
      <c r="X1337" s="77"/>
      <c r="Y1337" s="76"/>
      <c r="Z1337" s="76"/>
      <c r="AA1337" s="76"/>
      <c r="AB1337" s="76"/>
      <c r="AC1337" s="76"/>
      <c r="AD1337" s="76"/>
      <c r="AE1337" s="76"/>
      <c r="AF1337" s="76"/>
      <c r="AG1337" s="76"/>
      <c r="AH1337" s="76"/>
      <c r="AI1337" s="76"/>
      <c r="AJ1337" s="76"/>
      <c r="AK1337" s="76"/>
      <c r="AL1337" s="77"/>
      <c r="AM1337" s="76"/>
      <c r="AN1337" s="76"/>
    </row>
    <row r="1338" spans="1:40" ht="15">
      <c r="A1338" s="83" t="e">
        <f>IF(#REF!&lt;&gt;#REF!,1,A1337+1)</f>
        <v>#REF!</v>
      </c>
      <c r="O1338" s="79"/>
      <c r="P1338" s="79"/>
      <c r="Q1338" s="76"/>
      <c r="R1338" s="77"/>
      <c r="S1338" s="76"/>
      <c r="T1338" s="77"/>
      <c r="U1338" s="76"/>
      <c r="V1338" s="77"/>
      <c r="W1338" s="76"/>
      <c r="X1338" s="77"/>
      <c r="Y1338" s="76"/>
      <c r="Z1338" s="76"/>
      <c r="AA1338" s="76"/>
      <c r="AB1338" s="76"/>
      <c r="AC1338" s="76"/>
      <c r="AD1338" s="76"/>
      <c r="AE1338" s="76"/>
      <c r="AF1338" s="76"/>
      <c r="AG1338" s="76"/>
      <c r="AH1338" s="76"/>
      <c r="AI1338" s="76"/>
      <c r="AJ1338" s="76"/>
      <c r="AK1338" s="76"/>
      <c r="AL1338" s="77"/>
      <c r="AM1338" s="76"/>
      <c r="AN1338" s="76"/>
    </row>
    <row r="1339" spans="1:40" ht="15">
      <c r="A1339" s="83" t="e">
        <f>IF(#REF!&lt;&gt;#REF!,1,A1338+1)</f>
        <v>#REF!</v>
      </c>
      <c r="O1339" s="79"/>
      <c r="P1339" s="79"/>
      <c r="Q1339" s="76"/>
      <c r="R1339" s="77"/>
      <c r="S1339" s="76"/>
      <c r="T1339" s="77"/>
      <c r="U1339" s="76"/>
      <c r="V1339" s="77"/>
      <c r="W1339" s="76"/>
      <c r="X1339" s="77"/>
      <c r="Y1339" s="76"/>
      <c r="Z1339" s="76"/>
      <c r="AA1339" s="76"/>
      <c r="AB1339" s="76"/>
      <c r="AC1339" s="76"/>
      <c r="AD1339" s="76"/>
      <c r="AE1339" s="76"/>
      <c r="AF1339" s="76"/>
      <c r="AG1339" s="76"/>
      <c r="AH1339" s="76"/>
      <c r="AI1339" s="76"/>
      <c r="AJ1339" s="76"/>
      <c r="AK1339" s="76"/>
      <c r="AL1339" s="77"/>
      <c r="AM1339" s="76"/>
      <c r="AN1339" s="76"/>
    </row>
    <row r="1340" spans="1:40" ht="15">
      <c r="A1340" s="83" t="e">
        <f>IF(#REF!&lt;&gt;#REF!,1,A1339+1)</f>
        <v>#REF!</v>
      </c>
      <c r="O1340" s="79"/>
      <c r="P1340" s="79"/>
      <c r="Q1340" s="76"/>
      <c r="R1340" s="77"/>
      <c r="S1340" s="76"/>
      <c r="T1340" s="77"/>
      <c r="U1340" s="76"/>
      <c r="V1340" s="77"/>
      <c r="W1340" s="76"/>
      <c r="X1340" s="77"/>
      <c r="Y1340" s="76"/>
      <c r="Z1340" s="76"/>
      <c r="AA1340" s="76"/>
      <c r="AB1340" s="76"/>
      <c r="AC1340" s="76"/>
      <c r="AD1340" s="76"/>
      <c r="AE1340" s="76"/>
      <c r="AF1340" s="76"/>
      <c r="AG1340" s="76"/>
      <c r="AH1340" s="76"/>
      <c r="AI1340" s="76"/>
      <c r="AJ1340" s="76"/>
      <c r="AK1340" s="76"/>
      <c r="AL1340" s="77"/>
      <c r="AM1340" s="76"/>
      <c r="AN1340" s="76"/>
    </row>
    <row r="1341" spans="1:40" ht="15">
      <c r="A1341" s="83" t="e">
        <f>IF(#REF!&lt;&gt;#REF!,1,A1340+1)</f>
        <v>#REF!</v>
      </c>
      <c r="O1341" s="79"/>
      <c r="P1341" s="79"/>
      <c r="Q1341" s="76"/>
      <c r="R1341" s="77"/>
      <c r="S1341" s="76"/>
      <c r="T1341" s="77"/>
      <c r="U1341" s="76"/>
      <c r="V1341" s="77"/>
      <c r="W1341" s="76"/>
      <c r="X1341" s="77"/>
      <c r="Y1341" s="76"/>
      <c r="Z1341" s="76"/>
      <c r="AA1341" s="76"/>
      <c r="AB1341" s="76"/>
      <c r="AC1341" s="76"/>
      <c r="AD1341" s="76"/>
      <c r="AE1341" s="76"/>
      <c r="AF1341" s="76"/>
      <c r="AG1341" s="76"/>
      <c r="AH1341" s="76"/>
      <c r="AI1341" s="76"/>
      <c r="AJ1341" s="76"/>
      <c r="AK1341" s="76"/>
      <c r="AL1341" s="77"/>
      <c r="AM1341" s="76"/>
      <c r="AN1341" s="76"/>
    </row>
    <row r="1342" spans="1:40" ht="15">
      <c r="A1342" s="83" t="e">
        <f>IF(#REF!&lt;&gt;#REF!,1,A1341+1)</f>
        <v>#REF!</v>
      </c>
      <c r="O1342" s="79"/>
      <c r="P1342" s="79"/>
      <c r="Q1342" s="76"/>
      <c r="R1342" s="77"/>
      <c r="S1342" s="76"/>
      <c r="T1342" s="77"/>
      <c r="U1342" s="76"/>
      <c r="V1342" s="77"/>
      <c r="W1342" s="76"/>
      <c r="X1342" s="77"/>
      <c r="Y1342" s="76"/>
      <c r="Z1342" s="76"/>
      <c r="AA1342" s="76"/>
      <c r="AB1342" s="76"/>
      <c r="AC1342" s="76"/>
      <c r="AD1342" s="76"/>
      <c r="AE1342" s="76"/>
      <c r="AF1342" s="76"/>
      <c r="AG1342" s="76"/>
      <c r="AH1342" s="76"/>
      <c r="AI1342" s="76"/>
      <c r="AJ1342" s="76"/>
      <c r="AK1342" s="76"/>
      <c r="AL1342" s="77"/>
      <c r="AM1342" s="76"/>
      <c r="AN1342" s="76"/>
    </row>
    <row r="1343" spans="1:40" ht="15">
      <c r="A1343" s="83" t="e">
        <f>IF(#REF!&lt;&gt;#REF!,1,A1342+1)</f>
        <v>#REF!</v>
      </c>
      <c r="O1343" s="79"/>
      <c r="P1343" s="79"/>
      <c r="Q1343" s="76"/>
      <c r="R1343" s="77"/>
      <c r="S1343" s="76"/>
      <c r="T1343" s="77"/>
      <c r="U1343" s="76"/>
      <c r="V1343" s="77"/>
      <c r="W1343" s="76"/>
      <c r="X1343" s="77"/>
      <c r="Y1343" s="76"/>
      <c r="Z1343" s="76"/>
      <c r="AA1343" s="76"/>
      <c r="AB1343" s="76"/>
      <c r="AC1343" s="76"/>
      <c r="AD1343" s="76"/>
      <c r="AE1343" s="76"/>
      <c r="AF1343" s="76"/>
      <c r="AG1343" s="76"/>
      <c r="AH1343" s="76"/>
      <c r="AI1343" s="76"/>
      <c r="AJ1343" s="76"/>
      <c r="AK1343" s="76"/>
      <c r="AL1343" s="77"/>
      <c r="AM1343" s="76"/>
      <c r="AN1343" s="76"/>
    </row>
    <row r="1344" spans="1:40" ht="15">
      <c r="A1344" s="83" t="e">
        <f>IF(#REF!&lt;&gt;#REF!,1,A1343+1)</f>
        <v>#REF!</v>
      </c>
      <c r="O1344" s="79"/>
      <c r="P1344" s="79"/>
      <c r="Q1344" s="76"/>
      <c r="R1344" s="77"/>
      <c r="S1344" s="76"/>
      <c r="T1344" s="77"/>
      <c r="U1344" s="76"/>
      <c r="V1344" s="77"/>
      <c r="W1344" s="76"/>
      <c r="X1344" s="77"/>
      <c r="Y1344" s="76"/>
      <c r="Z1344" s="76"/>
      <c r="AA1344" s="76"/>
      <c r="AB1344" s="76"/>
      <c r="AC1344" s="76"/>
      <c r="AD1344" s="76"/>
      <c r="AE1344" s="76"/>
      <c r="AF1344" s="76"/>
      <c r="AG1344" s="76"/>
      <c r="AH1344" s="76"/>
      <c r="AI1344" s="76"/>
      <c r="AJ1344" s="76"/>
      <c r="AK1344" s="76"/>
      <c r="AL1344" s="77"/>
      <c r="AM1344" s="76"/>
      <c r="AN1344" s="76"/>
    </row>
    <row r="1345" spans="1:40" ht="15">
      <c r="A1345" s="83" t="e">
        <f>IF(#REF!&lt;&gt;#REF!,1,A1344+1)</f>
        <v>#REF!</v>
      </c>
      <c r="O1345" s="79"/>
      <c r="P1345" s="79"/>
      <c r="Q1345" s="76"/>
      <c r="R1345" s="77"/>
      <c r="S1345" s="76"/>
      <c r="T1345" s="77"/>
      <c r="U1345" s="76"/>
      <c r="V1345" s="77"/>
      <c r="W1345" s="76"/>
      <c r="X1345" s="77"/>
      <c r="Y1345" s="76"/>
      <c r="Z1345" s="76"/>
      <c r="AA1345" s="76"/>
      <c r="AB1345" s="76"/>
      <c r="AC1345" s="76"/>
      <c r="AD1345" s="76"/>
      <c r="AE1345" s="76"/>
      <c r="AF1345" s="76"/>
      <c r="AG1345" s="76"/>
      <c r="AH1345" s="76"/>
      <c r="AI1345" s="76"/>
      <c r="AJ1345" s="76"/>
      <c r="AK1345" s="76"/>
      <c r="AL1345" s="77"/>
      <c r="AM1345" s="76"/>
      <c r="AN1345" s="76"/>
    </row>
    <row r="1346" spans="1:40" ht="15">
      <c r="A1346" s="83" t="e">
        <f>IF(#REF!&lt;&gt;#REF!,1,A1345+1)</f>
        <v>#REF!</v>
      </c>
      <c r="O1346" s="79"/>
      <c r="P1346" s="79"/>
      <c r="Q1346" s="76"/>
      <c r="R1346" s="77"/>
      <c r="S1346" s="76"/>
      <c r="T1346" s="77"/>
      <c r="U1346" s="76"/>
      <c r="V1346" s="77"/>
      <c r="W1346" s="76"/>
      <c r="X1346" s="77"/>
      <c r="Y1346" s="76"/>
      <c r="Z1346" s="76"/>
      <c r="AA1346" s="76"/>
      <c r="AB1346" s="76"/>
      <c r="AC1346" s="76"/>
      <c r="AD1346" s="76"/>
      <c r="AE1346" s="76"/>
      <c r="AF1346" s="76"/>
      <c r="AG1346" s="76"/>
      <c r="AH1346" s="76"/>
      <c r="AI1346" s="76"/>
      <c r="AJ1346" s="76"/>
      <c r="AK1346" s="76"/>
      <c r="AL1346" s="77"/>
      <c r="AM1346" s="76"/>
      <c r="AN1346" s="76"/>
    </row>
    <row r="1347" spans="1:40" ht="15">
      <c r="A1347" s="83" t="e">
        <f>IF(#REF!&lt;&gt;#REF!,1,A1346+1)</f>
        <v>#REF!</v>
      </c>
      <c r="O1347" s="79"/>
      <c r="P1347" s="79"/>
      <c r="Q1347" s="76"/>
      <c r="R1347" s="77"/>
      <c r="S1347" s="76"/>
      <c r="T1347" s="77"/>
      <c r="U1347" s="76"/>
      <c r="V1347" s="77"/>
      <c r="W1347" s="76"/>
      <c r="X1347" s="77"/>
      <c r="Y1347" s="76"/>
      <c r="Z1347" s="76"/>
      <c r="AA1347" s="76"/>
      <c r="AB1347" s="76"/>
      <c r="AC1347" s="76"/>
      <c r="AD1347" s="76"/>
      <c r="AE1347" s="76"/>
      <c r="AF1347" s="76"/>
      <c r="AG1347" s="76"/>
      <c r="AH1347" s="76"/>
      <c r="AI1347" s="76"/>
      <c r="AJ1347" s="76"/>
      <c r="AK1347" s="76"/>
      <c r="AL1347" s="77"/>
      <c r="AM1347" s="76"/>
      <c r="AN1347" s="76"/>
    </row>
    <row r="1348" spans="1:40" ht="15">
      <c r="A1348" s="83" t="e">
        <f>IF(#REF!&lt;&gt;#REF!,1,A1347+1)</f>
        <v>#REF!</v>
      </c>
      <c r="O1348" s="79"/>
      <c r="P1348" s="79"/>
      <c r="Q1348" s="76"/>
      <c r="R1348" s="77"/>
      <c r="S1348" s="76"/>
      <c r="T1348" s="77"/>
      <c r="U1348" s="76"/>
      <c r="V1348" s="77"/>
      <c r="W1348" s="76"/>
      <c r="X1348" s="77"/>
      <c r="Y1348" s="76"/>
      <c r="Z1348" s="76"/>
      <c r="AA1348" s="76"/>
      <c r="AB1348" s="76"/>
      <c r="AC1348" s="76"/>
      <c r="AD1348" s="76"/>
      <c r="AE1348" s="76"/>
      <c r="AF1348" s="76"/>
      <c r="AG1348" s="76"/>
      <c r="AH1348" s="76"/>
      <c r="AI1348" s="76"/>
      <c r="AJ1348" s="76"/>
      <c r="AK1348" s="76"/>
      <c r="AL1348" s="77"/>
      <c r="AM1348" s="76"/>
      <c r="AN1348" s="76"/>
    </row>
    <row r="1349" spans="1:40" ht="15">
      <c r="A1349" s="83" t="e">
        <f>IF(#REF!&lt;&gt;#REF!,1,A1348+1)</f>
        <v>#REF!</v>
      </c>
      <c r="O1349" s="79"/>
      <c r="P1349" s="79"/>
      <c r="Q1349" s="76"/>
      <c r="R1349" s="77"/>
      <c r="S1349" s="76"/>
      <c r="T1349" s="77"/>
      <c r="U1349" s="76"/>
      <c r="V1349" s="77"/>
      <c r="W1349" s="76"/>
      <c r="X1349" s="77"/>
      <c r="Y1349" s="76"/>
      <c r="Z1349" s="76"/>
      <c r="AA1349" s="76"/>
      <c r="AB1349" s="76"/>
      <c r="AC1349" s="76"/>
      <c r="AD1349" s="76"/>
      <c r="AE1349" s="76"/>
      <c r="AF1349" s="76"/>
      <c r="AG1349" s="76"/>
      <c r="AH1349" s="76"/>
      <c r="AI1349" s="76"/>
      <c r="AJ1349" s="76"/>
      <c r="AK1349" s="76"/>
      <c r="AL1349" s="77"/>
      <c r="AM1349" s="76"/>
      <c r="AN1349" s="76"/>
    </row>
    <row r="1350" spans="1:40" ht="15">
      <c r="A1350" s="83" t="e">
        <f>IF(#REF!&lt;&gt;#REF!,1,A1349+1)</f>
        <v>#REF!</v>
      </c>
      <c r="O1350" s="79"/>
      <c r="P1350" s="79"/>
      <c r="Q1350" s="76"/>
      <c r="R1350" s="77"/>
      <c r="S1350" s="76"/>
      <c r="T1350" s="77"/>
      <c r="U1350" s="76"/>
      <c r="V1350" s="77"/>
      <c r="W1350" s="76"/>
      <c r="X1350" s="77"/>
      <c r="Y1350" s="76"/>
      <c r="Z1350" s="76"/>
      <c r="AA1350" s="76"/>
      <c r="AB1350" s="76"/>
      <c r="AC1350" s="76"/>
      <c r="AD1350" s="76"/>
      <c r="AE1350" s="76"/>
      <c r="AF1350" s="76"/>
      <c r="AG1350" s="76"/>
      <c r="AH1350" s="76"/>
      <c r="AI1350" s="76"/>
      <c r="AJ1350" s="76"/>
      <c r="AK1350" s="76"/>
      <c r="AL1350" s="77"/>
      <c r="AM1350" s="76"/>
      <c r="AN1350" s="76"/>
    </row>
    <row r="1351" spans="1:40" ht="15">
      <c r="A1351" s="83" t="e">
        <f>IF(#REF!&lt;&gt;#REF!,1,A1350+1)</f>
        <v>#REF!</v>
      </c>
      <c r="O1351" s="79"/>
      <c r="P1351" s="79"/>
      <c r="Q1351" s="76"/>
      <c r="R1351" s="77"/>
      <c r="S1351" s="76"/>
      <c r="T1351" s="77"/>
      <c r="U1351" s="76"/>
      <c r="V1351" s="77"/>
      <c r="W1351" s="76"/>
      <c r="X1351" s="77"/>
      <c r="Y1351" s="76"/>
      <c r="Z1351" s="76"/>
      <c r="AA1351" s="76"/>
      <c r="AB1351" s="76"/>
      <c r="AC1351" s="76"/>
      <c r="AD1351" s="76"/>
      <c r="AE1351" s="76"/>
      <c r="AF1351" s="76"/>
      <c r="AG1351" s="76"/>
      <c r="AH1351" s="76"/>
      <c r="AI1351" s="76"/>
      <c r="AJ1351" s="76"/>
      <c r="AK1351" s="76"/>
      <c r="AL1351" s="77"/>
      <c r="AM1351" s="76"/>
      <c r="AN1351" s="76"/>
    </row>
    <row r="1352" spans="1:40" ht="15">
      <c r="A1352" s="83" t="e">
        <f>IF(#REF!&lt;&gt;#REF!,1,A1351+1)</f>
        <v>#REF!</v>
      </c>
      <c r="O1352" s="79"/>
      <c r="P1352" s="79"/>
      <c r="Q1352" s="76"/>
      <c r="R1352" s="77"/>
      <c r="S1352" s="76"/>
      <c r="T1352" s="77"/>
      <c r="U1352" s="76"/>
      <c r="V1352" s="77"/>
      <c r="W1352" s="76"/>
      <c r="X1352" s="77"/>
      <c r="Y1352" s="76"/>
      <c r="Z1352" s="76"/>
      <c r="AA1352" s="76"/>
      <c r="AB1352" s="76"/>
      <c r="AC1352" s="76"/>
      <c r="AD1352" s="76"/>
      <c r="AE1352" s="76"/>
      <c r="AF1352" s="76"/>
      <c r="AG1352" s="76"/>
      <c r="AH1352" s="76"/>
      <c r="AI1352" s="76"/>
      <c r="AJ1352" s="76"/>
      <c r="AK1352" s="76"/>
      <c r="AL1352" s="77"/>
      <c r="AM1352" s="76"/>
      <c r="AN1352" s="76"/>
    </row>
    <row r="1353" spans="1:40" ht="15">
      <c r="A1353" s="83" t="e">
        <f>IF(#REF!&lt;&gt;#REF!,1,A1352+1)</f>
        <v>#REF!</v>
      </c>
      <c r="O1353" s="79"/>
      <c r="P1353" s="79"/>
      <c r="Q1353" s="76"/>
      <c r="R1353" s="77"/>
      <c r="S1353" s="76"/>
      <c r="T1353" s="77"/>
      <c r="U1353" s="76"/>
      <c r="V1353" s="77"/>
      <c r="W1353" s="76"/>
      <c r="X1353" s="77"/>
      <c r="Y1353" s="76"/>
      <c r="Z1353" s="76"/>
      <c r="AA1353" s="76"/>
      <c r="AB1353" s="76"/>
      <c r="AC1353" s="76"/>
      <c r="AD1353" s="76"/>
      <c r="AE1353" s="76"/>
      <c r="AF1353" s="76"/>
      <c r="AG1353" s="76"/>
      <c r="AH1353" s="76"/>
      <c r="AI1353" s="76"/>
      <c r="AJ1353" s="76"/>
      <c r="AK1353" s="76"/>
      <c r="AL1353" s="77"/>
      <c r="AM1353" s="76"/>
      <c r="AN1353" s="76"/>
    </row>
    <row r="1354" spans="1:40" ht="15">
      <c r="A1354" s="83" t="e">
        <f>IF(#REF!&lt;&gt;#REF!,1,A1353+1)</f>
        <v>#REF!</v>
      </c>
      <c r="O1354" s="79"/>
      <c r="P1354" s="79"/>
      <c r="Q1354" s="76"/>
      <c r="R1354" s="77"/>
      <c r="S1354" s="76"/>
      <c r="T1354" s="77"/>
      <c r="U1354" s="76"/>
      <c r="V1354" s="77"/>
      <c r="W1354" s="76"/>
      <c r="X1354" s="77"/>
      <c r="Y1354" s="76"/>
      <c r="Z1354" s="76"/>
      <c r="AA1354" s="76"/>
      <c r="AB1354" s="76"/>
      <c r="AC1354" s="76"/>
      <c r="AD1354" s="76"/>
      <c r="AE1354" s="76"/>
      <c r="AF1354" s="76"/>
      <c r="AG1354" s="76"/>
      <c r="AH1354" s="76"/>
      <c r="AI1354" s="76"/>
      <c r="AJ1354" s="76"/>
      <c r="AK1354" s="76"/>
      <c r="AL1354" s="77"/>
      <c r="AM1354" s="76"/>
      <c r="AN1354" s="76"/>
    </row>
    <row r="1355" spans="1:40" ht="15">
      <c r="A1355" s="83" t="e">
        <f>IF(#REF!&lt;&gt;#REF!,1,A1354+1)</f>
        <v>#REF!</v>
      </c>
      <c r="O1355" s="79"/>
      <c r="P1355" s="79"/>
      <c r="Q1355" s="76"/>
      <c r="R1355" s="77"/>
      <c r="S1355" s="76"/>
      <c r="T1355" s="77"/>
      <c r="U1355" s="76"/>
      <c r="V1355" s="77"/>
      <c r="W1355" s="76"/>
      <c r="X1355" s="77"/>
      <c r="Y1355" s="76"/>
      <c r="Z1355" s="76"/>
      <c r="AA1355" s="76"/>
      <c r="AB1355" s="76"/>
      <c r="AC1355" s="76"/>
      <c r="AD1355" s="76"/>
      <c r="AE1355" s="76"/>
      <c r="AF1355" s="76"/>
      <c r="AG1355" s="76"/>
      <c r="AH1355" s="76"/>
      <c r="AI1355" s="76"/>
      <c r="AJ1355" s="76"/>
      <c r="AK1355" s="76"/>
      <c r="AL1355" s="77"/>
      <c r="AM1355" s="76"/>
      <c r="AN1355" s="76"/>
    </row>
    <row r="1356" spans="1:40" ht="15">
      <c r="A1356" s="83" t="e">
        <f>IF(#REF!&lt;&gt;#REF!,1,A1355+1)</f>
        <v>#REF!</v>
      </c>
      <c r="O1356" s="79"/>
      <c r="P1356" s="79"/>
      <c r="Q1356" s="76"/>
      <c r="R1356" s="77"/>
      <c r="S1356" s="76"/>
      <c r="T1356" s="77"/>
      <c r="U1356" s="76"/>
      <c r="V1356" s="77"/>
      <c r="W1356" s="76"/>
      <c r="X1356" s="77"/>
      <c r="Y1356" s="76"/>
      <c r="Z1356" s="76"/>
      <c r="AA1356" s="76"/>
      <c r="AB1356" s="76"/>
      <c r="AC1356" s="76"/>
      <c r="AD1356" s="76"/>
      <c r="AE1356" s="76"/>
      <c r="AF1356" s="76"/>
      <c r="AG1356" s="76"/>
      <c r="AH1356" s="76"/>
      <c r="AI1356" s="76"/>
      <c r="AJ1356" s="76"/>
      <c r="AK1356" s="76"/>
      <c r="AL1356" s="77"/>
      <c r="AM1356" s="76"/>
      <c r="AN1356" s="76"/>
    </row>
    <row r="1357" spans="1:40" ht="15">
      <c r="A1357" s="83" t="e">
        <f>IF(#REF!&lt;&gt;#REF!,1,A1356+1)</f>
        <v>#REF!</v>
      </c>
      <c r="O1357" s="79"/>
      <c r="P1357" s="79"/>
      <c r="Q1357" s="76"/>
      <c r="R1357" s="77"/>
      <c r="S1357" s="76"/>
      <c r="T1357" s="77"/>
      <c r="U1357" s="76"/>
      <c r="V1357" s="77"/>
      <c r="W1357" s="76"/>
      <c r="X1357" s="77"/>
      <c r="Y1357" s="76"/>
      <c r="Z1357" s="76"/>
      <c r="AA1357" s="76"/>
      <c r="AB1357" s="76"/>
      <c r="AC1357" s="76"/>
      <c r="AD1357" s="76"/>
      <c r="AE1357" s="76"/>
      <c r="AF1357" s="76"/>
      <c r="AG1357" s="76"/>
      <c r="AH1357" s="76"/>
      <c r="AI1357" s="76"/>
      <c r="AJ1357" s="76"/>
      <c r="AK1357" s="76"/>
      <c r="AL1357" s="77"/>
      <c r="AM1357" s="76"/>
      <c r="AN1357" s="76"/>
    </row>
    <row r="1358" spans="1:40" ht="15">
      <c r="A1358" s="83" t="e">
        <f>IF(#REF!&lt;&gt;#REF!,1,A1357+1)</f>
        <v>#REF!</v>
      </c>
      <c r="O1358" s="79"/>
      <c r="P1358" s="79"/>
      <c r="Q1358" s="76"/>
      <c r="R1358" s="77"/>
      <c r="S1358" s="76"/>
      <c r="T1358" s="77"/>
      <c r="U1358" s="76"/>
      <c r="V1358" s="77"/>
      <c r="W1358" s="76"/>
      <c r="X1358" s="77"/>
      <c r="Y1358" s="76"/>
      <c r="Z1358" s="76"/>
      <c r="AA1358" s="76"/>
      <c r="AB1358" s="76"/>
      <c r="AC1358" s="76"/>
      <c r="AD1358" s="76"/>
      <c r="AE1358" s="76"/>
      <c r="AF1358" s="76"/>
      <c r="AG1358" s="76"/>
      <c r="AH1358" s="76"/>
      <c r="AI1358" s="76"/>
      <c r="AJ1358" s="76"/>
      <c r="AK1358" s="76"/>
      <c r="AL1358" s="77"/>
      <c r="AM1358" s="76"/>
      <c r="AN1358" s="76"/>
    </row>
    <row r="1359" spans="1:40" ht="15">
      <c r="A1359" s="83" t="e">
        <f>IF(#REF!&lt;&gt;#REF!,1,A1358+1)</f>
        <v>#REF!</v>
      </c>
      <c r="O1359" s="79"/>
      <c r="P1359" s="79"/>
      <c r="Q1359" s="76"/>
      <c r="R1359" s="77"/>
      <c r="S1359" s="76"/>
      <c r="T1359" s="77"/>
      <c r="U1359" s="76"/>
      <c r="V1359" s="77"/>
      <c r="W1359" s="76"/>
      <c r="X1359" s="77"/>
      <c r="Y1359" s="76"/>
      <c r="Z1359" s="76"/>
      <c r="AA1359" s="76"/>
      <c r="AB1359" s="76"/>
      <c r="AC1359" s="76"/>
      <c r="AD1359" s="76"/>
      <c r="AE1359" s="76"/>
      <c r="AF1359" s="76"/>
      <c r="AG1359" s="76"/>
      <c r="AH1359" s="76"/>
      <c r="AI1359" s="76"/>
      <c r="AJ1359" s="76"/>
      <c r="AK1359" s="76"/>
      <c r="AL1359" s="77"/>
      <c r="AM1359" s="76"/>
      <c r="AN1359" s="76"/>
    </row>
    <row r="1360" spans="1:40" ht="15">
      <c r="A1360" s="83" t="e">
        <f>IF(#REF!&lt;&gt;#REF!,1,A1359+1)</f>
        <v>#REF!</v>
      </c>
      <c r="O1360" s="79"/>
      <c r="P1360" s="79"/>
      <c r="Q1360" s="76"/>
      <c r="R1360" s="77"/>
      <c r="S1360" s="76"/>
      <c r="T1360" s="77"/>
      <c r="U1360" s="76"/>
      <c r="V1360" s="77"/>
      <c r="W1360" s="76"/>
      <c r="X1360" s="77"/>
      <c r="Y1360" s="76"/>
      <c r="Z1360" s="76"/>
      <c r="AA1360" s="76"/>
      <c r="AB1360" s="76"/>
      <c r="AC1360" s="76"/>
      <c r="AD1360" s="76"/>
      <c r="AE1360" s="76"/>
      <c r="AF1360" s="76"/>
      <c r="AG1360" s="76"/>
      <c r="AH1360" s="76"/>
      <c r="AI1360" s="76"/>
      <c r="AJ1360" s="76"/>
      <c r="AK1360" s="76"/>
      <c r="AL1360" s="77"/>
      <c r="AM1360" s="76"/>
      <c r="AN1360" s="76"/>
    </row>
    <row r="1361" spans="1:40" ht="15">
      <c r="A1361" s="83" t="e">
        <f>IF(#REF!&lt;&gt;#REF!,1,A1360+1)</f>
        <v>#REF!</v>
      </c>
      <c r="O1361" s="79"/>
      <c r="P1361" s="79"/>
      <c r="Q1361" s="76"/>
      <c r="R1361" s="77"/>
      <c r="S1361" s="76"/>
      <c r="T1361" s="77"/>
      <c r="U1361" s="76"/>
      <c r="V1361" s="77"/>
      <c r="W1361" s="76"/>
      <c r="X1361" s="77"/>
      <c r="Y1361" s="76"/>
      <c r="Z1361" s="76"/>
      <c r="AA1361" s="76"/>
      <c r="AB1361" s="76"/>
      <c r="AC1361" s="76"/>
      <c r="AD1361" s="76"/>
      <c r="AE1361" s="76"/>
      <c r="AF1361" s="76"/>
      <c r="AG1361" s="76"/>
      <c r="AH1361" s="76"/>
      <c r="AI1361" s="76"/>
      <c r="AJ1361" s="76"/>
      <c r="AK1361" s="76"/>
      <c r="AL1361" s="77"/>
      <c r="AM1361" s="76"/>
      <c r="AN1361" s="76"/>
    </row>
    <row r="1362" spans="1:40" ht="15">
      <c r="A1362" s="83" t="e">
        <f>IF(#REF!&lt;&gt;#REF!,1,A1361+1)</f>
        <v>#REF!</v>
      </c>
      <c r="O1362" s="79"/>
      <c r="P1362" s="79"/>
      <c r="Q1362" s="76"/>
      <c r="R1362" s="77"/>
      <c r="S1362" s="76"/>
      <c r="T1362" s="77"/>
      <c r="U1362" s="76"/>
      <c r="V1362" s="77"/>
      <c r="W1362" s="76"/>
      <c r="X1362" s="77"/>
      <c r="Y1362" s="76"/>
      <c r="Z1362" s="76"/>
      <c r="AA1362" s="76"/>
      <c r="AB1362" s="76"/>
      <c r="AC1362" s="76"/>
      <c r="AD1362" s="76"/>
      <c r="AE1362" s="76"/>
      <c r="AF1362" s="76"/>
      <c r="AG1362" s="76"/>
      <c r="AH1362" s="76"/>
      <c r="AI1362" s="76"/>
      <c r="AJ1362" s="76"/>
      <c r="AK1362" s="76"/>
      <c r="AL1362" s="77"/>
      <c r="AM1362" s="76"/>
      <c r="AN1362" s="76"/>
    </row>
    <row r="1363" spans="1:40" ht="15">
      <c r="A1363" s="83" t="e">
        <f>IF(#REF!&lt;&gt;#REF!,1,A1362+1)</f>
        <v>#REF!</v>
      </c>
      <c r="O1363" s="79"/>
      <c r="P1363" s="79"/>
      <c r="Q1363" s="76"/>
      <c r="R1363" s="77"/>
      <c r="S1363" s="76"/>
      <c r="T1363" s="77"/>
      <c r="U1363" s="76"/>
      <c r="V1363" s="77"/>
      <c r="W1363" s="76"/>
      <c r="X1363" s="77"/>
      <c r="Y1363" s="76"/>
      <c r="Z1363" s="76"/>
      <c r="AA1363" s="76"/>
      <c r="AB1363" s="76"/>
      <c r="AC1363" s="76"/>
      <c r="AD1363" s="76"/>
      <c r="AE1363" s="76"/>
      <c r="AF1363" s="76"/>
      <c r="AG1363" s="76"/>
      <c r="AH1363" s="76"/>
      <c r="AI1363" s="76"/>
      <c r="AJ1363" s="76"/>
      <c r="AK1363" s="76"/>
      <c r="AL1363" s="77"/>
      <c r="AM1363" s="76"/>
      <c r="AN1363" s="76"/>
    </row>
    <row r="1364" spans="1:40" ht="15">
      <c r="A1364" s="83" t="e">
        <f>IF(#REF!&lt;&gt;#REF!,1,A1363+1)</f>
        <v>#REF!</v>
      </c>
      <c r="O1364" s="79"/>
      <c r="P1364" s="79"/>
      <c r="Q1364" s="76"/>
      <c r="R1364" s="77"/>
      <c r="S1364" s="76"/>
      <c r="T1364" s="77"/>
      <c r="U1364" s="76"/>
      <c r="V1364" s="77"/>
      <c r="W1364" s="76"/>
      <c r="X1364" s="77"/>
      <c r="Y1364" s="76"/>
      <c r="Z1364" s="76"/>
      <c r="AA1364" s="76"/>
      <c r="AB1364" s="76"/>
      <c r="AC1364" s="76"/>
      <c r="AD1364" s="76"/>
      <c r="AE1364" s="76"/>
      <c r="AF1364" s="76"/>
      <c r="AG1364" s="76"/>
      <c r="AH1364" s="76"/>
      <c r="AI1364" s="76"/>
      <c r="AJ1364" s="76"/>
      <c r="AK1364" s="76"/>
      <c r="AL1364" s="77"/>
      <c r="AM1364" s="76"/>
      <c r="AN1364" s="76"/>
    </row>
    <row r="1365" spans="1:40" ht="15">
      <c r="A1365" s="83" t="e">
        <f>IF(#REF!&lt;&gt;#REF!,1,A1364+1)</f>
        <v>#REF!</v>
      </c>
      <c r="O1365" s="79"/>
      <c r="P1365" s="79"/>
      <c r="Q1365" s="76"/>
      <c r="R1365" s="77"/>
      <c r="S1365" s="76"/>
      <c r="T1365" s="77"/>
      <c r="U1365" s="76"/>
      <c r="V1365" s="77"/>
      <c r="W1365" s="76"/>
      <c r="X1365" s="77"/>
      <c r="Y1365" s="76"/>
      <c r="Z1365" s="76"/>
      <c r="AA1365" s="76"/>
      <c r="AB1365" s="76"/>
      <c r="AC1365" s="76"/>
      <c r="AD1365" s="76"/>
      <c r="AE1365" s="76"/>
      <c r="AF1365" s="76"/>
      <c r="AG1365" s="76"/>
      <c r="AH1365" s="76"/>
      <c r="AI1365" s="76"/>
      <c r="AJ1365" s="76"/>
      <c r="AK1365" s="76"/>
      <c r="AL1365" s="77"/>
      <c r="AM1365" s="76"/>
      <c r="AN1365" s="76"/>
    </row>
    <row r="1366" spans="1:40" ht="15">
      <c r="A1366" s="83" t="e">
        <f>IF(#REF!&lt;&gt;#REF!,1,A1365+1)</f>
        <v>#REF!</v>
      </c>
      <c r="O1366" s="79"/>
      <c r="P1366" s="79"/>
      <c r="Q1366" s="76"/>
      <c r="R1366" s="77"/>
      <c r="S1366" s="76"/>
      <c r="T1366" s="77"/>
      <c r="U1366" s="76"/>
      <c r="V1366" s="77"/>
      <c r="W1366" s="76"/>
      <c r="X1366" s="77"/>
      <c r="Y1366" s="76"/>
      <c r="Z1366" s="76"/>
      <c r="AA1366" s="76"/>
      <c r="AB1366" s="76"/>
      <c r="AC1366" s="76"/>
      <c r="AD1366" s="76"/>
      <c r="AE1366" s="76"/>
      <c r="AF1366" s="76"/>
      <c r="AG1366" s="76"/>
      <c r="AH1366" s="76"/>
      <c r="AI1366" s="76"/>
      <c r="AJ1366" s="76"/>
      <c r="AK1366" s="76"/>
      <c r="AL1366" s="77"/>
      <c r="AM1366" s="76"/>
      <c r="AN1366" s="76"/>
    </row>
    <row r="1367" spans="1:40" ht="15">
      <c r="A1367" s="83" t="e">
        <f>IF(#REF!&lt;&gt;#REF!,1,A1366+1)</f>
        <v>#REF!</v>
      </c>
      <c r="O1367" s="79"/>
      <c r="P1367" s="79"/>
      <c r="Q1367" s="76"/>
      <c r="R1367" s="77"/>
      <c r="S1367" s="76"/>
      <c r="T1367" s="77"/>
      <c r="U1367" s="76"/>
      <c r="V1367" s="77"/>
      <c r="W1367" s="76"/>
      <c r="X1367" s="77"/>
      <c r="Y1367" s="76"/>
      <c r="Z1367" s="76"/>
      <c r="AA1367" s="76"/>
      <c r="AB1367" s="76"/>
      <c r="AC1367" s="76"/>
      <c r="AD1367" s="76"/>
      <c r="AE1367" s="76"/>
      <c r="AF1367" s="76"/>
      <c r="AG1367" s="76"/>
      <c r="AH1367" s="76"/>
      <c r="AI1367" s="76"/>
      <c r="AJ1367" s="76"/>
      <c r="AK1367" s="76"/>
      <c r="AL1367" s="77"/>
      <c r="AM1367" s="76"/>
      <c r="AN1367" s="76"/>
    </row>
    <row r="1368" spans="1:40" ht="15">
      <c r="A1368" s="83" t="e">
        <f>IF(#REF!&lt;&gt;#REF!,1,A1367+1)</f>
        <v>#REF!</v>
      </c>
      <c r="O1368" s="79"/>
      <c r="P1368" s="79"/>
      <c r="Q1368" s="76"/>
      <c r="R1368" s="77"/>
      <c r="S1368" s="76"/>
      <c r="T1368" s="77"/>
      <c r="U1368" s="76"/>
      <c r="V1368" s="77"/>
      <c r="W1368" s="76"/>
      <c r="X1368" s="77"/>
      <c r="Y1368" s="76"/>
      <c r="Z1368" s="76"/>
      <c r="AA1368" s="76"/>
      <c r="AB1368" s="76"/>
      <c r="AC1368" s="76"/>
      <c r="AD1368" s="76"/>
      <c r="AE1368" s="76"/>
      <c r="AF1368" s="76"/>
      <c r="AG1368" s="76"/>
      <c r="AH1368" s="76"/>
      <c r="AI1368" s="76"/>
      <c r="AJ1368" s="76"/>
      <c r="AK1368" s="76"/>
      <c r="AL1368" s="77"/>
      <c r="AM1368" s="76"/>
      <c r="AN1368" s="76"/>
    </row>
    <row r="1369" spans="1:40" ht="15">
      <c r="A1369" s="83" t="e">
        <f>IF(#REF!&lt;&gt;#REF!,1,A1368+1)</f>
        <v>#REF!</v>
      </c>
      <c r="O1369" s="79"/>
      <c r="P1369" s="79"/>
      <c r="Q1369" s="76"/>
      <c r="R1369" s="77"/>
      <c r="S1369" s="76"/>
      <c r="T1369" s="77"/>
      <c r="U1369" s="76"/>
      <c r="V1369" s="77"/>
      <c r="W1369" s="76"/>
      <c r="X1369" s="77"/>
      <c r="Y1369" s="76"/>
      <c r="Z1369" s="76"/>
      <c r="AA1369" s="76"/>
      <c r="AB1369" s="76"/>
      <c r="AC1369" s="76"/>
      <c r="AD1369" s="76"/>
      <c r="AE1369" s="76"/>
      <c r="AF1369" s="76"/>
      <c r="AG1369" s="76"/>
      <c r="AH1369" s="76"/>
      <c r="AI1369" s="76"/>
      <c r="AJ1369" s="76"/>
      <c r="AK1369" s="76"/>
      <c r="AL1369" s="77"/>
      <c r="AM1369" s="76"/>
      <c r="AN1369" s="76"/>
    </row>
    <row r="1370" spans="1:40" ht="15">
      <c r="A1370" s="83" t="e">
        <f>IF(#REF!&lt;&gt;#REF!,1,A1369+1)</f>
        <v>#REF!</v>
      </c>
      <c r="O1370" s="79"/>
      <c r="P1370" s="79"/>
      <c r="Q1370" s="76"/>
      <c r="R1370" s="77"/>
      <c r="S1370" s="76"/>
      <c r="T1370" s="77"/>
      <c r="U1370" s="76"/>
      <c r="V1370" s="77"/>
      <c r="W1370" s="76"/>
      <c r="X1370" s="77"/>
      <c r="Y1370" s="76"/>
      <c r="Z1370" s="76"/>
      <c r="AA1370" s="76"/>
      <c r="AB1370" s="76"/>
      <c r="AC1370" s="76"/>
      <c r="AD1370" s="76"/>
      <c r="AE1370" s="76"/>
      <c r="AF1370" s="76"/>
      <c r="AG1370" s="76"/>
      <c r="AH1370" s="76"/>
      <c r="AI1370" s="76"/>
      <c r="AJ1370" s="76"/>
      <c r="AK1370" s="76"/>
      <c r="AL1370" s="77"/>
      <c r="AM1370" s="76"/>
      <c r="AN1370" s="76"/>
    </row>
    <row r="1371" spans="1:40" ht="15">
      <c r="A1371" s="83" t="e">
        <f>IF(#REF!&lt;&gt;#REF!,1,A1370+1)</f>
        <v>#REF!</v>
      </c>
      <c r="O1371" s="79"/>
      <c r="P1371" s="79"/>
      <c r="Q1371" s="76"/>
      <c r="R1371" s="77"/>
      <c r="S1371" s="76"/>
      <c r="T1371" s="77"/>
      <c r="U1371" s="76"/>
      <c r="V1371" s="77"/>
      <c r="W1371" s="76"/>
      <c r="X1371" s="77"/>
      <c r="Y1371" s="76"/>
      <c r="Z1371" s="76"/>
      <c r="AA1371" s="76"/>
      <c r="AB1371" s="76"/>
      <c r="AC1371" s="76"/>
      <c r="AD1371" s="76"/>
      <c r="AE1371" s="76"/>
      <c r="AF1371" s="76"/>
      <c r="AG1371" s="76"/>
      <c r="AH1371" s="76"/>
      <c r="AI1371" s="76"/>
      <c r="AJ1371" s="76"/>
      <c r="AK1371" s="76"/>
      <c r="AL1371" s="77"/>
      <c r="AM1371" s="76"/>
      <c r="AN1371" s="76"/>
    </row>
    <row r="1372" spans="1:40" ht="15">
      <c r="A1372" s="83" t="e">
        <f>IF(#REF!&lt;&gt;#REF!,1,A1371+1)</f>
        <v>#REF!</v>
      </c>
      <c r="O1372" s="79"/>
      <c r="P1372" s="79"/>
      <c r="Q1372" s="76"/>
      <c r="R1372" s="77"/>
      <c r="S1372" s="76"/>
      <c r="T1372" s="77"/>
      <c r="U1372" s="76"/>
      <c r="V1372" s="77"/>
      <c r="W1372" s="76"/>
      <c r="X1372" s="77"/>
      <c r="Y1372" s="76"/>
      <c r="Z1372" s="76"/>
      <c r="AA1372" s="76"/>
      <c r="AB1372" s="76"/>
      <c r="AC1372" s="76"/>
      <c r="AD1372" s="76"/>
      <c r="AE1372" s="76"/>
      <c r="AF1372" s="76"/>
      <c r="AG1372" s="76"/>
      <c r="AH1372" s="76"/>
      <c r="AI1372" s="76"/>
      <c r="AJ1372" s="76"/>
      <c r="AK1372" s="76"/>
      <c r="AL1372" s="77"/>
      <c r="AM1372" s="76"/>
      <c r="AN1372" s="76"/>
    </row>
    <row r="1373" spans="1:40" ht="15">
      <c r="A1373" s="83" t="e">
        <f>IF(#REF!&lt;&gt;#REF!,1,A1372+1)</f>
        <v>#REF!</v>
      </c>
      <c r="O1373" s="79"/>
      <c r="P1373" s="79"/>
      <c r="Q1373" s="76"/>
      <c r="R1373" s="77"/>
      <c r="S1373" s="76"/>
      <c r="T1373" s="77"/>
      <c r="U1373" s="76"/>
      <c r="V1373" s="77"/>
      <c r="W1373" s="76"/>
      <c r="X1373" s="77"/>
      <c r="Y1373" s="76"/>
      <c r="Z1373" s="76"/>
      <c r="AA1373" s="76"/>
      <c r="AB1373" s="76"/>
      <c r="AC1373" s="76"/>
      <c r="AD1373" s="76"/>
      <c r="AE1373" s="76"/>
      <c r="AF1373" s="76"/>
      <c r="AG1373" s="76"/>
      <c r="AH1373" s="76"/>
      <c r="AI1373" s="76"/>
      <c r="AJ1373" s="76"/>
      <c r="AK1373" s="76"/>
      <c r="AL1373" s="77"/>
      <c r="AM1373" s="76"/>
      <c r="AN1373" s="76"/>
    </row>
    <row r="1374" spans="1:40" ht="15">
      <c r="A1374" s="83" t="e">
        <f>IF(#REF!&lt;&gt;#REF!,1,A1373+1)</f>
        <v>#REF!</v>
      </c>
      <c r="O1374" s="79"/>
      <c r="P1374" s="79"/>
      <c r="Q1374" s="76"/>
      <c r="R1374" s="77"/>
      <c r="S1374" s="76"/>
      <c r="T1374" s="77"/>
      <c r="U1374" s="76"/>
      <c r="V1374" s="77"/>
      <c r="W1374" s="76"/>
      <c r="X1374" s="77"/>
      <c r="Y1374" s="76"/>
      <c r="Z1374" s="76"/>
      <c r="AA1374" s="76"/>
      <c r="AB1374" s="76"/>
      <c r="AC1374" s="76"/>
      <c r="AD1374" s="76"/>
      <c r="AE1374" s="76"/>
      <c r="AF1374" s="76"/>
      <c r="AG1374" s="76"/>
      <c r="AH1374" s="76"/>
      <c r="AI1374" s="76"/>
      <c r="AJ1374" s="76"/>
      <c r="AK1374" s="76"/>
      <c r="AL1374" s="77"/>
      <c r="AM1374" s="76"/>
      <c r="AN1374" s="76"/>
    </row>
    <row r="1375" spans="1:40" ht="15">
      <c r="A1375" s="83" t="e">
        <f>IF(#REF!&lt;&gt;#REF!,1,A1374+1)</f>
        <v>#REF!</v>
      </c>
      <c r="O1375" s="79"/>
      <c r="P1375" s="79"/>
      <c r="Q1375" s="76"/>
      <c r="R1375" s="77"/>
      <c r="S1375" s="76"/>
      <c r="T1375" s="77"/>
      <c r="U1375" s="76"/>
      <c r="V1375" s="77"/>
      <c r="W1375" s="76"/>
      <c r="X1375" s="77"/>
      <c r="Y1375" s="76"/>
      <c r="Z1375" s="76"/>
      <c r="AA1375" s="76"/>
      <c r="AB1375" s="76"/>
      <c r="AC1375" s="76"/>
      <c r="AD1375" s="76"/>
      <c r="AE1375" s="76"/>
      <c r="AF1375" s="76"/>
      <c r="AG1375" s="76"/>
      <c r="AH1375" s="76"/>
      <c r="AI1375" s="76"/>
      <c r="AJ1375" s="76"/>
      <c r="AK1375" s="76"/>
      <c r="AL1375" s="77"/>
      <c r="AM1375" s="76"/>
      <c r="AN1375" s="76"/>
    </row>
    <row r="1376" spans="1:40" ht="15">
      <c r="A1376" s="83" t="e">
        <f>IF(#REF!&lt;&gt;#REF!,1,A1375+1)</f>
        <v>#REF!</v>
      </c>
      <c r="O1376" s="79"/>
      <c r="P1376" s="79"/>
      <c r="Q1376" s="76"/>
      <c r="R1376" s="77"/>
      <c r="S1376" s="76"/>
      <c r="T1376" s="77"/>
      <c r="U1376" s="76"/>
      <c r="V1376" s="77"/>
      <c r="W1376" s="76"/>
      <c r="X1376" s="77"/>
      <c r="Y1376" s="76"/>
      <c r="Z1376" s="76"/>
      <c r="AA1376" s="76"/>
      <c r="AB1376" s="76"/>
      <c r="AC1376" s="76"/>
      <c r="AD1376" s="76"/>
      <c r="AE1376" s="76"/>
      <c r="AF1376" s="76"/>
      <c r="AG1376" s="76"/>
      <c r="AH1376" s="76"/>
      <c r="AI1376" s="76"/>
      <c r="AJ1376" s="76"/>
      <c r="AK1376" s="76"/>
      <c r="AL1376" s="77"/>
      <c r="AM1376" s="76"/>
      <c r="AN1376" s="76"/>
    </row>
    <row r="1377" spans="1:40" ht="15">
      <c r="A1377" s="83" t="e">
        <f>IF(#REF!&lt;&gt;#REF!,1,A1376+1)</f>
        <v>#REF!</v>
      </c>
      <c r="O1377" s="79"/>
      <c r="P1377" s="79"/>
      <c r="Q1377" s="76"/>
      <c r="R1377" s="77"/>
      <c r="S1377" s="76"/>
      <c r="T1377" s="77"/>
      <c r="U1377" s="76"/>
      <c r="V1377" s="77"/>
      <c r="W1377" s="76"/>
      <c r="X1377" s="77"/>
      <c r="Y1377" s="76"/>
      <c r="Z1377" s="76"/>
      <c r="AA1377" s="76"/>
      <c r="AB1377" s="76"/>
      <c r="AC1377" s="76"/>
      <c r="AD1377" s="76"/>
      <c r="AE1377" s="76"/>
      <c r="AF1377" s="76"/>
      <c r="AG1377" s="76"/>
      <c r="AH1377" s="76"/>
      <c r="AI1377" s="76"/>
      <c r="AJ1377" s="76"/>
      <c r="AK1377" s="76"/>
      <c r="AL1377" s="77"/>
      <c r="AM1377" s="76"/>
      <c r="AN1377" s="76"/>
    </row>
    <row r="1378" spans="1:40" ht="15">
      <c r="A1378" s="83" t="e">
        <f>IF(#REF!&lt;&gt;#REF!,1,A1377+1)</f>
        <v>#REF!</v>
      </c>
      <c r="O1378" s="79"/>
      <c r="P1378" s="79"/>
      <c r="Q1378" s="76"/>
      <c r="R1378" s="77"/>
      <c r="S1378" s="76"/>
      <c r="T1378" s="77"/>
      <c r="U1378" s="76"/>
      <c r="V1378" s="77"/>
      <c r="W1378" s="76"/>
      <c r="X1378" s="77"/>
      <c r="Y1378" s="76"/>
      <c r="Z1378" s="76"/>
      <c r="AA1378" s="76"/>
      <c r="AB1378" s="76"/>
      <c r="AC1378" s="76"/>
      <c r="AD1378" s="76"/>
      <c r="AE1378" s="76"/>
      <c r="AF1378" s="76"/>
      <c r="AG1378" s="76"/>
      <c r="AH1378" s="76"/>
      <c r="AI1378" s="76"/>
      <c r="AJ1378" s="76"/>
      <c r="AK1378" s="76"/>
      <c r="AL1378" s="77"/>
      <c r="AM1378" s="76"/>
      <c r="AN1378" s="76"/>
    </row>
    <row r="1379" spans="1:40" ht="15">
      <c r="A1379" s="83" t="e">
        <f>IF(#REF!&lt;&gt;#REF!,1,A1378+1)</f>
        <v>#REF!</v>
      </c>
      <c r="O1379" s="79"/>
      <c r="P1379" s="79"/>
      <c r="Q1379" s="76"/>
      <c r="R1379" s="77"/>
      <c r="S1379" s="76"/>
      <c r="T1379" s="77"/>
      <c r="U1379" s="76"/>
      <c r="V1379" s="77"/>
      <c r="W1379" s="76"/>
      <c r="X1379" s="77"/>
      <c r="Y1379" s="76"/>
      <c r="Z1379" s="76"/>
      <c r="AA1379" s="76"/>
      <c r="AB1379" s="76"/>
      <c r="AC1379" s="76"/>
      <c r="AD1379" s="76"/>
      <c r="AE1379" s="76"/>
      <c r="AF1379" s="76"/>
      <c r="AG1379" s="76"/>
      <c r="AH1379" s="76"/>
      <c r="AI1379" s="76"/>
      <c r="AJ1379" s="76"/>
      <c r="AK1379" s="76"/>
      <c r="AL1379" s="77"/>
      <c r="AM1379" s="76"/>
      <c r="AN1379" s="76"/>
    </row>
    <row r="1380" spans="1:40" ht="15">
      <c r="A1380" s="83" t="e">
        <f>IF(#REF!&lt;&gt;#REF!,1,A1379+1)</f>
        <v>#REF!</v>
      </c>
      <c r="O1380" s="79"/>
      <c r="P1380" s="79"/>
      <c r="Q1380" s="76"/>
      <c r="R1380" s="77"/>
      <c r="S1380" s="76"/>
      <c r="T1380" s="77"/>
      <c r="U1380" s="76"/>
      <c r="V1380" s="77"/>
      <c r="W1380" s="76"/>
      <c r="X1380" s="77"/>
      <c r="Y1380" s="76"/>
      <c r="Z1380" s="76"/>
      <c r="AA1380" s="76"/>
      <c r="AB1380" s="76"/>
      <c r="AC1380" s="76"/>
      <c r="AD1380" s="76"/>
      <c r="AE1380" s="76"/>
      <c r="AF1380" s="76"/>
      <c r="AG1380" s="76"/>
      <c r="AH1380" s="76"/>
      <c r="AI1380" s="76"/>
      <c r="AJ1380" s="76"/>
      <c r="AK1380" s="76"/>
      <c r="AL1380" s="77"/>
      <c r="AM1380" s="76"/>
      <c r="AN1380" s="76"/>
    </row>
    <row r="1381" spans="1:40" ht="15">
      <c r="A1381" s="83" t="e">
        <f>IF(#REF!&lt;&gt;#REF!,1,A1380+1)</f>
        <v>#REF!</v>
      </c>
      <c r="O1381" s="79"/>
      <c r="P1381" s="79"/>
      <c r="Q1381" s="76"/>
      <c r="R1381" s="77"/>
      <c r="S1381" s="76"/>
      <c r="T1381" s="77"/>
      <c r="U1381" s="76"/>
      <c r="V1381" s="77"/>
      <c r="W1381" s="76"/>
      <c r="X1381" s="77"/>
      <c r="Y1381" s="76"/>
      <c r="Z1381" s="76"/>
      <c r="AA1381" s="76"/>
      <c r="AB1381" s="76"/>
      <c r="AC1381" s="76"/>
      <c r="AD1381" s="76"/>
      <c r="AE1381" s="76"/>
      <c r="AF1381" s="76"/>
      <c r="AG1381" s="76"/>
      <c r="AH1381" s="76"/>
      <c r="AI1381" s="76"/>
      <c r="AJ1381" s="76"/>
      <c r="AK1381" s="76"/>
      <c r="AL1381" s="77"/>
      <c r="AM1381" s="76"/>
      <c r="AN1381" s="76"/>
    </row>
    <row r="1382" spans="1:40" ht="15">
      <c r="A1382" s="83" t="e">
        <f>IF(#REF!&lt;&gt;#REF!,1,A1381+1)</f>
        <v>#REF!</v>
      </c>
      <c r="O1382" s="79"/>
      <c r="P1382" s="79"/>
      <c r="Q1382" s="76"/>
      <c r="R1382" s="77"/>
      <c r="S1382" s="76"/>
      <c r="T1382" s="77"/>
      <c r="U1382" s="76"/>
      <c r="V1382" s="77"/>
      <c r="W1382" s="76"/>
      <c r="X1382" s="77"/>
      <c r="Y1382" s="76"/>
      <c r="Z1382" s="76"/>
      <c r="AA1382" s="76"/>
      <c r="AB1382" s="76"/>
      <c r="AC1382" s="76"/>
      <c r="AD1382" s="76"/>
      <c r="AE1382" s="76"/>
      <c r="AF1382" s="76"/>
      <c r="AG1382" s="76"/>
      <c r="AH1382" s="76"/>
      <c r="AI1382" s="76"/>
      <c r="AJ1382" s="76"/>
      <c r="AK1382" s="76"/>
      <c r="AL1382" s="77"/>
      <c r="AM1382" s="76"/>
      <c r="AN1382" s="76"/>
    </row>
    <row r="1383" spans="1:40" ht="15">
      <c r="A1383" s="83" t="e">
        <f>IF(#REF!&lt;&gt;#REF!,1,A1382+1)</f>
        <v>#REF!</v>
      </c>
      <c r="O1383" s="79"/>
      <c r="P1383" s="79"/>
      <c r="Q1383" s="76"/>
      <c r="R1383" s="77"/>
      <c r="S1383" s="76"/>
      <c r="T1383" s="77"/>
      <c r="U1383" s="76"/>
      <c r="V1383" s="77"/>
      <c r="W1383" s="76"/>
      <c r="X1383" s="77"/>
      <c r="Y1383" s="76"/>
      <c r="Z1383" s="76"/>
      <c r="AA1383" s="76"/>
      <c r="AB1383" s="76"/>
      <c r="AC1383" s="76"/>
      <c r="AD1383" s="76"/>
      <c r="AE1383" s="76"/>
      <c r="AF1383" s="76"/>
      <c r="AG1383" s="76"/>
      <c r="AH1383" s="76"/>
      <c r="AI1383" s="76"/>
      <c r="AJ1383" s="76"/>
      <c r="AK1383" s="76"/>
      <c r="AL1383" s="77"/>
      <c r="AM1383" s="76"/>
      <c r="AN1383" s="76"/>
    </row>
    <row r="1384" spans="1:40" ht="15">
      <c r="A1384" s="83" t="e">
        <f>IF(#REF!&lt;&gt;#REF!,1,A1383+1)</f>
        <v>#REF!</v>
      </c>
      <c r="O1384" s="79"/>
      <c r="P1384" s="79"/>
      <c r="Q1384" s="76"/>
      <c r="R1384" s="77"/>
      <c r="S1384" s="76"/>
      <c r="T1384" s="77"/>
      <c r="U1384" s="76"/>
      <c r="V1384" s="77"/>
      <c r="W1384" s="76"/>
      <c r="X1384" s="77"/>
      <c r="Y1384" s="76"/>
      <c r="Z1384" s="76"/>
      <c r="AA1384" s="76"/>
      <c r="AB1384" s="76"/>
      <c r="AC1384" s="76"/>
      <c r="AD1384" s="76"/>
      <c r="AE1384" s="76"/>
      <c r="AF1384" s="76"/>
      <c r="AG1384" s="76"/>
      <c r="AH1384" s="76"/>
      <c r="AI1384" s="76"/>
      <c r="AJ1384" s="76"/>
      <c r="AK1384" s="76"/>
      <c r="AL1384" s="77"/>
      <c r="AM1384" s="76"/>
      <c r="AN1384" s="76"/>
    </row>
    <row r="1385" spans="1:40" ht="15">
      <c r="A1385" s="83" t="e">
        <f>IF(#REF!&lt;&gt;#REF!,1,A1384+1)</f>
        <v>#REF!</v>
      </c>
      <c r="O1385" s="79"/>
      <c r="P1385" s="79"/>
      <c r="Q1385" s="76"/>
      <c r="R1385" s="77"/>
      <c r="S1385" s="76"/>
      <c r="T1385" s="77"/>
      <c r="U1385" s="76"/>
      <c r="V1385" s="77"/>
      <c r="W1385" s="76"/>
      <c r="X1385" s="77"/>
      <c r="Y1385" s="76"/>
      <c r="Z1385" s="76"/>
      <c r="AA1385" s="76"/>
      <c r="AB1385" s="76"/>
      <c r="AC1385" s="76"/>
      <c r="AD1385" s="76"/>
      <c r="AE1385" s="76"/>
      <c r="AF1385" s="76"/>
      <c r="AG1385" s="76"/>
      <c r="AH1385" s="76"/>
      <c r="AI1385" s="76"/>
      <c r="AJ1385" s="76"/>
      <c r="AK1385" s="76"/>
      <c r="AL1385" s="77"/>
      <c r="AM1385" s="76"/>
      <c r="AN1385" s="76"/>
    </row>
    <row r="1386" spans="1:40" ht="15">
      <c r="A1386" s="83" t="e">
        <f>IF(#REF!&lt;&gt;#REF!,1,A1385+1)</f>
        <v>#REF!</v>
      </c>
      <c r="O1386" s="79"/>
      <c r="P1386" s="79"/>
      <c r="Q1386" s="76"/>
      <c r="R1386" s="77"/>
      <c r="S1386" s="76"/>
      <c r="T1386" s="77"/>
      <c r="U1386" s="76"/>
      <c r="V1386" s="77"/>
      <c r="W1386" s="76"/>
      <c r="X1386" s="77"/>
      <c r="Y1386" s="76"/>
      <c r="Z1386" s="76"/>
      <c r="AA1386" s="76"/>
      <c r="AB1386" s="76"/>
      <c r="AC1386" s="76"/>
      <c r="AD1386" s="76"/>
      <c r="AE1386" s="76"/>
      <c r="AF1386" s="76"/>
      <c r="AG1386" s="76"/>
      <c r="AH1386" s="76"/>
      <c r="AI1386" s="76"/>
      <c r="AJ1386" s="76"/>
      <c r="AK1386" s="76"/>
      <c r="AL1386" s="77"/>
      <c r="AM1386" s="76"/>
      <c r="AN1386" s="76"/>
    </row>
    <row r="1387" spans="1:40" ht="15">
      <c r="A1387" s="83" t="e">
        <f>IF(#REF!&lt;&gt;#REF!,1,A1386+1)</f>
        <v>#REF!</v>
      </c>
      <c r="O1387" s="79"/>
      <c r="P1387" s="79"/>
      <c r="Q1387" s="76"/>
      <c r="R1387" s="77"/>
      <c r="S1387" s="76"/>
      <c r="T1387" s="77"/>
      <c r="U1387" s="76"/>
      <c r="V1387" s="77"/>
      <c r="W1387" s="76"/>
      <c r="X1387" s="77"/>
      <c r="Y1387" s="76"/>
      <c r="Z1387" s="76"/>
      <c r="AA1387" s="76"/>
      <c r="AB1387" s="76"/>
      <c r="AC1387" s="76"/>
      <c r="AD1387" s="76"/>
      <c r="AE1387" s="76"/>
      <c r="AF1387" s="76"/>
      <c r="AG1387" s="76"/>
      <c r="AH1387" s="76"/>
      <c r="AI1387" s="76"/>
      <c r="AJ1387" s="76"/>
      <c r="AK1387" s="76"/>
      <c r="AL1387" s="77"/>
      <c r="AM1387" s="76"/>
      <c r="AN1387" s="76"/>
    </row>
    <row r="1388" spans="1:40" ht="15">
      <c r="A1388" s="83" t="e">
        <f>IF(#REF!&lt;&gt;#REF!,1,A1387+1)</f>
        <v>#REF!</v>
      </c>
      <c r="O1388" s="79"/>
      <c r="P1388" s="79"/>
      <c r="Q1388" s="76"/>
      <c r="R1388" s="77"/>
      <c r="S1388" s="76"/>
      <c r="T1388" s="77"/>
      <c r="U1388" s="76"/>
      <c r="V1388" s="77"/>
      <c r="W1388" s="76"/>
      <c r="X1388" s="77"/>
      <c r="Y1388" s="76"/>
      <c r="Z1388" s="76"/>
      <c r="AA1388" s="76"/>
      <c r="AB1388" s="76"/>
      <c r="AC1388" s="76"/>
      <c r="AD1388" s="76"/>
      <c r="AE1388" s="76"/>
      <c r="AF1388" s="76"/>
      <c r="AG1388" s="76"/>
      <c r="AH1388" s="76"/>
      <c r="AI1388" s="76"/>
      <c r="AJ1388" s="76"/>
      <c r="AK1388" s="76"/>
      <c r="AL1388" s="77"/>
      <c r="AM1388" s="76"/>
      <c r="AN1388" s="76"/>
    </row>
    <row r="1389" spans="1:40" ht="15">
      <c r="A1389" s="83" t="e">
        <f>IF(#REF!&lt;&gt;#REF!,1,A1388+1)</f>
        <v>#REF!</v>
      </c>
      <c r="O1389" s="79"/>
      <c r="P1389" s="79"/>
      <c r="Q1389" s="76"/>
      <c r="R1389" s="77"/>
      <c r="S1389" s="76"/>
      <c r="T1389" s="77"/>
      <c r="U1389" s="76"/>
      <c r="V1389" s="77"/>
      <c r="W1389" s="76"/>
      <c r="X1389" s="77"/>
      <c r="Y1389" s="76"/>
      <c r="Z1389" s="76"/>
      <c r="AA1389" s="76"/>
      <c r="AB1389" s="76"/>
      <c r="AC1389" s="76"/>
      <c r="AD1389" s="76"/>
      <c r="AE1389" s="76"/>
      <c r="AF1389" s="76"/>
      <c r="AG1389" s="76"/>
      <c r="AH1389" s="76"/>
      <c r="AI1389" s="76"/>
      <c r="AJ1389" s="76"/>
      <c r="AK1389" s="76"/>
      <c r="AL1389" s="77"/>
      <c r="AM1389" s="76"/>
      <c r="AN1389" s="76"/>
    </row>
    <row r="1390" spans="1:40" ht="15">
      <c r="A1390" s="83" t="e">
        <f>IF(#REF!&lt;&gt;#REF!,1,A1389+1)</f>
        <v>#REF!</v>
      </c>
      <c r="O1390" s="79"/>
      <c r="P1390" s="79"/>
      <c r="Q1390" s="76"/>
      <c r="R1390" s="77"/>
      <c r="S1390" s="76"/>
      <c r="T1390" s="77"/>
      <c r="U1390" s="76"/>
      <c r="V1390" s="77"/>
      <c r="W1390" s="76"/>
      <c r="X1390" s="77"/>
      <c r="Y1390" s="76"/>
      <c r="Z1390" s="76"/>
      <c r="AA1390" s="76"/>
      <c r="AB1390" s="76"/>
      <c r="AC1390" s="76"/>
      <c r="AD1390" s="76"/>
      <c r="AE1390" s="76"/>
      <c r="AF1390" s="76"/>
      <c r="AG1390" s="76"/>
      <c r="AH1390" s="76"/>
      <c r="AI1390" s="76"/>
      <c r="AJ1390" s="76"/>
      <c r="AK1390" s="76"/>
      <c r="AL1390" s="77"/>
      <c r="AM1390" s="76"/>
      <c r="AN1390" s="76"/>
    </row>
    <row r="1391" spans="1:40" ht="15">
      <c r="A1391" s="83" t="e">
        <f>IF(#REF!&lt;&gt;#REF!,1,A1390+1)</f>
        <v>#REF!</v>
      </c>
      <c r="O1391" s="79"/>
      <c r="P1391" s="79"/>
      <c r="Q1391" s="76"/>
      <c r="R1391" s="77"/>
      <c r="S1391" s="76"/>
      <c r="T1391" s="77"/>
      <c r="U1391" s="76"/>
      <c r="V1391" s="77"/>
      <c r="W1391" s="76"/>
      <c r="X1391" s="77"/>
      <c r="Y1391" s="76"/>
      <c r="Z1391" s="76"/>
      <c r="AA1391" s="76"/>
      <c r="AB1391" s="76"/>
      <c r="AC1391" s="76"/>
      <c r="AD1391" s="76"/>
      <c r="AE1391" s="76"/>
      <c r="AF1391" s="76"/>
      <c r="AG1391" s="76"/>
      <c r="AH1391" s="76"/>
      <c r="AI1391" s="76"/>
      <c r="AJ1391" s="76"/>
      <c r="AK1391" s="76"/>
      <c r="AL1391" s="77"/>
      <c r="AM1391" s="76"/>
      <c r="AN1391" s="76"/>
    </row>
    <row r="1392" spans="1:40" ht="15">
      <c r="A1392" s="83" t="e">
        <f>IF(#REF!&lt;&gt;#REF!,1,A1391+1)</f>
        <v>#REF!</v>
      </c>
      <c r="O1392" s="79"/>
      <c r="P1392" s="79"/>
      <c r="Q1392" s="76"/>
      <c r="R1392" s="77"/>
      <c r="S1392" s="76"/>
      <c r="T1392" s="77"/>
      <c r="U1392" s="76"/>
      <c r="V1392" s="77"/>
      <c r="W1392" s="76"/>
      <c r="X1392" s="77"/>
      <c r="Y1392" s="76"/>
      <c r="Z1392" s="76"/>
      <c r="AA1392" s="76"/>
      <c r="AB1392" s="76"/>
      <c r="AC1392" s="76"/>
      <c r="AD1392" s="76"/>
      <c r="AE1392" s="76"/>
      <c r="AF1392" s="76"/>
      <c r="AG1392" s="76"/>
      <c r="AH1392" s="76"/>
      <c r="AI1392" s="76"/>
      <c r="AJ1392" s="76"/>
      <c r="AK1392" s="76"/>
      <c r="AL1392" s="77"/>
      <c r="AM1392" s="76"/>
      <c r="AN1392" s="76"/>
    </row>
    <row r="1393" spans="1:40" ht="15">
      <c r="A1393" s="83" t="e">
        <f>IF(#REF!&lt;&gt;#REF!,1,A1392+1)</f>
        <v>#REF!</v>
      </c>
      <c r="O1393" s="79"/>
      <c r="P1393" s="79"/>
      <c r="Q1393" s="76"/>
      <c r="R1393" s="77"/>
      <c r="S1393" s="76"/>
      <c r="T1393" s="77"/>
      <c r="U1393" s="76"/>
      <c r="V1393" s="77"/>
      <c r="W1393" s="76"/>
      <c r="X1393" s="77"/>
      <c r="Y1393" s="76"/>
      <c r="Z1393" s="76"/>
      <c r="AA1393" s="76"/>
      <c r="AB1393" s="76"/>
      <c r="AC1393" s="76"/>
      <c r="AD1393" s="76"/>
      <c r="AE1393" s="76"/>
      <c r="AF1393" s="76"/>
      <c r="AG1393" s="76"/>
      <c r="AH1393" s="76"/>
      <c r="AI1393" s="76"/>
      <c r="AJ1393" s="76"/>
      <c r="AK1393" s="76"/>
      <c r="AL1393" s="77"/>
      <c r="AM1393" s="76"/>
      <c r="AN1393" s="76"/>
    </row>
    <row r="1394" spans="1:40" ht="15">
      <c r="A1394" s="83" t="e">
        <f>IF(#REF!&lt;&gt;#REF!,1,A1393+1)</f>
        <v>#REF!</v>
      </c>
      <c r="O1394" s="79"/>
      <c r="P1394" s="79"/>
      <c r="Q1394" s="76"/>
      <c r="R1394" s="77"/>
      <c r="S1394" s="76"/>
      <c r="T1394" s="77"/>
      <c r="U1394" s="76"/>
      <c r="V1394" s="77"/>
      <c r="W1394" s="76"/>
      <c r="X1394" s="77"/>
      <c r="Y1394" s="76"/>
      <c r="Z1394" s="76"/>
      <c r="AA1394" s="76"/>
      <c r="AB1394" s="76"/>
      <c r="AC1394" s="76"/>
      <c r="AD1394" s="76"/>
      <c r="AE1394" s="76"/>
      <c r="AF1394" s="76"/>
      <c r="AG1394" s="76"/>
      <c r="AH1394" s="76"/>
      <c r="AI1394" s="76"/>
      <c r="AJ1394" s="76"/>
      <c r="AK1394" s="76"/>
      <c r="AL1394" s="77"/>
      <c r="AM1394" s="76"/>
      <c r="AN1394" s="76"/>
    </row>
    <row r="1395" spans="1:40" ht="15">
      <c r="A1395" s="83" t="e">
        <f>IF(#REF!&lt;&gt;#REF!,1,A1394+1)</f>
        <v>#REF!</v>
      </c>
      <c r="O1395" s="79"/>
      <c r="P1395" s="79"/>
      <c r="Q1395" s="76"/>
      <c r="R1395" s="77"/>
      <c r="S1395" s="76"/>
      <c r="T1395" s="77"/>
      <c r="U1395" s="76"/>
      <c r="V1395" s="77"/>
      <c r="W1395" s="76"/>
      <c r="X1395" s="77"/>
      <c r="Y1395" s="76"/>
      <c r="Z1395" s="76"/>
      <c r="AA1395" s="76"/>
      <c r="AB1395" s="76"/>
      <c r="AC1395" s="76"/>
      <c r="AD1395" s="76"/>
      <c r="AE1395" s="76"/>
      <c r="AF1395" s="76"/>
      <c r="AG1395" s="76"/>
      <c r="AH1395" s="76"/>
      <c r="AI1395" s="76"/>
      <c r="AJ1395" s="76"/>
      <c r="AK1395" s="76"/>
      <c r="AL1395" s="77"/>
      <c r="AM1395" s="76"/>
      <c r="AN1395" s="76"/>
    </row>
    <row r="1396" spans="1:40" ht="15">
      <c r="A1396" s="83" t="e">
        <f>IF(#REF!&lt;&gt;#REF!,1,A1395+1)</f>
        <v>#REF!</v>
      </c>
      <c r="O1396" s="79"/>
      <c r="P1396" s="79"/>
      <c r="Q1396" s="76"/>
      <c r="R1396" s="77"/>
      <c r="S1396" s="76"/>
      <c r="T1396" s="77"/>
      <c r="U1396" s="76"/>
      <c r="V1396" s="77"/>
      <c r="W1396" s="76"/>
      <c r="X1396" s="77"/>
      <c r="Y1396" s="76"/>
      <c r="Z1396" s="76"/>
      <c r="AA1396" s="76"/>
      <c r="AB1396" s="76"/>
      <c r="AC1396" s="76"/>
      <c r="AD1396" s="76"/>
      <c r="AE1396" s="76"/>
      <c r="AF1396" s="76"/>
      <c r="AG1396" s="76"/>
      <c r="AH1396" s="76"/>
      <c r="AI1396" s="76"/>
      <c r="AJ1396" s="76"/>
      <c r="AK1396" s="76"/>
      <c r="AL1396" s="77"/>
      <c r="AM1396" s="76"/>
      <c r="AN1396" s="76"/>
    </row>
    <row r="1397" spans="1:40" ht="15">
      <c r="A1397" s="83" t="e">
        <f>IF(#REF!&lt;&gt;#REF!,1,A1396+1)</f>
        <v>#REF!</v>
      </c>
      <c r="O1397" s="79"/>
      <c r="P1397" s="79"/>
      <c r="Q1397" s="76"/>
      <c r="R1397" s="77"/>
      <c r="S1397" s="76"/>
      <c r="T1397" s="77"/>
      <c r="U1397" s="76"/>
      <c r="V1397" s="77"/>
      <c r="W1397" s="76"/>
      <c r="X1397" s="77"/>
      <c r="Y1397" s="76"/>
      <c r="Z1397" s="76"/>
      <c r="AA1397" s="76"/>
      <c r="AB1397" s="76"/>
      <c r="AC1397" s="76"/>
      <c r="AD1397" s="76"/>
      <c r="AE1397" s="76"/>
      <c r="AF1397" s="76"/>
      <c r="AG1397" s="76"/>
      <c r="AH1397" s="76"/>
      <c r="AI1397" s="76"/>
      <c r="AJ1397" s="76"/>
      <c r="AK1397" s="76"/>
      <c r="AL1397" s="77"/>
      <c r="AM1397" s="76"/>
      <c r="AN1397" s="76"/>
    </row>
    <row r="1398" spans="1:40" ht="15">
      <c r="A1398" s="83" t="e">
        <f>IF(#REF!&lt;&gt;#REF!,1,A1397+1)</f>
        <v>#REF!</v>
      </c>
      <c r="O1398" s="79"/>
      <c r="P1398" s="79"/>
      <c r="Q1398" s="76"/>
      <c r="R1398" s="77"/>
      <c r="S1398" s="76"/>
      <c r="T1398" s="77"/>
      <c r="U1398" s="76"/>
      <c r="V1398" s="77"/>
      <c r="W1398" s="76"/>
      <c r="X1398" s="77"/>
      <c r="Y1398" s="76"/>
      <c r="Z1398" s="76"/>
      <c r="AA1398" s="76"/>
      <c r="AB1398" s="76"/>
      <c r="AC1398" s="76"/>
      <c r="AD1398" s="76"/>
      <c r="AE1398" s="76"/>
      <c r="AF1398" s="76"/>
      <c r="AG1398" s="76"/>
      <c r="AH1398" s="76"/>
      <c r="AI1398" s="76"/>
      <c r="AJ1398" s="76"/>
      <c r="AK1398" s="76"/>
      <c r="AL1398" s="77"/>
      <c r="AM1398" s="76"/>
      <c r="AN1398" s="76"/>
    </row>
    <row r="1399" spans="1:40" ht="15">
      <c r="A1399" s="83" t="e">
        <f>IF(#REF!&lt;&gt;#REF!,1,A1398+1)</f>
        <v>#REF!</v>
      </c>
      <c r="O1399" s="79"/>
      <c r="P1399" s="79"/>
      <c r="Q1399" s="76"/>
      <c r="R1399" s="77"/>
      <c r="S1399" s="76"/>
      <c r="T1399" s="77"/>
      <c r="U1399" s="76"/>
      <c r="V1399" s="77"/>
      <c r="W1399" s="76"/>
      <c r="X1399" s="77"/>
      <c r="Y1399" s="76"/>
      <c r="Z1399" s="76"/>
      <c r="AA1399" s="76"/>
      <c r="AB1399" s="76"/>
      <c r="AC1399" s="76"/>
      <c r="AD1399" s="76"/>
      <c r="AE1399" s="76"/>
      <c r="AF1399" s="76"/>
      <c r="AG1399" s="76"/>
      <c r="AH1399" s="76"/>
      <c r="AI1399" s="76"/>
      <c r="AJ1399" s="76"/>
      <c r="AK1399" s="76"/>
      <c r="AL1399" s="77"/>
      <c r="AM1399" s="76"/>
      <c r="AN1399" s="76"/>
    </row>
    <row r="1400" spans="1:40" ht="15">
      <c r="A1400" s="83" t="e">
        <f>IF(#REF!&lt;&gt;#REF!,1,A1399+1)</f>
        <v>#REF!</v>
      </c>
      <c r="O1400" s="79"/>
      <c r="P1400" s="79"/>
      <c r="Q1400" s="76"/>
      <c r="R1400" s="77"/>
      <c r="S1400" s="76"/>
      <c r="T1400" s="77"/>
      <c r="U1400" s="76"/>
      <c r="V1400" s="77"/>
      <c r="W1400" s="76"/>
      <c r="X1400" s="77"/>
      <c r="Y1400" s="76"/>
      <c r="Z1400" s="76"/>
      <c r="AA1400" s="76"/>
      <c r="AB1400" s="76"/>
      <c r="AC1400" s="76"/>
      <c r="AD1400" s="76"/>
      <c r="AE1400" s="76"/>
      <c r="AF1400" s="76"/>
      <c r="AG1400" s="76"/>
      <c r="AH1400" s="76"/>
      <c r="AI1400" s="76"/>
      <c r="AJ1400" s="76"/>
      <c r="AK1400" s="76"/>
      <c r="AL1400" s="77"/>
      <c r="AM1400" s="76"/>
      <c r="AN1400" s="76"/>
    </row>
    <row r="1401" spans="1:40" ht="15">
      <c r="A1401" s="83" t="e">
        <f>IF(#REF!&lt;&gt;#REF!,1,A1400+1)</f>
        <v>#REF!</v>
      </c>
      <c r="O1401" s="79"/>
      <c r="P1401" s="79"/>
      <c r="Q1401" s="76"/>
      <c r="R1401" s="77"/>
      <c r="S1401" s="76"/>
      <c r="T1401" s="77"/>
      <c r="U1401" s="76"/>
      <c r="V1401" s="77"/>
      <c r="W1401" s="76"/>
      <c r="X1401" s="77"/>
      <c r="Y1401" s="76"/>
      <c r="Z1401" s="76"/>
      <c r="AA1401" s="76"/>
      <c r="AB1401" s="76"/>
      <c r="AC1401" s="76"/>
      <c r="AD1401" s="76"/>
      <c r="AE1401" s="76"/>
      <c r="AF1401" s="76"/>
      <c r="AG1401" s="76"/>
      <c r="AH1401" s="76"/>
      <c r="AI1401" s="76"/>
      <c r="AJ1401" s="76"/>
      <c r="AK1401" s="76"/>
      <c r="AL1401" s="77"/>
      <c r="AM1401" s="76"/>
      <c r="AN1401" s="76"/>
    </row>
    <row r="1402" spans="1:40" ht="15">
      <c r="A1402" s="83" t="e">
        <f>IF(#REF!&lt;&gt;#REF!,1,A1401+1)</f>
        <v>#REF!</v>
      </c>
      <c r="O1402" s="79"/>
      <c r="P1402" s="79"/>
      <c r="Q1402" s="76"/>
      <c r="R1402" s="77"/>
      <c r="S1402" s="76"/>
      <c r="T1402" s="77"/>
      <c r="U1402" s="76"/>
      <c r="V1402" s="77"/>
      <c r="W1402" s="76"/>
      <c r="X1402" s="77"/>
      <c r="Y1402" s="76"/>
      <c r="Z1402" s="76"/>
      <c r="AA1402" s="76"/>
      <c r="AB1402" s="76"/>
      <c r="AC1402" s="76"/>
      <c r="AD1402" s="76"/>
      <c r="AE1402" s="76"/>
      <c r="AF1402" s="76"/>
      <c r="AG1402" s="76"/>
      <c r="AH1402" s="76"/>
      <c r="AI1402" s="76"/>
      <c r="AJ1402" s="76"/>
      <c r="AK1402" s="76"/>
      <c r="AL1402" s="77"/>
      <c r="AM1402" s="76"/>
      <c r="AN1402" s="76"/>
    </row>
    <row r="1403" spans="1:40" ht="15">
      <c r="A1403" s="83" t="e">
        <f>IF(#REF!&lt;&gt;#REF!,1,A1402+1)</f>
        <v>#REF!</v>
      </c>
      <c r="O1403" s="79"/>
      <c r="P1403" s="79"/>
      <c r="Q1403" s="76"/>
      <c r="R1403" s="77"/>
      <c r="S1403" s="76"/>
      <c r="T1403" s="77"/>
      <c r="U1403" s="76"/>
      <c r="V1403" s="77"/>
      <c r="W1403" s="76"/>
      <c r="X1403" s="77"/>
      <c r="Y1403" s="76"/>
      <c r="Z1403" s="76"/>
      <c r="AA1403" s="76"/>
      <c r="AB1403" s="76"/>
      <c r="AC1403" s="76"/>
      <c r="AD1403" s="76"/>
      <c r="AE1403" s="76"/>
      <c r="AF1403" s="76"/>
      <c r="AG1403" s="76"/>
      <c r="AH1403" s="76"/>
      <c r="AI1403" s="76"/>
      <c r="AJ1403" s="76"/>
      <c r="AK1403" s="76"/>
      <c r="AL1403" s="77"/>
      <c r="AM1403" s="76"/>
      <c r="AN1403" s="76"/>
    </row>
    <row r="1404" spans="1:40" ht="15">
      <c r="A1404" s="83" t="e">
        <f>IF(#REF!&lt;&gt;#REF!,1,A1403+1)</f>
        <v>#REF!</v>
      </c>
      <c r="O1404" s="79"/>
      <c r="P1404" s="79"/>
      <c r="Q1404" s="76"/>
      <c r="R1404" s="77"/>
      <c r="S1404" s="76"/>
      <c r="T1404" s="77"/>
      <c r="U1404" s="76"/>
      <c r="V1404" s="77"/>
      <c r="W1404" s="76"/>
      <c r="X1404" s="77"/>
      <c r="Y1404" s="76"/>
      <c r="Z1404" s="76"/>
      <c r="AA1404" s="76"/>
      <c r="AB1404" s="76"/>
      <c r="AC1404" s="76"/>
      <c r="AD1404" s="76"/>
      <c r="AE1404" s="76"/>
      <c r="AF1404" s="76"/>
      <c r="AG1404" s="76"/>
      <c r="AH1404" s="76"/>
      <c r="AI1404" s="76"/>
      <c r="AJ1404" s="76"/>
      <c r="AK1404" s="76"/>
      <c r="AL1404" s="77"/>
      <c r="AM1404" s="76"/>
      <c r="AN1404" s="76"/>
    </row>
    <row r="1405" spans="1:40" ht="15">
      <c r="A1405" s="83" t="e">
        <f>IF(#REF!&lt;&gt;#REF!,1,A1404+1)</f>
        <v>#REF!</v>
      </c>
      <c r="O1405" s="79"/>
      <c r="P1405" s="79"/>
      <c r="Q1405" s="76"/>
      <c r="R1405" s="77"/>
      <c r="S1405" s="76"/>
      <c r="T1405" s="77"/>
      <c r="U1405" s="76"/>
      <c r="V1405" s="77"/>
      <c r="W1405" s="76"/>
      <c r="X1405" s="77"/>
      <c r="Y1405" s="76"/>
      <c r="Z1405" s="76"/>
      <c r="AA1405" s="76"/>
      <c r="AB1405" s="76"/>
      <c r="AC1405" s="76"/>
      <c r="AD1405" s="76"/>
      <c r="AE1405" s="76"/>
      <c r="AF1405" s="76"/>
      <c r="AG1405" s="76"/>
      <c r="AH1405" s="76"/>
      <c r="AI1405" s="76"/>
      <c r="AJ1405" s="76"/>
      <c r="AK1405" s="76"/>
      <c r="AL1405" s="77"/>
      <c r="AM1405" s="76"/>
      <c r="AN1405" s="76"/>
    </row>
    <row r="1406" spans="1:40" ht="15">
      <c r="A1406" s="83" t="e">
        <f>IF(#REF!&lt;&gt;#REF!,1,A1405+1)</f>
        <v>#REF!</v>
      </c>
      <c r="O1406" s="79"/>
      <c r="P1406" s="79"/>
      <c r="Q1406" s="76"/>
      <c r="R1406" s="77"/>
      <c r="S1406" s="76"/>
      <c r="T1406" s="77"/>
      <c r="U1406" s="76"/>
      <c r="V1406" s="77"/>
      <c r="W1406" s="76"/>
      <c r="X1406" s="77"/>
      <c r="Y1406" s="76"/>
      <c r="Z1406" s="76"/>
      <c r="AA1406" s="76"/>
      <c r="AB1406" s="76"/>
      <c r="AC1406" s="76"/>
      <c r="AD1406" s="76"/>
      <c r="AE1406" s="76"/>
      <c r="AF1406" s="76"/>
      <c r="AG1406" s="76"/>
      <c r="AH1406" s="76"/>
      <c r="AI1406" s="76"/>
      <c r="AJ1406" s="76"/>
      <c r="AK1406" s="76"/>
      <c r="AL1406" s="77"/>
      <c r="AM1406" s="76"/>
      <c r="AN1406" s="76"/>
    </row>
    <row r="1407" spans="1:40" ht="15">
      <c r="A1407" s="83" t="e">
        <f>IF(#REF!&lt;&gt;#REF!,1,A1406+1)</f>
        <v>#REF!</v>
      </c>
      <c r="O1407" s="79"/>
      <c r="P1407" s="79"/>
      <c r="Q1407" s="76"/>
      <c r="R1407" s="77"/>
      <c r="S1407" s="76"/>
      <c r="T1407" s="77"/>
      <c r="U1407" s="76"/>
      <c r="V1407" s="77"/>
      <c r="W1407" s="76"/>
      <c r="X1407" s="77"/>
      <c r="Y1407" s="76"/>
      <c r="Z1407" s="76"/>
      <c r="AA1407" s="76"/>
      <c r="AB1407" s="76"/>
      <c r="AC1407" s="76"/>
      <c r="AD1407" s="76"/>
      <c r="AE1407" s="76"/>
      <c r="AF1407" s="76"/>
      <c r="AG1407" s="76"/>
      <c r="AH1407" s="76"/>
      <c r="AI1407" s="76"/>
      <c r="AJ1407" s="76"/>
      <c r="AK1407" s="76"/>
      <c r="AL1407" s="77"/>
      <c r="AM1407" s="76"/>
      <c r="AN1407" s="76"/>
    </row>
    <row r="1408" spans="1:40" ht="15">
      <c r="A1408" s="83" t="e">
        <f>IF(#REF!&lt;&gt;#REF!,1,A1407+1)</f>
        <v>#REF!</v>
      </c>
      <c r="O1408" s="79"/>
      <c r="P1408" s="79"/>
      <c r="Q1408" s="76"/>
      <c r="R1408" s="77"/>
      <c r="S1408" s="76"/>
      <c r="T1408" s="77"/>
      <c r="U1408" s="76"/>
      <c r="V1408" s="77"/>
      <c r="W1408" s="76"/>
      <c r="X1408" s="77"/>
      <c r="Y1408" s="76"/>
      <c r="Z1408" s="76"/>
      <c r="AA1408" s="76"/>
      <c r="AB1408" s="76"/>
      <c r="AC1408" s="76"/>
      <c r="AD1408" s="76"/>
      <c r="AE1408" s="76"/>
      <c r="AF1408" s="76"/>
      <c r="AG1408" s="76"/>
      <c r="AH1408" s="76"/>
      <c r="AI1408" s="76"/>
      <c r="AJ1408" s="76"/>
      <c r="AK1408" s="76"/>
      <c r="AL1408" s="77"/>
      <c r="AM1408" s="76"/>
      <c r="AN1408" s="76"/>
    </row>
    <row r="1409" spans="1:40" ht="15">
      <c r="A1409" s="83" t="e">
        <f>IF(#REF!&lt;&gt;#REF!,1,A1408+1)</f>
        <v>#REF!</v>
      </c>
      <c r="O1409" s="79"/>
      <c r="P1409" s="79"/>
      <c r="Q1409" s="76"/>
      <c r="R1409" s="77"/>
      <c r="S1409" s="76"/>
      <c r="T1409" s="77"/>
      <c r="U1409" s="76"/>
      <c r="V1409" s="77"/>
      <c r="W1409" s="76"/>
      <c r="X1409" s="77"/>
      <c r="Y1409" s="76"/>
      <c r="Z1409" s="76"/>
      <c r="AA1409" s="76"/>
      <c r="AB1409" s="76"/>
      <c r="AC1409" s="76"/>
      <c r="AD1409" s="76"/>
      <c r="AE1409" s="76"/>
      <c r="AF1409" s="76"/>
      <c r="AG1409" s="76"/>
      <c r="AH1409" s="76"/>
      <c r="AI1409" s="76"/>
      <c r="AJ1409" s="76"/>
      <c r="AK1409" s="76"/>
      <c r="AL1409" s="77"/>
      <c r="AM1409" s="76"/>
      <c r="AN1409" s="76"/>
    </row>
    <row r="1410" spans="1:40" ht="15">
      <c r="A1410" s="83" t="e">
        <f>IF(#REF!&lt;&gt;#REF!,1,A1409+1)</f>
        <v>#REF!</v>
      </c>
      <c r="O1410" s="79"/>
      <c r="P1410" s="79"/>
      <c r="Q1410" s="76"/>
      <c r="R1410" s="77"/>
      <c r="S1410" s="76"/>
      <c r="T1410" s="77"/>
      <c r="U1410" s="76"/>
      <c r="V1410" s="77"/>
      <c r="W1410" s="76"/>
      <c r="X1410" s="77"/>
      <c r="Y1410" s="76"/>
      <c r="Z1410" s="76"/>
      <c r="AA1410" s="76"/>
      <c r="AB1410" s="76"/>
      <c r="AC1410" s="76"/>
      <c r="AD1410" s="76"/>
      <c r="AE1410" s="76"/>
      <c r="AF1410" s="76"/>
      <c r="AG1410" s="76"/>
      <c r="AH1410" s="76"/>
      <c r="AI1410" s="76"/>
      <c r="AJ1410" s="76"/>
      <c r="AK1410" s="76"/>
      <c r="AL1410" s="77"/>
      <c r="AM1410" s="76"/>
      <c r="AN1410" s="76"/>
    </row>
    <row r="1411" spans="1:40" ht="15">
      <c r="A1411" s="83" t="e">
        <f>IF(#REF!&lt;&gt;#REF!,1,A1410+1)</f>
        <v>#REF!</v>
      </c>
      <c r="O1411" s="79"/>
      <c r="P1411" s="79"/>
      <c r="Q1411" s="76"/>
      <c r="R1411" s="77"/>
      <c r="S1411" s="76"/>
      <c r="T1411" s="77"/>
      <c r="U1411" s="76"/>
      <c r="V1411" s="77"/>
      <c r="W1411" s="76"/>
      <c r="X1411" s="77"/>
      <c r="Y1411" s="76"/>
      <c r="Z1411" s="76"/>
      <c r="AA1411" s="76"/>
      <c r="AB1411" s="76"/>
      <c r="AC1411" s="76"/>
      <c r="AD1411" s="76"/>
      <c r="AE1411" s="76"/>
      <c r="AF1411" s="76"/>
      <c r="AG1411" s="76"/>
      <c r="AH1411" s="76"/>
      <c r="AI1411" s="76"/>
      <c r="AJ1411" s="76"/>
      <c r="AK1411" s="76"/>
      <c r="AL1411" s="77"/>
      <c r="AM1411" s="76"/>
      <c r="AN1411" s="76"/>
    </row>
    <row r="1412" spans="1:40" ht="15">
      <c r="A1412" s="83" t="e">
        <f>IF(#REF!&lt;&gt;#REF!,1,A1411+1)</f>
        <v>#REF!</v>
      </c>
      <c r="O1412" s="79"/>
      <c r="P1412" s="79"/>
      <c r="Q1412" s="76"/>
      <c r="R1412" s="77"/>
      <c r="S1412" s="76"/>
      <c r="T1412" s="77"/>
      <c r="U1412" s="76"/>
      <c r="V1412" s="77"/>
      <c r="W1412" s="76"/>
      <c r="X1412" s="77"/>
      <c r="Y1412" s="76"/>
      <c r="Z1412" s="76"/>
      <c r="AA1412" s="76"/>
      <c r="AB1412" s="76"/>
      <c r="AC1412" s="76"/>
      <c r="AD1412" s="76"/>
      <c r="AE1412" s="76"/>
      <c r="AF1412" s="76"/>
      <c r="AG1412" s="76"/>
      <c r="AH1412" s="76"/>
      <c r="AI1412" s="76"/>
      <c r="AJ1412" s="76"/>
      <c r="AK1412" s="76"/>
      <c r="AL1412" s="77"/>
      <c r="AM1412" s="76"/>
      <c r="AN1412" s="76"/>
    </row>
    <row r="1413" spans="1:40" ht="15">
      <c r="A1413" s="83" t="e">
        <f>IF(#REF!&lt;&gt;#REF!,1,A1412+1)</f>
        <v>#REF!</v>
      </c>
      <c r="O1413" s="79"/>
      <c r="P1413" s="79"/>
      <c r="Q1413" s="76"/>
      <c r="R1413" s="77"/>
      <c r="S1413" s="76"/>
      <c r="T1413" s="77"/>
      <c r="U1413" s="76"/>
      <c r="V1413" s="77"/>
      <c r="W1413" s="76"/>
      <c r="X1413" s="77"/>
      <c r="Y1413" s="76"/>
      <c r="Z1413" s="76"/>
      <c r="AA1413" s="76"/>
      <c r="AB1413" s="76"/>
      <c r="AC1413" s="76"/>
      <c r="AD1413" s="76"/>
      <c r="AE1413" s="76"/>
      <c r="AF1413" s="76"/>
      <c r="AG1413" s="76"/>
      <c r="AH1413" s="76"/>
      <c r="AI1413" s="76"/>
      <c r="AJ1413" s="76"/>
      <c r="AK1413" s="76"/>
      <c r="AL1413" s="77"/>
      <c r="AM1413" s="76"/>
      <c r="AN1413" s="76"/>
    </row>
    <row r="1414" spans="1:40" ht="15">
      <c r="A1414" s="83" t="e">
        <f>IF(#REF!&lt;&gt;#REF!,1,A1413+1)</f>
        <v>#REF!</v>
      </c>
      <c r="O1414" s="79"/>
      <c r="P1414" s="79"/>
      <c r="Q1414" s="76"/>
      <c r="R1414" s="77"/>
      <c r="S1414" s="76"/>
      <c r="T1414" s="77"/>
      <c r="U1414" s="76"/>
      <c r="V1414" s="77"/>
      <c r="W1414" s="76"/>
      <c r="X1414" s="77"/>
      <c r="Y1414" s="76"/>
      <c r="Z1414" s="76"/>
      <c r="AA1414" s="76"/>
      <c r="AB1414" s="76"/>
      <c r="AC1414" s="76"/>
      <c r="AD1414" s="76"/>
      <c r="AE1414" s="76"/>
      <c r="AF1414" s="76"/>
      <c r="AG1414" s="76"/>
      <c r="AH1414" s="76"/>
      <c r="AI1414" s="76"/>
      <c r="AJ1414" s="76"/>
      <c r="AK1414" s="76"/>
      <c r="AL1414" s="77"/>
      <c r="AM1414" s="76"/>
      <c r="AN1414" s="76"/>
    </row>
    <row r="1415" spans="1:40" ht="15">
      <c r="A1415" s="83" t="e">
        <f>IF(#REF!&lt;&gt;#REF!,1,A1414+1)</f>
        <v>#REF!</v>
      </c>
      <c r="O1415" s="79"/>
      <c r="P1415" s="79"/>
      <c r="Q1415" s="76"/>
      <c r="R1415" s="77"/>
      <c r="S1415" s="76"/>
      <c r="T1415" s="77"/>
      <c r="U1415" s="76"/>
      <c r="V1415" s="77"/>
      <c r="W1415" s="76"/>
      <c r="X1415" s="77"/>
      <c r="Y1415" s="76"/>
      <c r="Z1415" s="76"/>
      <c r="AA1415" s="76"/>
      <c r="AB1415" s="76"/>
      <c r="AC1415" s="76"/>
      <c r="AD1415" s="76"/>
      <c r="AE1415" s="76"/>
      <c r="AF1415" s="76"/>
      <c r="AG1415" s="76"/>
      <c r="AH1415" s="76"/>
      <c r="AI1415" s="76"/>
      <c r="AJ1415" s="76"/>
      <c r="AK1415" s="76"/>
      <c r="AL1415" s="77"/>
      <c r="AM1415" s="76"/>
      <c r="AN1415" s="76"/>
    </row>
    <row r="1416" spans="1:40" ht="15">
      <c r="A1416" s="83" t="e">
        <f>IF(#REF!&lt;&gt;#REF!,1,A1415+1)</f>
        <v>#REF!</v>
      </c>
      <c r="O1416" s="79"/>
      <c r="P1416" s="79"/>
      <c r="Q1416" s="76"/>
      <c r="R1416" s="77"/>
      <c r="S1416" s="76"/>
      <c r="T1416" s="77"/>
      <c r="U1416" s="76"/>
      <c r="V1416" s="77"/>
      <c r="W1416" s="76"/>
      <c r="X1416" s="77"/>
      <c r="Y1416" s="76"/>
      <c r="Z1416" s="76"/>
      <c r="AA1416" s="76"/>
      <c r="AB1416" s="76"/>
      <c r="AC1416" s="76"/>
      <c r="AD1416" s="76"/>
      <c r="AE1416" s="76"/>
      <c r="AF1416" s="76"/>
      <c r="AG1416" s="76"/>
      <c r="AH1416" s="76"/>
      <c r="AI1416" s="76"/>
      <c r="AJ1416" s="76"/>
      <c r="AK1416" s="76"/>
      <c r="AL1416" s="77"/>
      <c r="AM1416" s="76"/>
      <c r="AN1416" s="76"/>
    </row>
    <row r="1417" spans="1:40" ht="15">
      <c r="A1417" s="83" t="e">
        <f>IF(#REF!&lt;&gt;#REF!,1,A1416+1)</f>
        <v>#REF!</v>
      </c>
      <c r="O1417" s="79"/>
      <c r="P1417" s="79"/>
      <c r="Q1417" s="76"/>
      <c r="R1417" s="77"/>
      <c r="S1417" s="76"/>
      <c r="T1417" s="77"/>
      <c r="U1417" s="76"/>
      <c r="V1417" s="77"/>
      <c r="W1417" s="76"/>
      <c r="X1417" s="77"/>
      <c r="Y1417" s="76"/>
      <c r="Z1417" s="76"/>
      <c r="AA1417" s="76"/>
      <c r="AB1417" s="76"/>
      <c r="AC1417" s="76"/>
      <c r="AD1417" s="76"/>
      <c r="AE1417" s="76"/>
      <c r="AF1417" s="76"/>
      <c r="AG1417" s="76"/>
      <c r="AH1417" s="76"/>
      <c r="AI1417" s="76"/>
      <c r="AJ1417" s="76"/>
      <c r="AK1417" s="76"/>
      <c r="AL1417" s="77"/>
      <c r="AM1417" s="76"/>
      <c r="AN1417" s="76"/>
    </row>
    <row r="1418" spans="1:40" ht="15">
      <c r="A1418" s="83" t="e">
        <f>IF(#REF!&lt;&gt;#REF!,1,A1417+1)</f>
        <v>#REF!</v>
      </c>
      <c r="O1418" s="79"/>
      <c r="P1418" s="79"/>
      <c r="Q1418" s="76"/>
      <c r="R1418" s="77"/>
      <c r="S1418" s="76"/>
      <c r="T1418" s="77"/>
      <c r="U1418" s="76"/>
      <c r="V1418" s="77"/>
      <c r="W1418" s="76"/>
      <c r="X1418" s="77"/>
      <c r="Y1418" s="76"/>
      <c r="Z1418" s="76"/>
      <c r="AA1418" s="76"/>
      <c r="AB1418" s="76"/>
      <c r="AC1418" s="76"/>
      <c r="AD1418" s="76"/>
      <c r="AE1418" s="76"/>
      <c r="AF1418" s="76"/>
      <c r="AG1418" s="76"/>
      <c r="AH1418" s="76"/>
      <c r="AI1418" s="76"/>
      <c r="AJ1418" s="76"/>
      <c r="AK1418" s="76"/>
      <c r="AL1418" s="77"/>
      <c r="AM1418" s="76"/>
      <c r="AN1418" s="76"/>
    </row>
    <row r="1419" spans="1:40" ht="15">
      <c r="A1419" s="83" t="e">
        <f>IF(#REF!&lt;&gt;#REF!,1,A1418+1)</f>
        <v>#REF!</v>
      </c>
      <c r="O1419" s="79"/>
      <c r="P1419" s="79"/>
      <c r="Q1419" s="76"/>
      <c r="R1419" s="77"/>
      <c r="S1419" s="76"/>
      <c r="T1419" s="77"/>
      <c r="U1419" s="76"/>
      <c r="V1419" s="77"/>
      <c r="W1419" s="76"/>
      <c r="X1419" s="77"/>
      <c r="Y1419" s="76"/>
      <c r="Z1419" s="76"/>
      <c r="AA1419" s="76"/>
      <c r="AB1419" s="76"/>
      <c r="AC1419" s="76"/>
      <c r="AD1419" s="76"/>
      <c r="AE1419" s="76"/>
      <c r="AF1419" s="76"/>
      <c r="AG1419" s="76"/>
      <c r="AH1419" s="76"/>
      <c r="AI1419" s="76"/>
      <c r="AJ1419" s="76"/>
      <c r="AK1419" s="76"/>
      <c r="AL1419" s="77"/>
      <c r="AM1419" s="76"/>
      <c r="AN1419" s="76"/>
    </row>
    <row r="1420" spans="1:40" ht="15">
      <c r="A1420" s="83" t="e">
        <f>IF(#REF!&lt;&gt;#REF!,1,A1419+1)</f>
        <v>#REF!</v>
      </c>
      <c r="O1420" s="79"/>
      <c r="P1420" s="79"/>
      <c r="Q1420" s="76"/>
      <c r="R1420" s="77"/>
      <c r="S1420" s="76"/>
      <c r="T1420" s="77"/>
      <c r="U1420" s="76"/>
      <c r="V1420" s="77"/>
      <c r="W1420" s="76"/>
      <c r="X1420" s="77"/>
      <c r="Y1420" s="76"/>
      <c r="Z1420" s="76"/>
      <c r="AA1420" s="76"/>
      <c r="AB1420" s="76"/>
      <c r="AC1420" s="76"/>
      <c r="AD1420" s="76"/>
      <c r="AE1420" s="76"/>
      <c r="AF1420" s="76"/>
      <c r="AG1420" s="76"/>
      <c r="AH1420" s="76"/>
      <c r="AI1420" s="76"/>
      <c r="AJ1420" s="76"/>
      <c r="AK1420" s="76"/>
      <c r="AL1420" s="77"/>
      <c r="AM1420" s="76"/>
      <c r="AN1420" s="76"/>
    </row>
    <row r="1421" spans="1:40" ht="15">
      <c r="A1421" s="83" t="e">
        <f>IF(#REF!&lt;&gt;#REF!,1,A1420+1)</f>
        <v>#REF!</v>
      </c>
      <c r="O1421" s="79"/>
      <c r="P1421" s="79"/>
      <c r="Q1421" s="76"/>
      <c r="R1421" s="77"/>
      <c r="S1421" s="76"/>
      <c r="T1421" s="77"/>
      <c r="U1421" s="76"/>
      <c r="V1421" s="77"/>
      <c r="W1421" s="76"/>
      <c r="X1421" s="77"/>
      <c r="Y1421" s="76"/>
      <c r="Z1421" s="76"/>
      <c r="AA1421" s="76"/>
      <c r="AB1421" s="76"/>
      <c r="AC1421" s="76"/>
      <c r="AD1421" s="76"/>
      <c r="AE1421" s="76"/>
      <c r="AF1421" s="76"/>
      <c r="AG1421" s="76"/>
      <c r="AH1421" s="76"/>
      <c r="AI1421" s="76"/>
      <c r="AJ1421" s="76"/>
      <c r="AK1421" s="76"/>
      <c r="AL1421" s="77"/>
      <c r="AM1421" s="76"/>
      <c r="AN1421" s="76"/>
    </row>
    <row r="1422" spans="1:40" ht="15">
      <c r="A1422" s="83" t="e">
        <f>IF(#REF!&lt;&gt;#REF!,1,A1421+1)</f>
        <v>#REF!</v>
      </c>
      <c r="O1422" s="79"/>
      <c r="P1422" s="79"/>
      <c r="Q1422" s="76"/>
      <c r="R1422" s="77"/>
      <c r="S1422" s="76"/>
      <c r="T1422" s="77"/>
      <c r="U1422" s="76"/>
      <c r="V1422" s="77"/>
      <c r="W1422" s="76"/>
      <c r="X1422" s="77"/>
      <c r="Y1422" s="76"/>
      <c r="Z1422" s="76"/>
      <c r="AA1422" s="76"/>
      <c r="AB1422" s="76"/>
      <c r="AC1422" s="76"/>
      <c r="AD1422" s="76"/>
      <c r="AE1422" s="76"/>
      <c r="AF1422" s="76"/>
      <c r="AG1422" s="76"/>
      <c r="AH1422" s="76"/>
      <c r="AI1422" s="76"/>
      <c r="AJ1422" s="76"/>
      <c r="AK1422" s="76"/>
      <c r="AL1422" s="77"/>
      <c r="AM1422" s="76"/>
      <c r="AN1422" s="76"/>
    </row>
    <row r="1423" spans="1:40" ht="15">
      <c r="A1423" s="83" t="e">
        <f>IF(#REF!&lt;&gt;#REF!,1,A1422+1)</f>
        <v>#REF!</v>
      </c>
      <c r="O1423" s="79"/>
      <c r="P1423" s="79"/>
      <c r="Q1423" s="76"/>
      <c r="R1423" s="77"/>
      <c r="S1423" s="76"/>
      <c r="T1423" s="77"/>
      <c r="U1423" s="76"/>
      <c r="V1423" s="77"/>
      <c r="W1423" s="76"/>
      <c r="X1423" s="77"/>
      <c r="Y1423" s="76"/>
      <c r="Z1423" s="76"/>
      <c r="AA1423" s="76"/>
      <c r="AB1423" s="76"/>
      <c r="AC1423" s="76"/>
      <c r="AD1423" s="76"/>
      <c r="AE1423" s="76"/>
      <c r="AF1423" s="76"/>
      <c r="AG1423" s="76"/>
      <c r="AH1423" s="76"/>
      <c r="AI1423" s="76"/>
      <c r="AJ1423" s="76"/>
      <c r="AK1423" s="76"/>
      <c r="AL1423" s="77"/>
      <c r="AM1423" s="76"/>
      <c r="AN1423" s="76"/>
    </row>
    <row r="1424" spans="1:40" ht="15">
      <c r="A1424" s="83" t="e">
        <f>IF(#REF!&lt;&gt;#REF!,1,A1423+1)</f>
        <v>#REF!</v>
      </c>
      <c r="O1424" s="79"/>
      <c r="P1424" s="79"/>
      <c r="Q1424" s="76"/>
      <c r="R1424" s="77"/>
      <c r="S1424" s="76"/>
      <c r="T1424" s="77"/>
      <c r="U1424" s="76"/>
      <c r="V1424" s="77"/>
      <c r="W1424" s="76"/>
      <c r="X1424" s="77"/>
      <c r="Y1424" s="76"/>
      <c r="Z1424" s="76"/>
      <c r="AA1424" s="76"/>
      <c r="AB1424" s="76"/>
      <c r="AC1424" s="76"/>
      <c r="AD1424" s="76"/>
      <c r="AE1424" s="76"/>
      <c r="AF1424" s="76"/>
      <c r="AG1424" s="76"/>
      <c r="AH1424" s="76"/>
      <c r="AI1424" s="76"/>
      <c r="AJ1424" s="76"/>
      <c r="AK1424" s="76"/>
      <c r="AL1424" s="77"/>
      <c r="AM1424" s="76"/>
      <c r="AN1424" s="76"/>
    </row>
    <row r="1425" spans="1:40" ht="15">
      <c r="A1425" s="83" t="e">
        <f>IF(#REF!&lt;&gt;#REF!,1,A1424+1)</f>
        <v>#REF!</v>
      </c>
      <c r="O1425" s="79"/>
      <c r="P1425" s="79"/>
      <c r="Q1425" s="76"/>
      <c r="R1425" s="77"/>
      <c r="S1425" s="76"/>
      <c r="T1425" s="77"/>
      <c r="U1425" s="76"/>
      <c r="V1425" s="77"/>
      <c r="W1425" s="76"/>
      <c r="X1425" s="77"/>
      <c r="Y1425" s="76"/>
      <c r="Z1425" s="76"/>
      <c r="AA1425" s="76"/>
      <c r="AB1425" s="76"/>
      <c r="AC1425" s="76"/>
      <c r="AD1425" s="76"/>
      <c r="AE1425" s="76"/>
      <c r="AF1425" s="76"/>
      <c r="AG1425" s="76"/>
      <c r="AH1425" s="76"/>
      <c r="AI1425" s="76"/>
      <c r="AJ1425" s="76"/>
      <c r="AK1425" s="76"/>
      <c r="AL1425" s="77"/>
      <c r="AM1425" s="76"/>
      <c r="AN1425" s="76"/>
    </row>
    <row r="1426" spans="1:40" ht="15">
      <c r="A1426" s="83" t="e">
        <f>IF(#REF!&lt;&gt;#REF!,1,A1425+1)</f>
        <v>#REF!</v>
      </c>
      <c r="O1426" s="79"/>
      <c r="P1426" s="79"/>
      <c r="Q1426" s="76"/>
      <c r="R1426" s="77"/>
      <c r="S1426" s="76"/>
      <c r="T1426" s="77"/>
      <c r="U1426" s="76"/>
      <c r="V1426" s="77"/>
      <c r="W1426" s="76"/>
      <c r="X1426" s="77"/>
      <c r="Y1426" s="76"/>
      <c r="Z1426" s="76"/>
      <c r="AA1426" s="76"/>
      <c r="AB1426" s="76"/>
      <c r="AC1426" s="76"/>
      <c r="AD1426" s="76"/>
      <c r="AE1426" s="76"/>
      <c r="AF1426" s="76"/>
      <c r="AG1426" s="76"/>
      <c r="AH1426" s="76"/>
      <c r="AI1426" s="76"/>
      <c r="AJ1426" s="76"/>
      <c r="AK1426" s="76"/>
      <c r="AL1426" s="77"/>
      <c r="AM1426" s="76"/>
      <c r="AN1426" s="76"/>
    </row>
    <row r="1427" spans="1:40" ht="15">
      <c r="A1427" s="83" t="e">
        <f>IF(#REF!&lt;&gt;#REF!,1,A1426+1)</f>
        <v>#REF!</v>
      </c>
      <c r="O1427" s="79"/>
      <c r="P1427" s="79"/>
      <c r="Q1427" s="76"/>
      <c r="R1427" s="77"/>
      <c r="S1427" s="76"/>
      <c r="T1427" s="77"/>
      <c r="U1427" s="76"/>
      <c r="V1427" s="77"/>
      <c r="W1427" s="76"/>
      <c r="X1427" s="77"/>
      <c r="Y1427" s="76"/>
      <c r="Z1427" s="76"/>
      <c r="AA1427" s="76"/>
      <c r="AB1427" s="76"/>
      <c r="AC1427" s="76"/>
      <c r="AD1427" s="76"/>
      <c r="AE1427" s="76"/>
      <c r="AF1427" s="76"/>
      <c r="AG1427" s="76"/>
      <c r="AH1427" s="76"/>
      <c r="AI1427" s="76"/>
      <c r="AJ1427" s="76"/>
      <c r="AK1427" s="76"/>
      <c r="AL1427" s="77"/>
      <c r="AM1427" s="76"/>
      <c r="AN1427" s="76"/>
    </row>
    <row r="1428" spans="1:40" ht="15">
      <c r="A1428" s="83" t="e">
        <f>IF(#REF!&lt;&gt;#REF!,1,A1427+1)</f>
        <v>#REF!</v>
      </c>
      <c r="O1428" s="79"/>
      <c r="P1428" s="79"/>
      <c r="Q1428" s="76"/>
      <c r="R1428" s="77"/>
      <c r="S1428" s="76"/>
      <c r="T1428" s="77"/>
      <c r="U1428" s="76"/>
      <c r="V1428" s="77"/>
      <c r="W1428" s="76"/>
      <c r="X1428" s="77"/>
      <c r="Y1428" s="76"/>
      <c r="Z1428" s="76"/>
      <c r="AA1428" s="76"/>
      <c r="AB1428" s="76"/>
      <c r="AC1428" s="76"/>
      <c r="AD1428" s="76"/>
      <c r="AE1428" s="76"/>
      <c r="AF1428" s="76"/>
      <c r="AG1428" s="76"/>
      <c r="AH1428" s="76"/>
      <c r="AI1428" s="76"/>
      <c r="AJ1428" s="76"/>
      <c r="AK1428" s="76"/>
      <c r="AL1428" s="77"/>
      <c r="AM1428" s="76"/>
      <c r="AN1428" s="76"/>
    </row>
    <row r="1429" spans="1:40" ht="15">
      <c r="A1429" s="83" t="e">
        <f>IF(#REF!&lt;&gt;#REF!,1,A1428+1)</f>
        <v>#REF!</v>
      </c>
      <c r="O1429" s="79"/>
      <c r="P1429" s="79"/>
      <c r="Q1429" s="76"/>
      <c r="R1429" s="77"/>
      <c r="S1429" s="76"/>
      <c r="T1429" s="77"/>
      <c r="U1429" s="76"/>
      <c r="V1429" s="77"/>
      <c r="W1429" s="76"/>
      <c r="X1429" s="77"/>
      <c r="Y1429" s="76"/>
      <c r="Z1429" s="76"/>
      <c r="AA1429" s="76"/>
      <c r="AB1429" s="76"/>
      <c r="AC1429" s="76"/>
      <c r="AD1429" s="76"/>
      <c r="AE1429" s="76"/>
      <c r="AF1429" s="76"/>
      <c r="AG1429" s="76"/>
      <c r="AH1429" s="76"/>
      <c r="AI1429" s="76"/>
      <c r="AJ1429" s="76"/>
      <c r="AK1429" s="76"/>
      <c r="AL1429" s="77"/>
      <c r="AM1429" s="76"/>
      <c r="AN1429" s="76"/>
    </row>
    <row r="1430" spans="1:40" ht="15">
      <c r="A1430" s="83" t="e">
        <f>IF(#REF!&lt;&gt;#REF!,1,A1429+1)</f>
        <v>#REF!</v>
      </c>
      <c r="O1430" s="79"/>
      <c r="P1430" s="79"/>
      <c r="Q1430" s="76"/>
      <c r="R1430" s="77"/>
      <c r="S1430" s="76"/>
      <c r="T1430" s="77"/>
      <c r="U1430" s="76"/>
      <c r="V1430" s="77"/>
      <c r="W1430" s="76"/>
      <c r="X1430" s="77"/>
      <c r="Y1430" s="76"/>
      <c r="Z1430" s="76"/>
      <c r="AA1430" s="76"/>
      <c r="AB1430" s="76"/>
      <c r="AC1430" s="76"/>
      <c r="AD1430" s="76"/>
      <c r="AE1430" s="76"/>
      <c r="AF1430" s="76"/>
      <c r="AG1430" s="76"/>
      <c r="AH1430" s="76"/>
      <c r="AI1430" s="76"/>
      <c r="AJ1430" s="76"/>
      <c r="AK1430" s="76"/>
      <c r="AL1430" s="77"/>
      <c r="AM1430" s="76"/>
      <c r="AN1430" s="76"/>
    </row>
    <row r="1431" spans="1:40" ht="15">
      <c r="A1431" s="83" t="e">
        <f>IF(#REF!&lt;&gt;#REF!,1,A1430+1)</f>
        <v>#REF!</v>
      </c>
      <c r="O1431" s="79"/>
      <c r="P1431" s="79"/>
      <c r="Q1431" s="76"/>
      <c r="R1431" s="77"/>
      <c r="S1431" s="76"/>
      <c r="T1431" s="77"/>
      <c r="U1431" s="76"/>
      <c r="V1431" s="77"/>
      <c r="W1431" s="76"/>
      <c r="X1431" s="77"/>
      <c r="Y1431" s="76"/>
      <c r="Z1431" s="76"/>
      <c r="AA1431" s="76"/>
      <c r="AB1431" s="76"/>
      <c r="AC1431" s="76"/>
      <c r="AD1431" s="76"/>
      <c r="AE1431" s="76"/>
      <c r="AF1431" s="76"/>
      <c r="AG1431" s="76"/>
      <c r="AH1431" s="76"/>
      <c r="AI1431" s="76"/>
      <c r="AJ1431" s="76"/>
      <c r="AK1431" s="76"/>
      <c r="AL1431" s="77"/>
      <c r="AM1431" s="76"/>
      <c r="AN1431" s="76"/>
    </row>
    <row r="1432" spans="1:40" ht="15">
      <c r="A1432" s="83" t="e">
        <f>IF(#REF!&lt;&gt;#REF!,1,A1431+1)</f>
        <v>#REF!</v>
      </c>
      <c r="O1432" s="79"/>
      <c r="P1432" s="79"/>
      <c r="Q1432" s="76"/>
      <c r="R1432" s="77"/>
      <c r="S1432" s="76"/>
      <c r="T1432" s="77"/>
      <c r="U1432" s="76"/>
      <c r="V1432" s="77"/>
      <c r="W1432" s="76"/>
      <c r="X1432" s="77"/>
      <c r="Y1432" s="76"/>
      <c r="Z1432" s="76"/>
      <c r="AA1432" s="76"/>
      <c r="AB1432" s="76"/>
      <c r="AC1432" s="76"/>
      <c r="AD1432" s="76"/>
      <c r="AE1432" s="76"/>
      <c r="AF1432" s="76"/>
      <c r="AG1432" s="76"/>
      <c r="AH1432" s="76"/>
      <c r="AI1432" s="76"/>
      <c r="AJ1432" s="76"/>
      <c r="AK1432" s="76"/>
      <c r="AL1432" s="77"/>
      <c r="AM1432" s="76"/>
      <c r="AN1432" s="76"/>
    </row>
    <row r="1433" spans="1:40" ht="15">
      <c r="A1433" s="83" t="e">
        <f>IF(#REF!&lt;&gt;#REF!,1,A1432+1)</f>
        <v>#REF!</v>
      </c>
      <c r="O1433" s="79"/>
      <c r="P1433" s="79"/>
      <c r="Q1433" s="76"/>
      <c r="R1433" s="77"/>
      <c r="S1433" s="76"/>
      <c r="T1433" s="77"/>
      <c r="U1433" s="76"/>
      <c r="V1433" s="77"/>
      <c r="W1433" s="76"/>
      <c r="X1433" s="77"/>
      <c r="Y1433" s="76"/>
      <c r="Z1433" s="76"/>
      <c r="AA1433" s="76"/>
      <c r="AB1433" s="76"/>
      <c r="AC1433" s="76"/>
      <c r="AD1433" s="76"/>
      <c r="AE1433" s="76"/>
      <c r="AF1433" s="76"/>
      <c r="AG1433" s="76"/>
      <c r="AH1433" s="76"/>
      <c r="AI1433" s="76"/>
      <c r="AJ1433" s="76"/>
      <c r="AK1433" s="76"/>
      <c r="AL1433" s="77"/>
      <c r="AM1433" s="76"/>
      <c r="AN1433" s="76"/>
    </row>
    <row r="1434" spans="1:40" ht="15">
      <c r="A1434" s="83" t="e">
        <f>IF(#REF!&lt;&gt;#REF!,1,A1433+1)</f>
        <v>#REF!</v>
      </c>
      <c r="O1434" s="79"/>
      <c r="P1434" s="79"/>
      <c r="Q1434" s="76"/>
      <c r="R1434" s="77"/>
      <c r="S1434" s="76"/>
      <c r="T1434" s="77"/>
      <c r="U1434" s="76"/>
      <c r="V1434" s="77"/>
      <c r="W1434" s="76"/>
      <c r="X1434" s="77"/>
      <c r="Y1434" s="76"/>
      <c r="Z1434" s="76"/>
      <c r="AA1434" s="76"/>
      <c r="AB1434" s="76"/>
      <c r="AC1434" s="76"/>
      <c r="AD1434" s="76"/>
      <c r="AE1434" s="76"/>
      <c r="AF1434" s="76"/>
      <c r="AG1434" s="76"/>
      <c r="AH1434" s="76"/>
      <c r="AI1434" s="76"/>
      <c r="AJ1434" s="76"/>
      <c r="AK1434" s="76"/>
      <c r="AL1434" s="77"/>
      <c r="AM1434" s="76"/>
      <c r="AN1434" s="76"/>
    </row>
    <row r="1435" spans="1:40" ht="15">
      <c r="A1435" s="83" t="e">
        <f>IF(#REF!&lt;&gt;#REF!,1,A1434+1)</f>
        <v>#REF!</v>
      </c>
      <c r="O1435" s="79"/>
      <c r="P1435" s="79"/>
      <c r="Q1435" s="76"/>
      <c r="R1435" s="77"/>
      <c r="S1435" s="76"/>
      <c r="T1435" s="77"/>
      <c r="U1435" s="76"/>
      <c r="V1435" s="77"/>
      <c r="W1435" s="76"/>
      <c r="X1435" s="77"/>
      <c r="Y1435" s="76"/>
      <c r="Z1435" s="76"/>
      <c r="AA1435" s="76"/>
      <c r="AB1435" s="76"/>
      <c r="AC1435" s="76"/>
      <c r="AD1435" s="76"/>
      <c r="AE1435" s="76"/>
      <c r="AF1435" s="76"/>
      <c r="AG1435" s="76"/>
      <c r="AH1435" s="76"/>
      <c r="AI1435" s="76"/>
      <c r="AJ1435" s="76"/>
      <c r="AK1435" s="76"/>
      <c r="AL1435" s="77"/>
      <c r="AM1435" s="76"/>
      <c r="AN1435" s="76"/>
    </row>
    <row r="1436" spans="1:40" ht="15">
      <c r="A1436" s="83" t="e">
        <f>IF(#REF!&lt;&gt;#REF!,1,A1435+1)</f>
        <v>#REF!</v>
      </c>
      <c r="O1436" s="79"/>
      <c r="P1436" s="79"/>
      <c r="Q1436" s="76"/>
      <c r="R1436" s="77"/>
      <c r="S1436" s="76"/>
      <c r="T1436" s="77"/>
      <c r="U1436" s="76"/>
      <c r="V1436" s="77"/>
      <c r="W1436" s="76"/>
      <c r="X1436" s="77"/>
      <c r="Y1436" s="76"/>
      <c r="Z1436" s="76"/>
      <c r="AA1436" s="76"/>
      <c r="AB1436" s="76"/>
      <c r="AC1436" s="76"/>
      <c r="AD1436" s="76"/>
      <c r="AE1436" s="76"/>
      <c r="AF1436" s="76"/>
      <c r="AG1436" s="76"/>
      <c r="AH1436" s="76"/>
      <c r="AI1436" s="76"/>
      <c r="AJ1436" s="76"/>
      <c r="AK1436" s="76"/>
      <c r="AL1436" s="77"/>
      <c r="AM1436" s="76"/>
      <c r="AN1436" s="76"/>
    </row>
    <row r="1437" spans="1:40" ht="15">
      <c r="A1437" s="83" t="e">
        <f>IF(#REF!&lt;&gt;#REF!,1,A1436+1)</f>
        <v>#REF!</v>
      </c>
      <c r="O1437" s="79"/>
      <c r="P1437" s="79"/>
      <c r="Q1437" s="76"/>
      <c r="R1437" s="77"/>
      <c r="S1437" s="76"/>
      <c r="T1437" s="77"/>
      <c r="U1437" s="76"/>
      <c r="V1437" s="77"/>
      <c r="W1437" s="76"/>
      <c r="X1437" s="77"/>
      <c r="Y1437" s="76"/>
      <c r="Z1437" s="76"/>
      <c r="AA1437" s="76"/>
      <c r="AB1437" s="76"/>
      <c r="AC1437" s="76"/>
      <c r="AD1437" s="76"/>
      <c r="AE1437" s="76"/>
      <c r="AF1437" s="76"/>
      <c r="AG1437" s="76"/>
      <c r="AH1437" s="76"/>
      <c r="AI1437" s="76"/>
      <c r="AJ1437" s="76"/>
      <c r="AK1437" s="76"/>
      <c r="AL1437" s="77"/>
      <c r="AM1437" s="76"/>
      <c r="AN1437" s="76"/>
    </row>
    <row r="1438" spans="1:40" ht="15">
      <c r="A1438" s="83" t="e">
        <f>IF(#REF!&lt;&gt;#REF!,1,A1437+1)</f>
        <v>#REF!</v>
      </c>
      <c r="O1438" s="79"/>
      <c r="P1438" s="79"/>
      <c r="Q1438" s="76"/>
      <c r="R1438" s="77"/>
      <c r="S1438" s="76"/>
      <c r="T1438" s="77"/>
      <c r="U1438" s="76"/>
      <c r="V1438" s="77"/>
      <c r="W1438" s="76"/>
      <c r="X1438" s="77"/>
      <c r="Y1438" s="76"/>
      <c r="Z1438" s="76"/>
      <c r="AA1438" s="76"/>
      <c r="AB1438" s="76"/>
      <c r="AC1438" s="76"/>
      <c r="AD1438" s="76"/>
      <c r="AE1438" s="76"/>
      <c r="AF1438" s="76"/>
      <c r="AG1438" s="76"/>
      <c r="AH1438" s="76"/>
      <c r="AI1438" s="76"/>
      <c r="AJ1438" s="76"/>
      <c r="AK1438" s="76"/>
      <c r="AL1438" s="77"/>
      <c r="AM1438" s="76"/>
      <c r="AN1438" s="76"/>
    </row>
    <row r="1439" spans="1:40" ht="15">
      <c r="A1439" s="83" t="e">
        <f>IF(#REF!&lt;&gt;#REF!,1,A1438+1)</f>
        <v>#REF!</v>
      </c>
      <c r="O1439" s="79"/>
      <c r="P1439" s="79"/>
      <c r="Q1439" s="76"/>
      <c r="R1439" s="77"/>
      <c r="S1439" s="76"/>
      <c r="T1439" s="77"/>
      <c r="U1439" s="76"/>
      <c r="V1439" s="77"/>
      <c r="W1439" s="76"/>
      <c r="X1439" s="77"/>
      <c r="Y1439" s="76"/>
      <c r="Z1439" s="76"/>
      <c r="AA1439" s="76"/>
      <c r="AB1439" s="76"/>
      <c r="AC1439" s="76"/>
      <c r="AD1439" s="76"/>
      <c r="AE1439" s="76"/>
      <c r="AF1439" s="76"/>
      <c r="AG1439" s="76"/>
      <c r="AH1439" s="76"/>
      <c r="AI1439" s="76"/>
      <c r="AJ1439" s="76"/>
      <c r="AK1439" s="76"/>
      <c r="AL1439" s="77"/>
      <c r="AM1439" s="76"/>
      <c r="AN1439" s="76"/>
    </row>
    <row r="1440" spans="1:40" ht="15">
      <c r="A1440" s="83" t="e">
        <f>IF(#REF!&lt;&gt;#REF!,1,A1439+1)</f>
        <v>#REF!</v>
      </c>
      <c r="O1440" s="79"/>
      <c r="P1440" s="79"/>
      <c r="Q1440" s="76"/>
      <c r="R1440" s="77"/>
      <c r="S1440" s="76"/>
      <c r="T1440" s="77"/>
      <c r="U1440" s="76"/>
      <c r="V1440" s="77"/>
      <c r="W1440" s="76"/>
      <c r="X1440" s="77"/>
      <c r="Y1440" s="76"/>
      <c r="Z1440" s="76"/>
      <c r="AA1440" s="76"/>
      <c r="AB1440" s="76"/>
      <c r="AC1440" s="76"/>
      <c r="AD1440" s="76"/>
      <c r="AE1440" s="76"/>
      <c r="AF1440" s="76"/>
      <c r="AG1440" s="76"/>
      <c r="AH1440" s="76"/>
      <c r="AI1440" s="76"/>
      <c r="AJ1440" s="76"/>
      <c r="AK1440" s="76"/>
      <c r="AL1440" s="77"/>
      <c r="AM1440" s="76"/>
      <c r="AN1440" s="76"/>
    </row>
    <row r="1441" spans="1:40" ht="15">
      <c r="A1441" s="83" t="e">
        <f>IF(#REF!&lt;&gt;#REF!,1,A1440+1)</f>
        <v>#REF!</v>
      </c>
      <c r="O1441" s="79"/>
      <c r="P1441" s="79"/>
      <c r="Q1441" s="76"/>
      <c r="R1441" s="77"/>
      <c r="S1441" s="76"/>
      <c r="T1441" s="77"/>
      <c r="U1441" s="76"/>
      <c r="V1441" s="77"/>
      <c r="W1441" s="76"/>
      <c r="X1441" s="77"/>
      <c r="Y1441" s="76"/>
      <c r="Z1441" s="76"/>
      <c r="AA1441" s="76"/>
      <c r="AB1441" s="76"/>
      <c r="AC1441" s="76"/>
      <c r="AD1441" s="76"/>
      <c r="AE1441" s="76"/>
      <c r="AF1441" s="76"/>
      <c r="AG1441" s="76"/>
      <c r="AH1441" s="76"/>
      <c r="AI1441" s="76"/>
      <c r="AJ1441" s="76"/>
      <c r="AK1441" s="76"/>
      <c r="AL1441" s="77"/>
      <c r="AM1441" s="76"/>
      <c r="AN1441" s="76"/>
    </row>
    <row r="1442" spans="1:40" ht="15">
      <c r="A1442" s="83" t="e">
        <f>IF(#REF!&lt;&gt;#REF!,1,A1441+1)</f>
        <v>#REF!</v>
      </c>
      <c r="O1442" s="79"/>
      <c r="P1442" s="79"/>
      <c r="Q1442" s="76"/>
      <c r="R1442" s="77"/>
      <c r="S1442" s="76"/>
      <c r="T1442" s="77"/>
      <c r="U1442" s="76"/>
      <c r="V1442" s="77"/>
      <c r="W1442" s="76"/>
      <c r="X1442" s="77"/>
      <c r="Y1442" s="76"/>
      <c r="Z1442" s="76"/>
      <c r="AA1442" s="76"/>
      <c r="AB1442" s="76"/>
      <c r="AC1442" s="76"/>
      <c r="AD1442" s="76"/>
      <c r="AE1442" s="76"/>
      <c r="AF1442" s="76"/>
      <c r="AG1442" s="76"/>
      <c r="AH1442" s="76"/>
      <c r="AI1442" s="76"/>
      <c r="AJ1442" s="76"/>
      <c r="AK1442" s="76"/>
      <c r="AL1442" s="77"/>
      <c r="AM1442" s="76"/>
      <c r="AN1442" s="76"/>
    </row>
    <row r="1443" spans="1:40" ht="15">
      <c r="A1443" s="83" t="e">
        <f>IF(#REF!&lt;&gt;#REF!,1,A1442+1)</f>
        <v>#REF!</v>
      </c>
      <c r="O1443" s="79"/>
      <c r="P1443" s="79"/>
      <c r="Q1443" s="76"/>
      <c r="R1443" s="77"/>
      <c r="S1443" s="76"/>
      <c r="T1443" s="77"/>
      <c r="U1443" s="76"/>
      <c r="V1443" s="77"/>
      <c r="W1443" s="76"/>
      <c r="X1443" s="77"/>
      <c r="Y1443" s="76"/>
      <c r="Z1443" s="76"/>
      <c r="AA1443" s="76"/>
      <c r="AB1443" s="76"/>
      <c r="AC1443" s="76"/>
      <c r="AD1443" s="76"/>
      <c r="AE1443" s="76"/>
      <c r="AF1443" s="76"/>
      <c r="AG1443" s="76"/>
      <c r="AH1443" s="76"/>
      <c r="AI1443" s="76"/>
      <c r="AJ1443" s="76"/>
      <c r="AK1443" s="76"/>
      <c r="AL1443" s="77"/>
      <c r="AM1443" s="76"/>
      <c r="AN1443" s="76"/>
    </row>
    <row r="1444" spans="1:40" ht="15">
      <c r="A1444" s="83" t="e">
        <f>IF(#REF!&lt;&gt;#REF!,1,A1443+1)</f>
        <v>#REF!</v>
      </c>
      <c r="O1444" s="79"/>
      <c r="P1444" s="79"/>
      <c r="Q1444" s="76"/>
      <c r="R1444" s="77"/>
      <c r="S1444" s="76"/>
      <c r="T1444" s="77"/>
      <c r="U1444" s="76"/>
      <c r="V1444" s="77"/>
      <c r="W1444" s="76"/>
      <c r="X1444" s="77"/>
      <c r="Y1444" s="76"/>
      <c r="Z1444" s="76"/>
      <c r="AA1444" s="76"/>
      <c r="AB1444" s="76"/>
      <c r="AC1444" s="76"/>
      <c r="AD1444" s="76"/>
      <c r="AE1444" s="76"/>
      <c r="AF1444" s="76"/>
      <c r="AG1444" s="76"/>
      <c r="AH1444" s="76"/>
      <c r="AI1444" s="76"/>
      <c r="AJ1444" s="76"/>
      <c r="AK1444" s="76"/>
      <c r="AL1444" s="77"/>
      <c r="AM1444" s="76"/>
      <c r="AN1444" s="76"/>
    </row>
    <row r="1445" spans="1:40" ht="15">
      <c r="A1445" s="83" t="e">
        <f>IF(#REF!&lt;&gt;#REF!,1,A1444+1)</f>
        <v>#REF!</v>
      </c>
      <c r="O1445" s="79"/>
      <c r="P1445" s="79"/>
      <c r="Q1445" s="76"/>
      <c r="R1445" s="77"/>
      <c r="S1445" s="76"/>
      <c r="T1445" s="77"/>
      <c r="U1445" s="76"/>
      <c r="V1445" s="77"/>
      <c r="W1445" s="76"/>
      <c r="X1445" s="77"/>
      <c r="Y1445" s="76"/>
      <c r="Z1445" s="76"/>
      <c r="AA1445" s="76"/>
      <c r="AB1445" s="76"/>
      <c r="AC1445" s="76"/>
      <c r="AD1445" s="76"/>
      <c r="AE1445" s="76"/>
      <c r="AF1445" s="76"/>
      <c r="AG1445" s="76"/>
      <c r="AH1445" s="76"/>
      <c r="AI1445" s="76"/>
      <c r="AJ1445" s="76"/>
      <c r="AK1445" s="76"/>
      <c r="AL1445" s="77"/>
      <c r="AM1445" s="76"/>
      <c r="AN1445" s="76"/>
    </row>
    <row r="1446" spans="1:40" ht="15">
      <c r="A1446" s="83" t="e">
        <f>IF(#REF!&lt;&gt;#REF!,1,A1445+1)</f>
        <v>#REF!</v>
      </c>
      <c r="O1446" s="79"/>
      <c r="P1446" s="79"/>
      <c r="Q1446" s="76"/>
      <c r="R1446" s="77"/>
      <c r="S1446" s="76"/>
      <c r="T1446" s="77"/>
      <c r="U1446" s="76"/>
      <c r="V1446" s="77"/>
      <c r="W1446" s="76"/>
      <c r="X1446" s="77"/>
      <c r="Y1446" s="76"/>
      <c r="Z1446" s="76"/>
      <c r="AA1446" s="76"/>
      <c r="AB1446" s="76"/>
      <c r="AC1446" s="76"/>
      <c r="AD1446" s="76"/>
      <c r="AE1446" s="76"/>
      <c r="AF1446" s="76"/>
      <c r="AG1446" s="76"/>
      <c r="AH1446" s="76"/>
      <c r="AI1446" s="76"/>
      <c r="AJ1446" s="76"/>
      <c r="AK1446" s="76"/>
      <c r="AL1446" s="77"/>
      <c r="AM1446" s="76"/>
      <c r="AN1446" s="76"/>
    </row>
    <row r="1447" spans="1:40" ht="15">
      <c r="A1447" s="83" t="e">
        <f>IF(#REF!&lt;&gt;#REF!,1,A1446+1)</f>
        <v>#REF!</v>
      </c>
      <c r="O1447" s="79"/>
      <c r="P1447" s="79"/>
      <c r="Q1447" s="76"/>
      <c r="R1447" s="77"/>
      <c r="S1447" s="76"/>
      <c r="T1447" s="77"/>
      <c r="U1447" s="76"/>
      <c r="V1447" s="77"/>
      <c r="W1447" s="76"/>
      <c r="X1447" s="77"/>
      <c r="Y1447" s="76"/>
      <c r="Z1447" s="76"/>
      <c r="AA1447" s="76"/>
      <c r="AB1447" s="76"/>
      <c r="AC1447" s="76"/>
      <c r="AD1447" s="76"/>
      <c r="AE1447" s="76"/>
      <c r="AF1447" s="76"/>
      <c r="AG1447" s="76"/>
      <c r="AH1447" s="76"/>
      <c r="AI1447" s="76"/>
      <c r="AJ1447" s="76"/>
      <c r="AK1447" s="76"/>
      <c r="AL1447" s="77"/>
      <c r="AM1447" s="76"/>
      <c r="AN1447" s="76"/>
    </row>
    <row r="1448" spans="1:40" ht="15">
      <c r="A1448" s="83" t="e">
        <f>IF(#REF!&lt;&gt;#REF!,1,A1447+1)</f>
        <v>#REF!</v>
      </c>
      <c r="O1448" s="79"/>
      <c r="P1448" s="79"/>
      <c r="Q1448" s="76"/>
      <c r="R1448" s="77"/>
      <c r="S1448" s="76"/>
      <c r="T1448" s="77"/>
      <c r="U1448" s="76"/>
      <c r="V1448" s="77"/>
      <c r="W1448" s="76"/>
      <c r="X1448" s="77"/>
      <c r="Y1448" s="76"/>
      <c r="Z1448" s="76"/>
      <c r="AA1448" s="76"/>
      <c r="AB1448" s="76"/>
      <c r="AC1448" s="76"/>
      <c r="AD1448" s="76"/>
      <c r="AE1448" s="76"/>
      <c r="AF1448" s="76"/>
      <c r="AG1448" s="76"/>
      <c r="AH1448" s="76"/>
      <c r="AI1448" s="76"/>
      <c r="AJ1448" s="76"/>
      <c r="AK1448" s="76"/>
      <c r="AL1448" s="77"/>
      <c r="AM1448" s="76"/>
      <c r="AN1448" s="76"/>
    </row>
    <row r="1449" spans="1:40" ht="15">
      <c r="A1449" s="83" t="e">
        <f>IF(#REF!&lt;&gt;#REF!,1,A1448+1)</f>
        <v>#REF!</v>
      </c>
      <c r="O1449" s="79"/>
      <c r="P1449" s="79"/>
      <c r="Q1449" s="76"/>
      <c r="R1449" s="77"/>
      <c r="S1449" s="76"/>
      <c r="T1449" s="77"/>
      <c r="U1449" s="76"/>
      <c r="V1449" s="77"/>
      <c r="W1449" s="76"/>
      <c r="X1449" s="77"/>
      <c r="Y1449" s="76"/>
      <c r="Z1449" s="76"/>
      <c r="AA1449" s="76"/>
      <c r="AB1449" s="76"/>
      <c r="AC1449" s="76"/>
      <c r="AD1449" s="76"/>
      <c r="AE1449" s="76"/>
      <c r="AF1449" s="76"/>
      <c r="AG1449" s="76"/>
      <c r="AH1449" s="76"/>
      <c r="AI1449" s="76"/>
      <c r="AJ1449" s="76"/>
      <c r="AK1449" s="76"/>
      <c r="AL1449" s="77"/>
      <c r="AM1449" s="76"/>
      <c r="AN1449" s="76"/>
    </row>
    <row r="1450" spans="1:40" ht="15">
      <c r="A1450" s="83" t="e">
        <f>IF(#REF!&lt;&gt;#REF!,1,A1449+1)</f>
        <v>#REF!</v>
      </c>
      <c r="O1450" s="79"/>
      <c r="P1450" s="79"/>
      <c r="Q1450" s="76"/>
      <c r="R1450" s="77"/>
      <c r="S1450" s="76"/>
      <c r="T1450" s="77"/>
      <c r="U1450" s="76"/>
      <c r="V1450" s="77"/>
      <c r="W1450" s="76"/>
      <c r="X1450" s="77"/>
      <c r="Y1450" s="76"/>
      <c r="Z1450" s="76"/>
      <c r="AA1450" s="76"/>
      <c r="AB1450" s="76"/>
      <c r="AC1450" s="76"/>
      <c r="AD1450" s="76"/>
      <c r="AE1450" s="76"/>
      <c r="AF1450" s="76"/>
      <c r="AG1450" s="76"/>
      <c r="AH1450" s="76"/>
      <c r="AI1450" s="76"/>
      <c r="AJ1450" s="76"/>
      <c r="AK1450" s="76"/>
      <c r="AL1450" s="77"/>
      <c r="AM1450" s="76"/>
      <c r="AN1450" s="76"/>
    </row>
    <row r="1451" spans="1:40" ht="15">
      <c r="A1451" s="83" t="e">
        <f>IF(#REF!&lt;&gt;#REF!,1,A1450+1)</f>
        <v>#REF!</v>
      </c>
      <c r="O1451" s="79"/>
      <c r="P1451" s="79"/>
      <c r="Q1451" s="76"/>
      <c r="R1451" s="77"/>
      <c r="S1451" s="76"/>
      <c r="T1451" s="77"/>
      <c r="U1451" s="76"/>
      <c r="V1451" s="77"/>
      <c r="W1451" s="76"/>
      <c r="X1451" s="77"/>
      <c r="Y1451" s="76"/>
      <c r="Z1451" s="76"/>
      <c r="AA1451" s="76"/>
      <c r="AB1451" s="76"/>
      <c r="AC1451" s="76"/>
      <c r="AD1451" s="76"/>
      <c r="AE1451" s="76"/>
      <c r="AF1451" s="76"/>
      <c r="AG1451" s="76"/>
      <c r="AH1451" s="76"/>
      <c r="AI1451" s="76"/>
      <c r="AJ1451" s="76"/>
      <c r="AK1451" s="76"/>
      <c r="AL1451" s="77"/>
      <c r="AM1451" s="76"/>
      <c r="AN1451" s="76"/>
    </row>
    <row r="1452" spans="1:40" ht="15">
      <c r="A1452" s="83" t="e">
        <f>IF(#REF!&lt;&gt;#REF!,1,A1451+1)</f>
        <v>#REF!</v>
      </c>
      <c r="O1452" s="79"/>
      <c r="P1452" s="79"/>
      <c r="Q1452" s="76"/>
      <c r="R1452" s="77"/>
      <c r="S1452" s="76"/>
      <c r="T1452" s="77"/>
      <c r="U1452" s="76"/>
      <c r="V1452" s="77"/>
      <c r="W1452" s="76"/>
      <c r="X1452" s="77"/>
      <c r="Y1452" s="76"/>
      <c r="Z1452" s="76"/>
      <c r="AA1452" s="76"/>
      <c r="AB1452" s="76"/>
      <c r="AC1452" s="76"/>
      <c r="AD1452" s="76"/>
      <c r="AE1452" s="76"/>
      <c r="AF1452" s="76"/>
      <c r="AG1452" s="76"/>
      <c r="AH1452" s="76"/>
      <c r="AI1452" s="76"/>
      <c r="AJ1452" s="76"/>
      <c r="AK1452" s="76"/>
      <c r="AL1452" s="77"/>
      <c r="AM1452" s="76"/>
      <c r="AN1452" s="76"/>
    </row>
    <row r="1453" spans="1:40" ht="15">
      <c r="A1453" s="83" t="e">
        <f>IF(#REF!&lt;&gt;#REF!,1,A1452+1)</f>
        <v>#REF!</v>
      </c>
      <c r="O1453" s="79"/>
      <c r="P1453" s="79"/>
      <c r="Q1453" s="76"/>
      <c r="R1453" s="77"/>
      <c r="S1453" s="76"/>
      <c r="T1453" s="77"/>
      <c r="U1453" s="76"/>
      <c r="V1453" s="77"/>
      <c r="W1453" s="76"/>
      <c r="X1453" s="77"/>
      <c r="Y1453" s="76"/>
      <c r="Z1453" s="76"/>
      <c r="AA1453" s="76"/>
      <c r="AB1453" s="76"/>
      <c r="AC1453" s="76"/>
      <c r="AD1453" s="76"/>
      <c r="AE1453" s="76"/>
      <c r="AF1453" s="76"/>
      <c r="AG1453" s="76"/>
      <c r="AH1453" s="76"/>
      <c r="AI1453" s="76"/>
      <c r="AJ1453" s="76"/>
      <c r="AK1453" s="76"/>
      <c r="AL1453" s="77"/>
      <c r="AM1453" s="76"/>
      <c r="AN1453" s="76"/>
    </row>
    <row r="1454" spans="1:40" ht="15">
      <c r="A1454" s="83" t="e">
        <f>IF(#REF!&lt;&gt;#REF!,1,A1453+1)</f>
        <v>#REF!</v>
      </c>
      <c r="O1454" s="79"/>
      <c r="P1454" s="79"/>
      <c r="Q1454" s="76"/>
      <c r="R1454" s="77"/>
      <c r="S1454" s="76"/>
      <c r="T1454" s="77"/>
      <c r="U1454" s="76"/>
      <c r="V1454" s="77"/>
      <c r="W1454" s="76"/>
      <c r="X1454" s="77"/>
      <c r="Y1454" s="76"/>
      <c r="Z1454" s="76"/>
      <c r="AA1454" s="76"/>
      <c r="AB1454" s="76"/>
      <c r="AC1454" s="76"/>
      <c r="AD1454" s="76"/>
      <c r="AE1454" s="76"/>
      <c r="AF1454" s="76"/>
      <c r="AG1454" s="76"/>
      <c r="AH1454" s="76"/>
      <c r="AI1454" s="76"/>
      <c r="AJ1454" s="76"/>
      <c r="AK1454" s="76"/>
      <c r="AL1454" s="77"/>
      <c r="AM1454" s="76"/>
      <c r="AN1454" s="76"/>
    </row>
    <row r="1455" spans="1:40" ht="15">
      <c r="A1455" s="83" t="e">
        <f>IF(#REF!&lt;&gt;#REF!,1,A1454+1)</f>
        <v>#REF!</v>
      </c>
      <c r="O1455" s="79"/>
      <c r="P1455" s="79"/>
      <c r="Q1455" s="76"/>
      <c r="R1455" s="77"/>
      <c r="S1455" s="76"/>
      <c r="T1455" s="77"/>
      <c r="U1455" s="76"/>
      <c r="V1455" s="77"/>
      <c r="W1455" s="76"/>
      <c r="X1455" s="77"/>
      <c r="Y1455" s="76"/>
      <c r="Z1455" s="76"/>
      <c r="AA1455" s="76"/>
      <c r="AB1455" s="76"/>
      <c r="AC1455" s="76"/>
      <c r="AD1455" s="76"/>
      <c r="AE1455" s="76"/>
      <c r="AF1455" s="76"/>
      <c r="AG1455" s="76"/>
      <c r="AH1455" s="76"/>
      <c r="AI1455" s="76"/>
      <c r="AJ1455" s="76"/>
      <c r="AK1455" s="76"/>
      <c r="AL1455" s="77"/>
      <c r="AM1455" s="76"/>
      <c r="AN1455" s="76"/>
    </row>
    <row r="1456" spans="1:40" ht="15">
      <c r="A1456" s="83" t="e">
        <f>IF(#REF!&lt;&gt;#REF!,1,A1455+1)</f>
        <v>#REF!</v>
      </c>
      <c r="O1456" s="79"/>
      <c r="P1456" s="79"/>
      <c r="Q1456" s="76"/>
      <c r="R1456" s="77"/>
      <c r="S1456" s="76"/>
      <c r="T1456" s="77"/>
      <c r="U1456" s="76"/>
      <c r="V1456" s="77"/>
      <c r="W1456" s="76"/>
      <c r="X1456" s="77"/>
      <c r="Y1456" s="76"/>
      <c r="Z1456" s="76"/>
      <c r="AA1456" s="76"/>
      <c r="AB1456" s="76"/>
      <c r="AC1456" s="76"/>
      <c r="AD1456" s="76"/>
      <c r="AE1456" s="76"/>
      <c r="AF1456" s="76"/>
      <c r="AG1456" s="76"/>
      <c r="AH1456" s="76"/>
      <c r="AI1456" s="76"/>
      <c r="AJ1456" s="76"/>
      <c r="AK1456" s="76"/>
      <c r="AL1456" s="77"/>
      <c r="AM1456" s="76"/>
      <c r="AN1456" s="76"/>
    </row>
    <row r="1457" spans="1:40" ht="15">
      <c r="A1457" s="83" t="e">
        <f>IF(#REF!&lt;&gt;#REF!,1,A1456+1)</f>
        <v>#REF!</v>
      </c>
      <c r="O1457" s="79"/>
      <c r="P1457" s="79"/>
      <c r="Q1457" s="76"/>
      <c r="R1457" s="77"/>
      <c r="S1457" s="76"/>
      <c r="T1457" s="77"/>
      <c r="U1457" s="76"/>
      <c r="V1457" s="77"/>
      <c r="W1457" s="76"/>
      <c r="X1457" s="77"/>
      <c r="Y1457" s="76"/>
      <c r="Z1457" s="76"/>
      <c r="AA1457" s="76"/>
      <c r="AB1457" s="76"/>
      <c r="AC1457" s="76"/>
      <c r="AD1457" s="76"/>
      <c r="AE1457" s="76"/>
      <c r="AF1457" s="76"/>
      <c r="AG1457" s="76"/>
      <c r="AH1457" s="76"/>
      <c r="AI1457" s="76"/>
      <c r="AJ1457" s="76"/>
      <c r="AK1457" s="76"/>
      <c r="AL1457" s="77"/>
      <c r="AM1457" s="76"/>
      <c r="AN1457" s="76"/>
    </row>
    <row r="1458" spans="1:40" ht="15">
      <c r="A1458" s="83" t="e">
        <f>IF(#REF!&lt;&gt;#REF!,1,A1457+1)</f>
        <v>#REF!</v>
      </c>
      <c r="O1458" s="79"/>
      <c r="P1458" s="79"/>
      <c r="Q1458" s="76"/>
      <c r="R1458" s="77"/>
      <c r="S1458" s="76"/>
      <c r="T1458" s="77"/>
      <c r="U1458" s="76"/>
      <c r="V1458" s="77"/>
      <c r="W1458" s="76"/>
      <c r="X1458" s="77"/>
      <c r="Y1458" s="76"/>
      <c r="Z1458" s="76"/>
      <c r="AA1458" s="76"/>
      <c r="AB1458" s="76"/>
      <c r="AC1458" s="76"/>
      <c r="AD1458" s="76"/>
      <c r="AE1458" s="76"/>
      <c r="AF1458" s="76"/>
      <c r="AG1458" s="76"/>
      <c r="AH1458" s="76"/>
      <c r="AI1458" s="76"/>
      <c r="AJ1458" s="76"/>
      <c r="AK1458" s="76"/>
      <c r="AL1458" s="77"/>
      <c r="AM1458" s="76"/>
      <c r="AN1458" s="76"/>
    </row>
    <row r="1459" spans="1:40" ht="15">
      <c r="A1459" s="83" t="e">
        <f>IF(#REF!&lt;&gt;#REF!,1,A1458+1)</f>
        <v>#REF!</v>
      </c>
      <c r="O1459" s="79"/>
      <c r="P1459" s="79"/>
      <c r="Q1459" s="76"/>
      <c r="R1459" s="77"/>
      <c r="S1459" s="76"/>
      <c r="T1459" s="77"/>
      <c r="U1459" s="76"/>
      <c r="V1459" s="77"/>
      <c r="W1459" s="76"/>
      <c r="X1459" s="77"/>
      <c r="Y1459" s="76"/>
      <c r="Z1459" s="76"/>
      <c r="AA1459" s="76"/>
      <c r="AB1459" s="76"/>
      <c r="AC1459" s="76"/>
      <c r="AD1459" s="76"/>
      <c r="AE1459" s="76"/>
      <c r="AF1459" s="76"/>
      <c r="AG1459" s="76"/>
      <c r="AH1459" s="76"/>
      <c r="AI1459" s="76"/>
      <c r="AJ1459" s="76"/>
      <c r="AK1459" s="76"/>
      <c r="AL1459" s="77"/>
      <c r="AM1459" s="76"/>
      <c r="AN1459" s="76"/>
    </row>
    <row r="1460" spans="1:40" ht="15">
      <c r="A1460" s="83" t="e">
        <f>IF(#REF!&lt;&gt;#REF!,1,A1459+1)</f>
        <v>#REF!</v>
      </c>
      <c r="O1460" s="79"/>
      <c r="P1460" s="79"/>
      <c r="Q1460" s="76"/>
      <c r="R1460" s="77"/>
      <c r="S1460" s="76"/>
      <c r="T1460" s="77"/>
      <c r="U1460" s="76"/>
      <c r="V1460" s="77"/>
      <c r="W1460" s="76"/>
      <c r="X1460" s="77"/>
      <c r="Y1460" s="76"/>
      <c r="Z1460" s="76"/>
      <c r="AA1460" s="76"/>
      <c r="AB1460" s="76"/>
      <c r="AC1460" s="76"/>
      <c r="AD1460" s="76"/>
      <c r="AE1460" s="76"/>
      <c r="AF1460" s="76"/>
      <c r="AG1460" s="76"/>
      <c r="AH1460" s="76"/>
      <c r="AI1460" s="76"/>
      <c r="AJ1460" s="76"/>
      <c r="AK1460" s="76"/>
      <c r="AL1460" s="77"/>
      <c r="AM1460" s="76"/>
      <c r="AN1460" s="76"/>
    </row>
    <row r="1461" spans="1:40" ht="15">
      <c r="A1461" s="83" t="e">
        <f>IF(#REF!&lt;&gt;#REF!,1,A1460+1)</f>
        <v>#REF!</v>
      </c>
      <c r="O1461" s="79"/>
      <c r="P1461" s="79"/>
      <c r="Q1461" s="76"/>
      <c r="R1461" s="77"/>
      <c r="S1461" s="76"/>
      <c r="T1461" s="77"/>
      <c r="U1461" s="76"/>
      <c r="V1461" s="77"/>
      <c r="W1461" s="76"/>
      <c r="X1461" s="77"/>
      <c r="Y1461" s="76"/>
      <c r="Z1461" s="76"/>
      <c r="AA1461" s="76"/>
      <c r="AB1461" s="76"/>
      <c r="AC1461" s="76"/>
      <c r="AD1461" s="76"/>
      <c r="AE1461" s="76"/>
      <c r="AF1461" s="76"/>
      <c r="AG1461" s="76"/>
      <c r="AH1461" s="76"/>
      <c r="AI1461" s="76"/>
      <c r="AJ1461" s="76"/>
      <c r="AK1461" s="76"/>
      <c r="AL1461" s="77"/>
      <c r="AM1461" s="76"/>
      <c r="AN1461" s="76"/>
    </row>
    <row r="1462" spans="1:40" ht="15">
      <c r="A1462" s="83" t="e">
        <f>IF(#REF!&lt;&gt;#REF!,1,A1461+1)</f>
        <v>#REF!</v>
      </c>
      <c r="O1462" s="79"/>
      <c r="P1462" s="79"/>
      <c r="Q1462" s="76"/>
      <c r="R1462" s="77"/>
      <c r="S1462" s="76"/>
      <c r="T1462" s="77"/>
      <c r="U1462" s="76"/>
      <c r="V1462" s="77"/>
      <c r="W1462" s="76"/>
      <c r="X1462" s="77"/>
      <c r="Y1462" s="76"/>
      <c r="Z1462" s="76"/>
      <c r="AA1462" s="76"/>
      <c r="AB1462" s="76"/>
      <c r="AC1462" s="76"/>
      <c r="AD1462" s="76"/>
      <c r="AE1462" s="76"/>
      <c r="AF1462" s="76"/>
      <c r="AG1462" s="76"/>
      <c r="AH1462" s="76"/>
      <c r="AI1462" s="76"/>
      <c r="AJ1462" s="76"/>
      <c r="AK1462" s="76"/>
      <c r="AL1462" s="77"/>
      <c r="AM1462" s="76"/>
      <c r="AN1462" s="76"/>
    </row>
    <row r="1463" spans="1:40" ht="15">
      <c r="A1463" s="83" t="e">
        <f>IF(#REF!&lt;&gt;#REF!,1,A1462+1)</f>
        <v>#REF!</v>
      </c>
      <c r="O1463" s="79"/>
      <c r="P1463" s="79"/>
      <c r="Q1463" s="76"/>
      <c r="R1463" s="77"/>
      <c r="S1463" s="76"/>
      <c r="T1463" s="77"/>
      <c r="U1463" s="76"/>
      <c r="V1463" s="77"/>
      <c r="W1463" s="76"/>
      <c r="X1463" s="77"/>
      <c r="Y1463" s="76"/>
      <c r="Z1463" s="76"/>
      <c r="AA1463" s="76"/>
      <c r="AB1463" s="76"/>
      <c r="AC1463" s="76"/>
      <c r="AD1463" s="76"/>
      <c r="AE1463" s="76"/>
      <c r="AF1463" s="76"/>
      <c r="AG1463" s="76"/>
      <c r="AH1463" s="76"/>
      <c r="AI1463" s="76"/>
      <c r="AJ1463" s="76"/>
      <c r="AK1463" s="76"/>
      <c r="AL1463" s="77"/>
      <c r="AM1463" s="76"/>
      <c r="AN1463" s="76"/>
    </row>
    <row r="1464" spans="1:40" ht="15">
      <c r="A1464" s="83" t="e">
        <f>IF(#REF!&lt;&gt;#REF!,1,A1463+1)</f>
        <v>#REF!</v>
      </c>
      <c r="O1464" s="79"/>
      <c r="P1464" s="79"/>
      <c r="Q1464" s="76"/>
      <c r="R1464" s="77"/>
      <c r="S1464" s="76"/>
      <c r="T1464" s="77"/>
      <c r="U1464" s="76"/>
      <c r="V1464" s="77"/>
      <c r="W1464" s="76"/>
      <c r="X1464" s="77"/>
      <c r="Y1464" s="76"/>
      <c r="Z1464" s="76"/>
      <c r="AA1464" s="76"/>
      <c r="AB1464" s="76"/>
      <c r="AC1464" s="76"/>
      <c r="AD1464" s="76"/>
      <c r="AE1464" s="76"/>
      <c r="AF1464" s="76"/>
      <c r="AG1464" s="76"/>
      <c r="AH1464" s="76"/>
      <c r="AI1464" s="76"/>
      <c r="AJ1464" s="76"/>
      <c r="AK1464" s="76"/>
      <c r="AL1464" s="77"/>
      <c r="AM1464" s="76"/>
      <c r="AN1464" s="76"/>
    </row>
    <row r="1465" spans="1:40" ht="15">
      <c r="A1465" s="83" t="e">
        <f>IF(#REF!&lt;&gt;#REF!,1,A1464+1)</f>
        <v>#REF!</v>
      </c>
      <c r="O1465" s="79"/>
      <c r="P1465" s="79"/>
      <c r="Q1465" s="76"/>
      <c r="R1465" s="77"/>
      <c r="S1465" s="76"/>
      <c r="T1465" s="77"/>
      <c r="U1465" s="76"/>
      <c r="V1465" s="77"/>
      <c r="W1465" s="76"/>
      <c r="X1465" s="77"/>
      <c r="Y1465" s="76"/>
      <c r="Z1465" s="76"/>
      <c r="AA1465" s="76"/>
      <c r="AB1465" s="76"/>
      <c r="AC1465" s="76"/>
      <c r="AD1465" s="76"/>
      <c r="AE1465" s="76"/>
      <c r="AF1465" s="76"/>
      <c r="AG1465" s="76"/>
      <c r="AH1465" s="76"/>
      <c r="AI1465" s="76"/>
      <c r="AJ1465" s="76"/>
      <c r="AK1465" s="76"/>
      <c r="AL1465" s="77"/>
      <c r="AM1465" s="76"/>
      <c r="AN1465" s="76"/>
    </row>
    <row r="1466" spans="1:40" ht="15">
      <c r="A1466" s="83" t="e">
        <f>IF(#REF!&lt;&gt;#REF!,1,A1465+1)</f>
        <v>#REF!</v>
      </c>
      <c r="O1466" s="79"/>
      <c r="P1466" s="79"/>
      <c r="Q1466" s="76"/>
      <c r="R1466" s="77"/>
      <c r="S1466" s="76"/>
      <c r="T1466" s="77"/>
      <c r="U1466" s="76"/>
      <c r="V1466" s="77"/>
      <c r="W1466" s="76"/>
      <c r="X1466" s="77"/>
      <c r="Y1466" s="76"/>
      <c r="Z1466" s="76"/>
      <c r="AA1466" s="76"/>
      <c r="AB1466" s="76"/>
      <c r="AC1466" s="76"/>
      <c r="AD1466" s="76"/>
      <c r="AE1466" s="76"/>
      <c r="AF1466" s="76"/>
      <c r="AG1466" s="76"/>
      <c r="AH1466" s="76"/>
      <c r="AI1466" s="76"/>
      <c r="AJ1466" s="76"/>
      <c r="AK1466" s="76"/>
      <c r="AL1466" s="77"/>
      <c r="AM1466" s="76"/>
      <c r="AN1466" s="76"/>
    </row>
    <row r="1467" spans="1:40" ht="15">
      <c r="A1467" s="83" t="e">
        <f>IF(#REF!&lt;&gt;#REF!,1,A1466+1)</f>
        <v>#REF!</v>
      </c>
      <c r="O1467" s="79"/>
      <c r="P1467" s="79"/>
      <c r="Q1467" s="76"/>
      <c r="R1467" s="77"/>
      <c r="S1467" s="76"/>
      <c r="T1467" s="77"/>
      <c r="U1467" s="76"/>
      <c r="V1467" s="77"/>
      <c r="W1467" s="76"/>
      <c r="X1467" s="77"/>
      <c r="Y1467" s="76"/>
      <c r="Z1467" s="76"/>
      <c r="AA1467" s="76"/>
      <c r="AB1467" s="76"/>
      <c r="AC1467" s="76"/>
      <c r="AD1467" s="76"/>
      <c r="AE1467" s="76"/>
      <c r="AF1467" s="76"/>
      <c r="AG1467" s="76"/>
      <c r="AH1467" s="76"/>
      <c r="AI1467" s="76"/>
      <c r="AJ1467" s="76"/>
      <c r="AK1467" s="76"/>
      <c r="AL1467" s="77"/>
      <c r="AM1467" s="76"/>
      <c r="AN1467" s="76"/>
    </row>
    <row r="1468" spans="1:40" ht="15">
      <c r="A1468" s="83" t="e">
        <f>IF(#REF!&lt;&gt;#REF!,1,A1467+1)</f>
        <v>#REF!</v>
      </c>
      <c r="O1468" s="79"/>
      <c r="P1468" s="79"/>
      <c r="Q1468" s="76"/>
      <c r="R1468" s="77"/>
      <c r="S1468" s="76"/>
      <c r="T1468" s="77"/>
      <c r="U1468" s="76"/>
      <c r="V1468" s="77"/>
      <c r="W1468" s="76"/>
      <c r="X1468" s="77"/>
      <c r="Y1468" s="76"/>
      <c r="Z1468" s="76"/>
      <c r="AA1468" s="76"/>
      <c r="AB1468" s="76"/>
      <c r="AC1468" s="76"/>
      <c r="AD1468" s="76"/>
      <c r="AE1468" s="76"/>
      <c r="AF1468" s="76"/>
      <c r="AG1468" s="76"/>
      <c r="AH1468" s="76"/>
      <c r="AI1468" s="76"/>
      <c r="AJ1468" s="76"/>
      <c r="AK1468" s="76"/>
      <c r="AL1468" s="77"/>
      <c r="AM1468" s="76"/>
      <c r="AN1468" s="76"/>
    </row>
    <row r="1469" spans="1:40" ht="15">
      <c r="A1469" s="83" t="e">
        <f>IF(#REF!&lt;&gt;#REF!,1,A1468+1)</f>
        <v>#REF!</v>
      </c>
      <c r="O1469" s="79"/>
      <c r="P1469" s="79"/>
      <c r="Q1469" s="76"/>
      <c r="R1469" s="77"/>
      <c r="S1469" s="76"/>
      <c r="T1469" s="77"/>
      <c r="U1469" s="76"/>
      <c r="V1469" s="77"/>
      <c r="W1469" s="76"/>
      <c r="X1469" s="77"/>
      <c r="Y1469" s="76"/>
      <c r="Z1469" s="76"/>
      <c r="AA1469" s="76"/>
      <c r="AB1469" s="76"/>
      <c r="AC1469" s="76"/>
      <c r="AD1469" s="76"/>
      <c r="AE1469" s="76"/>
      <c r="AF1469" s="76"/>
      <c r="AG1469" s="76"/>
      <c r="AH1469" s="76"/>
      <c r="AI1469" s="76"/>
      <c r="AJ1469" s="76"/>
      <c r="AK1469" s="76"/>
      <c r="AL1469" s="77"/>
      <c r="AM1469" s="76"/>
      <c r="AN1469" s="76"/>
    </row>
    <row r="1470" spans="1:40" ht="15">
      <c r="A1470" s="83" t="e">
        <f>IF(#REF!&lt;&gt;#REF!,1,A1469+1)</f>
        <v>#REF!</v>
      </c>
      <c r="O1470" s="79"/>
      <c r="P1470" s="79"/>
      <c r="Q1470" s="76"/>
      <c r="R1470" s="77"/>
      <c r="S1470" s="76"/>
      <c r="T1470" s="77"/>
      <c r="U1470" s="76"/>
      <c r="V1470" s="77"/>
      <c r="W1470" s="76"/>
      <c r="X1470" s="77"/>
      <c r="Y1470" s="76"/>
      <c r="Z1470" s="76"/>
      <c r="AA1470" s="76"/>
      <c r="AB1470" s="76"/>
      <c r="AC1470" s="76"/>
      <c r="AD1470" s="76"/>
      <c r="AE1470" s="76"/>
      <c r="AF1470" s="76"/>
      <c r="AG1470" s="76"/>
      <c r="AH1470" s="76"/>
      <c r="AI1470" s="76"/>
      <c r="AJ1470" s="76"/>
      <c r="AK1470" s="76"/>
      <c r="AL1470" s="77"/>
      <c r="AM1470" s="76"/>
      <c r="AN1470" s="76"/>
    </row>
    <row r="1471" spans="1:40" ht="15">
      <c r="A1471" s="83" t="e">
        <f>IF(#REF!&lt;&gt;#REF!,1,A1470+1)</f>
        <v>#REF!</v>
      </c>
      <c r="O1471" s="79"/>
      <c r="P1471" s="79"/>
      <c r="Q1471" s="76"/>
      <c r="R1471" s="77"/>
      <c r="S1471" s="76"/>
      <c r="T1471" s="77"/>
      <c r="U1471" s="76"/>
      <c r="V1471" s="77"/>
      <c r="W1471" s="76"/>
      <c r="X1471" s="77"/>
      <c r="Y1471" s="76"/>
      <c r="Z1471" s="76"/>
      <c r="AA1471" s="76"/>
      <c r="AB1471" s="76"/>
      <c r="AC1471" s="76"/>
      <c r="AD1471" s="76"/>
      <c r="AE1471" s="76"/>
      <c r="AF1471" s="76"/>
      <c r="AG1471" s="76"/>
      <c r="AH1471" s="76"/>
      <c r="AI1471" s="76"/>
      <c r="AJ1471" s="76"/>
      <c r="AK1471" s="76"/>
      <c r="AL1471" s="77"/>
      <c r="AM1471" s="76"/>
      <c r="AN1471" s="76"/>
    </row>
    <row r="1472" spans="1:40" ht="15">
      <c r="A1472" s="83" t="e">
        <f>IF(#REF!&lt;&gt;#REF!,1,A1471+1)</f>
        <v>#REF!</v>
      </c>
      <c r="O1472" s="79"/>
      <c r="P1472" s="79"/>
      <c r="Q1472" s="76"/>
      <c r="R1472" s="77"/>
      <c r="S1472" s="76"/>
      <c r="T1472" s="77"/>
      <c r="U1472" s="76"/>
      <c r="V1472" s="77"/>
      <c r="W1472" s="76"/>
      <c r="X1472" s="77"/>
      <c r="Y1472" s="76"/>
      <c r="Z1472" s="76"/>
      <c r="AA1472" s="76"/>
      <c r="AB1472" s="76"/>
      <c r="AC1472" s="76"/>
      <c r="AD1472" s="76"/>
      <c r="AE1472" s="76"/>
      <c r="AF1472" s="76"/>
      <c r="AG1472" s="76"/>
      <c r="AH1472" s="76"/>
      <c r="AI1472" s="76"/>
      <c r="AJ1472" s="76"/>
      <c r="AK1472" s="76"/>
      <c r="AL1472" s="77"/>
      <c r="AM1472" s="76"/>
      <c r="AN1472" s="76"/>
    </row>
    <row r="1473" spans="1:40" ht="15">
      <c r="A1473" s="83" t="e">
        <f>IF(#REF!&lt;&gt;#REF!,1,A1472+1)</f>
        <v>#REF!</v>
      </c>
      <c r="O1473" s="79"/>
      <c r="P1473" s="79"/>
      <c r="Q1473" s="76"/>
      <c r="R1473" s="77"/>
      <c r="S1473" s="76"/>
      <c r="T1473" s="77"/>
      <c r="U1473" s="76"/>
      <c r="V1473" s="77"/>
      <c r="W1473" s="76"/>
      <c r="X1473" s="77"/>
      <c r="Y1473" s="76"/>
      <c r="Z1473" s="76"/>
      <c r="AA1473" s="76"/>
      <c r="AB1473" s="76"/>
      <c r="AC1473" s="76"/>
      <c r="AD1473" s="76"/>
      <c r="AE1473" s="76"/>
      <c r="AF1473" s="76"/>
      <c r="AG1473" s="76"/>
      <c r="AH1473" s="76"/>
      <c r="AI1473" s="76"/>
      <c r="AJ1473" s="76"/>
      <c r="AK1473" s="76"/>
      <c r="AL1473" s="77"/>
      <c r="AM1473" s="76"/>
      <c r="AN1473" s="76"/>
    </row>
    <row r="1474" spans="1:40" ht="15">
      <c r="A1474" s="83" t="e">
        <f>IF(#REF!&lt;&gt;#REF!,1,A1473+1)</f>
        <v>#REF!</v>
      </c>
      <c r="O1474" s="79"/>
      <c r="P1474" s="79"/>
      <c r="Q1474" s="76"/>
      <c r="R1474" s="77"/>
      <c r="S1474" s="76"/>
      <c r="T1474" s="77"/>
      <c r="U1474" s="76"/>
      <c r="V1474" s="77"/>
      <c r="W1474" s="76"/>
      <c r="X1474" s="77"/>
      <c r="Y1474" s="76"/>
      <c r="Z1474" s="76"/>
      <c r="AA1474" s="76"/>
      <c r="AB1474" s="76"/>
      <c r="AC1474" s="76"/>
      <c r="AD1474" s="76"/>
      <c r="AE1474" s="76"/>
      <c r="AF1474" s="76"/>
      <c r="AG1474" s="76"/>
      <c r="AH1474" s="76"/>
      <c r="AI1474" s="76"/>
      <c r="AJ1474" s="76"/>
      <c r="AK1474" s="76"/>
      <c r="AL1474" s="77"/>
      <c r="AM1474" s="76"/>
      <c r="AN1474" s="76"/>
    </row>
    <row r="1475" spans="1:40" ht="15">
      <c r="A1475" s="83" t="e">
        <f>IF(#REF!&lt;&gt;#REF!,1,A1474+1)</f>
        <v>#REF!</v>
      </c>
      <c r="O1475" s="79"/>
      <c r="P1475" s="79"/>
      <c r="Q1475" s="76"/>
      <c r="R1475" s="77"/>
      <c r="S1475" s="76"/>
      <c r="T1475" s="77"/>
      <c r="U1475" s="76"/>
      <c r="V1475" s="77"/>
      <c r="W1475" s="76"/>
      <c r="X1475" s="77"/>
      <c r="Y1475" s="76"/>
      <c r="Z1475" s="76"/>
      <c r="AA1475" s="76"/>
      <c r="AB1475" s="76"/>
      <c r="AC1475" s="76"/>
      <c r="AD1475" s="76"/>
      <c r="AE1475" s="76"/>
      <c r="AF1475" s="76"/>
      <c r="AG1475" s="76"/>
      <c r="AH1475" s="76"/>
      <c r="AI1475" s="76"/>
      <c r="AJ1475" s="76"/>
      <c r="AK1475" s="76"/>
      <c r="AL1475" s="77"/>
      <c r="AM1475" s="76"/>
      <c r="AN1475" s="76"/>
    </row>
    <row r="1476" spans="1:40" ht="15">
      <c r="A1476" s="83" t="e">
        <f>IF(#REF!&lt;&gt;#REF!,1,A1475+1)</f>
        <v>#REF!</v>
      </c>
      <c r="O1476" s="79"/>
      <c r="P1476" s="79"/>
      <c r="Q1476" s="76"/>
      <c r="R1476" s="77"/>
      <c r="S1476" s="76"/>
      <c r="T1476" s="77"/>
      <c r="U1476" s="76"/>
      <c r="V1476" s="77"/>
      <c r="W1476" s="76"/>
      <c r="X1476" s="77"/>
      <c r="Y1476" s="76"/>
      <c r="Z1476" s="76"/>
      <c r="AA1476" s="76"/>
      <c r="AB1476" s="76"/>
      <c r="AC1476" s="76"/>
      <c r="AD1476" s="76"/>
      <c r="AE1476" s="76"/>
      <c r="AF1476" s="76"/>
      <c r="AG1476" s="76"/>
      <c r="AH1476" s="76"/>
      <c r="AI1476" s="76"/>
      <c r="AJ1476" s="76"/>
      <c r="AK1476" s="76"/>
      <c r="AL1476" s="77"/>
      <c r="AM1476" s="76"/>
      <c r="AN1476" s="76"/>
    </row>
    <row r="1477" spans="1:40" ht="15">
      <c r="A1477" s="83" t="e">
        <f>IF(#REF!&lt;&gt;#REF!,1,A1476+1)</f>
        <v>#REF!</v>
      </c>
      <c r="O1477" s="79"/>
      <c r="P1477" s="79"/>
      <c r="Q1477" s="76"/>
      <c r="R1477" s="77"/>
      <c r="S1477" s="76"/>
      <c r="T1477" s="77"/>
      <c r="U1477" s="76"/>
      <c r="V1477" s="77"/>
      <c r="W1477" s="76"/>
      <c r="X1477" s="77"/>
      <c r="Y1477" s="76"/>
      <c r="Z1477" s="76"/>
      <c r="AA1477" s="76"/>
      <c r="AB1477" s="76"/>
      <c r="AC1477" s="76"/>
      <c r="AD1477" s="76"/>
      <c r="AE1477" s="76"/>
      <c r="AF1477" s="76"/>
      <c r="AG1477" s="76"/>
      <c r="AH1477" s="76"/>
      <c r="AI1477" s="76"/>
      <c r="AJ1477" s="76"/>
      <c r="AK1477" s="76"/>
      <c r="AL1477" s="77"/>
      <c r="AM1477" s="76"/>
      <c r="AN1477" s="76"/>
    </row>
    <row r="1478" spans="1:40" ht="15">
      <c r="A1478" s="83" t="e">
        <f>IF(#REF!&lt;&gt;#REF!,1,A1477+1)</f>
        <v>#REF!</v>
      </c>
      <c r="O1478" s="79"/>
      <c r="P1478" s="79"/>
      <c r="Q1478" s="76"/>
      <c r="R1478" s="77"/>
      <c r="S1478" s="76"/>
      <c r="T1478" s="77"/>
      <c r="U1478" s="76"/>
      <c r="V1478" s="77"/>
      <c r="W1478" s="76"/>
      <c r="X1478" s="77"/>
      <c r="Y1478" s="76"/>
      <c r="Z1478" s="76"/>
      <c r="AA1478" s="76"/>
      <c r="AB1478" s="76"/>
      <c r="AC1478" s="76"/>
      <c r="AD1478" s="76"/>
      <c r="AE1478" s="76"/>
      <c r="AF1478" s="76"/>
      <c r="AG1478" s="76"/>
      <c r="AH1478" s="76"/>
      <c r="AI1478" s="76"/>
      <c r="AJ1478" s="76"/>
      <c r="AK1478" s="76"/>
      <c r="AL1478" s="77"/>
      <c r="AM1478" s="76"/>
      <c r="AN1478" s="76"/>
    </row>
    <row r="1479" spans="1:40" ht="15">
      <c r="A1479" s="83" t="e">
        <f>IF(#REF!&lt;&gt;#REF!,1,A1478+1)</f>
        <v>#REF!</v>
      </c>
      <c r="O1479" s="79"/>
      <c r="P1479" s="79"/>
      <c r="Q1479" s="76"/>
      <c r="R1479" s="77"/>
      <c r="S1479" s="76"/>
      <c r="T1479" s="77"/>
      <c r="U1479" s="76"/>
      <c r="V1479" s="77"/>
      <c r="W1479" s="76"/>
      <c r="X1479" s="77"/>
      <c r="Y1479" s="76"/>
      <c r="Z1479" s="76"/>
      <c r="AA1479" s="76"/>
      <c r="AB1479" s="76"/>
      <c r="AC1479" s="76"/>
      <c r="AD1479" s="76"/>
      <c r="AE1479" s="76"/>
      <c r="AF1479" s="76"/>
      <c r="AG1479" s="76"/>
      <c r="AH1479" s="76"/>
      <c r="AI1479" s="76"/>
      <c r="AJ1479" s="76"/>
      <c r="AK1479" s="76"/>
      <c r="AL1479" s="77"/>
      <c r="AM1479" s="76"/>
      <c r="AN1479" s="76"/>
    </row>
    <row r="1480" spans="1:40" ht="15">
      <c r="A1480" s="83" t="e">
        <f>IF(#REF!&lt;&gt;#REF!,1,A1479+1)</f>
        <v>#REF!</v>
      </c>
      <c r="O1480" s="79"/>
      <c r="P1480" s="79"/>
      <c r="Q1480" s="76"/>
      <c r="R1480" s="77"/>
      <c r="S1480" s="76"/>
      <c r="T1480" s="77"/>
      <c r="U1480" s="76"/>
      <c r="V1480" s="77"/>
      <c r="W1480" s="76"/>
      <c r="X1480" s="77"/>
      <c r="Y1480" s="76"/>
      <c r="Z1480" s="76"/>
      <c r="AA1480" s="76"/>
      <c r="AB1480" s="76"/>
      <c r="AC1480" s="76"/>
      <c r="AD1480" s="76"/>
      <c r="AE1480" s="76"/>
      <c r="AF1480" s="76"/>
      <c r="AG1480" s="76"/>
      <c r="AH1480" s="76"/>
      <c r="AI1480" s="76"/>
      <c r="AJ1480" s="76"/>
      <c r="AK1480" s="76"/>
      <c r="AL1480" s="77"/>
      <c r="AM1480" s="76"/>
      <c r="AN1480" s="76"/>
    </row>
    <row r="1481" spans="1:40" ht="15">
      <c r="A1481" s="83" t="e">
        <f>IF(#REF!&lt;&gt;#REF!,1,A1480+1)</f>
        <v>#REF!</v>
      </c>
      <c r="O1481" s="79"/>
      <c r="P1481" s="79"/>
      <c r="Q1481" s="76"/>
      <c r="R1481" s="77"/>
      <c r="S1481" s="76"/>
      <c r="T1481" s="77"/>
      <c r="U1481" s="76"/>
      <c r="V1481" s="77"/>
      <c r="W1481" s="76"/>
      <c r="X1481" s="77"/>
      <c r="Y1481" s="76"/>
      <c r="Z1481" s="76"/>
      <c r="AA1481" s="76"/>
      <c r="AB1481" s="76"/>
      <c r="AC1481" s="76"/>
      <c r="AD1481" s="76"/>
      <c r="AE1481" s="76"/>
      <c r="AF1481" s="76"/>
      <c r="AG1481" s="76"/>
      <c r="AH1481" s="76"/>
      <c r="AI1481" s="76"/>
      <c r="AJ1481" s="76"/>
      <c r="AK1481" s="76"/>
      <c r="AL1481" s="77"/>
      <c r="AM1481" s="76"/>
      <c r="AN1481" s="76"/>
    </row>
    <row r="1482" spans="1:40" ht="15">
      <c r="A1482" s="83" t="e">
        <f>IF(#REF!&lt;&gt;#REF!,1,A1481+1)</f>
        <v>#REF!</v>
      </c>
      <c r="O1482" s="79"/>
      <c r="P1482" s="79"/>
      <c r="Q1482" s="76"/>
      <c r="R1482" s="77"/>
      <c r="S1482" s="76"/>
      <c r="T1482" s="77"/>
      <c r="U1482" s="76"/>
      <c r="V1482" s="77"/>
      <c r="W1482" s="76"/>
      <c r="X1482" s="77"/>
      <c r="Y1482" s="76"/>
      <c r="Z1482" s="76"/>
      <c r="AA1482" s="76"/>
      <c r="AB1482" s="76"/>
      <c r="AC1482" s="76"/>
      <c r="AD1482" s="76"/>
      <c r="AE1482" s="76"/>
      <c r="AF1482" s="76"/>
      <c r="AG1482" s="76"/>
      <c r="AH1482" s="76"/>
      <c r="AI1482" s="76"/>
      <c r="AJ1482" s="76"/>
      <c r="AK1482" s="76"/>
      <c r="AL1482" s="77"/>
      <c r="AM1482" s="76"/>
      <c r="AN1482" s="76"/>
    </row>
    <row r="1483" spans="1:40" ht="15">
      <c r="A1483" s="83" t="e">
        <f>IF(#REF!&lt;&gt;#REF!,1,A1482+1)</f>
        <v>#REF!</v>
      </c>
      <c r="O1483" s="79"/>
      <c r="P1483" s="79"/>
      <c r="Q1483" s="76"/>
      <c r="R1483" s="77"/>
      <c r="S1483" s="76"/>
      <c r="T1483" s="77"/>
      <c r="U1483" s="76"/>
      <c r="V1483" s="77"/>
      <c r="W1483" s="76"/>
      <c r="X1483" s="77"/>
      <c r="Y1483" s="76"/>
      <c r="Z1483" s="76"/>
      <c r="AA1483" s="76"/>
      <c r="AB1483" s="76"/>
      <c r="AC1483" s="76"/>
      <c r="AD1483" s="76"/>
      <c r="AE1483" s="76"/>
      <c r="AF1483" s="76"/>
      <c r="AG1483" s="76"/>
      <c r="AH1483" s="76"/>
      <c r="AI1483" s="76"/>
      <c r="AJ1483" s="76"/>
      <c r="AK1483" s="76"/>
      <c r="AL1483" s="77"/>
      <c r="AM1483" s="76"/>
      <c r="AN1483" s="76"/>
    </row>
    <row r="1484" spans="1:40" ht="15">
      <c r="A1484" s="83" t="e">
        <f>IF(#REF!&lt;&gt;#REF!,1,A1483+1)</f>
        <v>#REF!</v>
      </c>
      <c r="O1484" s="79"/>
      <c r="P1484" s="79"/>
      <c r="Q1484" s="76"/>
      <c r="R1484" s="77"/>
      <c r="S1484" s="76"/>
      <c r="T1484" s="77"/>
      <c r="U1484" s="76"/>
      <c r="V1484" s="77"/>
      <c r="W1484" s="76"/>
      <c r="X1484" s="77"/>
      <c r="Y1484" s="76"/>
      <c r="Z1484" s="76"/>
      <c r="AA1484" s="76"/>
      <c r="AB1484" s="76"/>
      <c r="AC1484" s="76"/>
      <c r="AD1484" s="76"/>
      <c r="AE1484" s="76"/>
      <c r="AF1484" s="76"/>
      <c r="AG1484" s="76"/>
      <c r="AH1484" s="76"/>
      <c r="AI1484" s="76"/>
      <c r="AJ1484" s="76"/>
      <c r="AK1484" s="76"/>
      <c r="AL1484" s="77"/>
      <c r="AM1484" s="76"/>
      <c r="AN1484" s="76"/>
    </row>
    <row r="1485" spans="1:40" ht="15">
      <c r="A1485" s="83" t="e">
        <f>IF(#REF!&lt;&gt;#REF!,1,A1484+1)</f>
        <v>#REF!</v>
      </c>
      <c r="O1485" s="79"/>
      <c r="P1485" s="79"/>
      <c r="Q1485" s="76"/>
      <c r="R1485" s="77"/>
      <c r="S1485" s="76"/>
      <c r="T1485" s="77"/>
      <c r="U1485" s="76"/>
      <c r="V1485" s="77"/>
      <c r="W1485" s="76"/>
      <c r="X1485" s="77"/>
      <c r="Y1485" s="76"/>
      <c r="Z1485" s="76"/>
      <c r="AA1485" s="76"/>
      <c r="AB1485" s="76"/>
      <c r="AC1485" s="76"/>
      <c r="AD1485" s="76"/>
      <c r="AE1485" s="76"/>
      <c r="AF1485" s="76"/>
      <c r="AG1485" s="76"/>
      <c r="AH1485" s="76"/>
      <c r="AI1485" s="76"/>
      <c r="AJ1485" s="76"/>
      <c r="AK1485" s="76"/>
      <c r="AL1485" s="77"/>
      <c r="AM1485" s="76"/>
      <c r="AN1485" s="76"/>
    </row>
    <row r="1486" spans="1:40" ht="15">
      <c r="A1486" s="83" t="e">
        <f>IF(#REF!&lt;&gt;#REF!,1,A1485+1)</f>
        <v>#REF!</v>
      </c>
      <c r="O1486" s="79"/>
      <c r="P1486" s="79"/>
      <c r="Q1486" s="76"/>
      <c r="R1486" s="77"/>
      <c r="S1486" s="76"/>
      <c r="T1486" s="77"/>
      <c r="U1486" s="76"/>
      <c r="V1486" s="77"/>
      <c r="W1486" s="76"/>
      <c r="X1486" s="77"/>
      <c r="Y1486" s="76"/>
      <c r="Z1486" s="76"/>
      <c r="AA1486" s="76"/>
      <c r="AB1486" s="76"/>
      <c r="AC1486" s="76"/>
      <c r="AD1486" s="76"/>
      <c r="AE1486" s="76"/>
      <c r="AF1486" s="76"/>
      <c r="AG1486" s="76"/>
      <c r="AH1486" s="76"/>
      <c r="AI1486" s="76"/>
      <c r="AJ1486" s="76"/>
      <c r="AK1486" s="76"/>
      <c r="AL1486" s="77"/>
      <c r="AM1486" s="76"/>
      <c r="AN1486" s="76"/>
    </row>
    <row r="1487" spans="1:40" ht="15">
      <c r="A1487" s="83" t="e">
        <f>IF(#REF!&lt;&gt;#REF!,1,A1486+1)</f>
        <v>#REF!</v>
      </c>
      <c r="O1487" s="79"/>
      <c r="P1487" s="79"/>
      <c r="Q1487" s="76"/>
      <c r="R1487" s="77"/>
      <c r="S1487" s="76"/>
      <c r="T1487" s="77"/>
      <c r="U1487" s="76"/>
      <c r="V1487" s="77"/>
      <c r="W1487" s="76"/>
      <c r="X1487" s="77"/>
      <c r="Y1487" s="76"/>
      <c r="Z1487" s="76"/>
      <c r="AA1487" s="76"/>
      <c r="AB1487" s="76"/>
      <c r="AC1487" s="76"/>
      <c r="AD1487" s="76"/>
      <c r="AE1487" s="76"/>
      <c r="AF1487" s="76"/>
      <c r="AG1487" s="76"/>
      <c r="AH1487" s="76"/>
      <c r="AI1487" s="76"/>
      <c r="AJ1487" s="76"/>
      <c r="AK1487" s="76"/>
      <c r="AL1487" s="77"/>
      <c r="AM1487" s="76"/>
      <c r="AN1487" s="76"/>
    </row>
    <row r="1488" spans="1:40" ht="15">
      <c r="A1488" s="83" t="e">
        <f>IF(#REF!&lt;&gt;#REF!,1,A1487+1)</f>
        <v>#REF!</v>
      </c>
      <c r="O1488" s="79"/>
      <c r="P1488" s="79"/>
      <c r="Q1488" s="76"/>
      <c r="R1488" s="77"/>
      <c r="S1488" s="76"/>
      <c r="T1488" s="77"/>
      <c r="U1488" s="76"/>
      <c r="V1488" s="77"/>
      <c r="W1488" s="76"/>
      <c r="X1488" s="77"/>
      <c r="Y1488" s="76"/>
      <c r="Z1488" s="76"/>
      <c r="AA1488" s="76"/>
      <c r="AB1488" s="76"/>
      <c r="AC1488" s="76"/>
      <c r="AD1488" s="76"/>
      <c r="AE1488" s="76"/>
      <c r="AF1488" s="76"/>
      <c r="AG1488" s="76"/>
      <c r="AH1488" s="76"/>
      <c r="AI1488" s="76"/>
      <c r="AJ1488" s="76"/>
      <c r="AK1488" s="76"/>
      <c r="AL1488" s="77"/>
      <c r="AM1488" s="76"/>
      <c r="AN1488" s="76"/>
    </row>
    <row r="1489" spans="1:40" ht="15">
      <c r="A1489" s="83" t="e">
        <f>IF(#REF!&lt;&gt;#REF!,1,A1488+1)</f>
        <v>#REF!</v>
      </c>
      <c r="O1489" s="79"/>
      <c r="P1489" s="79"/>
      <c r="Q1489" s="76"/>
      <c r="R1489" s="77"/>
      <c r="S1489" s="76"/>
      <c r="T1489" s="77"/>
      <c r="U1489" s="76"/>
      <c r="V1489" s="77"/>
      <c r="W1489" s="76"/>
      <c r="X1489" s="77"/>
      <c r="Y1489" s="76"/>
      <c r="Z1489" s="76"/>
      <c r="AA1489" s="76"/>
      <c r="AB1489" s="76"/>
      <c r="AC1489" s="76"/>
      <c r="AD1489" s="76"/>
      <c r="AE1489" s="76"/>
      <c r="AF1489" s="76"/>
      <c r="AG1489" s="76"/>
      <c r="AH1489" s="76"/>
      <c r="AI1489" s="76"/>
      <c r="AJ1489" s="76"/>
      <c r="AK1489" s="76"/>
      <c r="AL1489" s="77"/>
      <c r="AM1489" s="76"/>
      <c r="AN1489" s="76"/>
    </row>
    <row r="1490" spans="1:40" ht="15">
      <c r="A1490" s="83" t="e">
        <f>IF(#REF!&lt;&gt;#REF!,1,A1489+1)</f>
        <v>#REF!</v>
      </c>
      <c r="O1490" s="79"/>
      <c r="P1490" s="79"/>
      <c r="Q1490" s="76"/>
      <c r="R1490" s="77"/>
      <c r="S1490" s="76"/>
      <c r="T1490" s="77"/>
      <c r="U1490" s="76"/>
      <c r="V1490" s="77"/>
      <c r="W1490" s="76"/>
      <c r="X1490" s="77"/>
      <c r="Y1490" s="76"/>
      <c r="Z1490" s="76"/>
      <c r="AA1490" s="76"/>
      <c r="AB1490" s="76"/>
      <c r="AC1490" s="76"/>
      <c r="AD1490" s="76"/>
      <c r="AE1490" s="76"/>
      <c r="AF1490" s="76"/>
      <c r="AG1490" s="76"/>
      <c r="AH1490" s="76"/>
      <c r="AI1490" s="76"/>
      <c r="AJ1490" s="76"/>
      <c r="AK1490" s="76"/>
      <c r="AL1490" s="77"/>
      <c r="AM1490" s="76"/>
      <c r="AN1490" s="76"/>
    </row>
    <row r="1491" spans="1:40" ht="15">
      <c r="A1491" s="83" t="e">
        <f>IF(#REF!&lt;&gt;#REF!,1,A1490+1)</f>
        <v>#REF!</v>
      </c>
      <c r="O1491" s="79"/>
      <c r="P1491" s="79"/>
      <c r="Q1491" s="76"/>
      <c r="R1491" s="77"/>
      <c r="S1491" s="76"/>
      <c r="T1491" s="77"/>
      <c r="U1491" s="76"/>
      <c r="V1491" s="77"/>
      <c r="W1491" s="76"/>
      <c r="X1491" s="77"/>
      <c r="Y1491" s="76"/>
      <c r="Z1491" s="76"/>
      <c r="AA1491" s="76"/>
      <c r="AB1491" s="76"/>
      <c r="AC1491" s="76"/>
      <c r="AD1491" s="76"/>
      <c r="AE1491" s="76"/>
      <c r="AF1491" s="76"/>
      <c r="AG1491" s="76"/>
      <c r="AH1491" s="76"/>
      <c r="AI1491" s="76"/>
      <c r="AJ1491" s="76"/>
      <c r="AK1491" s="76"/>
      <c r="AL1491" s="77"/>
      <c r="AM1491" s="76"/>
      <c r="AN1491" s="76"/>
    </row>
    <row r="1492" spans="1:40" ht="15">
      <c r="A1492" s="83" t="e">
        <f>IF(#REF!&lt;&gt;#REF!,1,A1491+1)</f>
        <v>#REF!</v>
      </c>
      <c r="O1492" s="79"/>
      <c r="P1492" s="79"/>
      <c r="Q1492" s="76"/>
      <c r="R1492" s="77"/>
      <c r="S1492" s="76"/>
      <c r="T1492" s="77"/>
      <c r="U1492" s="76"/>
      <c r="V1492" s="77"/>
      <c r="W1492" s="76"/>
      <c r="X1492" s="77"/>
      <c r="Y1492" s="76"/>
      <c r="Z1492" s="76"/>
      <c r="AA1492" s="76"/>
      <c r="AB1492" s="76"/>
      <c r="AC1492" s="76"/>
      <c r="AD1492" s="76"/>
      <c r="AE1492" s="76"/>
      <c r="AF1492" s="76"/>
      <c r="AG1492" s="76"/>
      <c r="AH1492" s="76"/>
      <c r="AI1492" s="76"/>
      <c r="AJ1492" s="76"/>
      <c r="AK1492" s="76"/>
      <c r="AL1492" s="77"/>
      <c r="AM1492" s="76"/>
      <c r="AN1492" s="76"/>
    </row>
    <row r="1493" spans="1:40" ht="15">
      <c r="A1493" s="83" t="e">
        <f>IF(#REF!&lt;&gt;#REF!,1,A1492+1)</f>
        <v>#REF!</v>
      </c>
      <c r="O1493" s="79"/>
      <c r="P1493" s="79"/>
      <c r="Q1493" s="76"/>
      <c r="R1493" s="77"/>
      <c r="S1493" s="76"/>
      <c r="T1493" s="77"/>
      <c r="U1493" s="76"/>
      <c r="V1493" s="77"/>
      <c r="W1493" s="76"/>
      <c r="X1493" s="77"/>
      <c r="Y1493" s="76"/>
      <c r="Z1493" s="76"/>
      <c r="AA1493" s="76"/>
      <c r="AB1493" s="76"/>
      <c r="AC1493" s="76"/>
      <c r="AD1493" s="76"/>
      <c r="AE1493" s="76"/>
      <c r="AF1493" s="76"/>
      <c r="AG1493" s="76"/>
      <c r="AH1493" s="76"/>
      <c r="AI1493" s="76"/>
      <c r="AJ1493" s="76"/>
      <c r="AK1493" s="76"/>
      <c r="AL1493" s="77"/>
      <c r="AM1493" s="76"/>
      <c r="AN1493" s="76"/>
    </row>
    <row r="1494" spans="1:40" ht="15">
      <c r="A1494" s="83" t="e">
        <f>IF(#REF!&lt;&gt;#REF!,1,A1493+1)</f>
        <v>#REF!</v>
      </c>
      <c r="O1494" s="79"/>
      <c r="P1494" s="79"/>
      <c r="Q1494" s="76"/>
      <c r="R1494" s="77"/>
      <c r="S1494" s="76"/>
      <c r="T1494" s="77"/>
      <c r="U1494" s="76"/>
      <c r="V1494" s="77"/>
      <c r="W1494" s="76"/>
      <c r="X1494" s="77"/>
      <c r="Y1494" s="76"/>
      <c r="Z1494" s="76"/>
      <c r="AA1494" s="76"/>
      <c r="AB1494" s="76"/>
      <c r="AC1494" s="76"/>
      <c r="AD1494" s="76"/>
      <c r="AE1494" s="76"/>
      <c r="AF1494" s="76"/>
      <c r="AG1494" s="76"/>
      <c r="AH1494" s="76"/>
      <c r="AI1494" s="76"/>
      <c r="AJ1494" s="76"/>
      <c r="AK1494" s="76"/>
      <c r="AL1494" s="77"/>
      <c r="AM1494" s="76"/>
      <c r="AN1494" s="76"/>
    </row>
    <row r="1495" spans="1:40" ht="15">
      <c r="A1495" s="83" t="e">
        <f>IF(#REF!&lt;&gt;#REF!,1,A1494+1)</f>
        <v>#REF!</v>
      </c>
      <c r="O1495" s="79"/>
      <c r="P1495" s="79"/>
      <c r="Q1495" s="76"/>
      <c r="R1495" s="77"/>
      <c r="S1495" s="76"/>
      <c r="T1495" s="77"/>
      <c r="U1495" s="76"/>
      <c r="V1495" s="77"/>
      <c r="W1495" s="76"/>
      <c r="X1495" s="77"/>
      <c r="Y1495" s="76"/>
      <c r="Z1495" s="76"/>
      <c r="AA1495" s="76"/>
      <c r="AB1495" s="76"/>
      <c r="AC1495" s="76"/>
      <c r="AD1495" s="76"/>
      <c r="AE1495" s="76"/>
      <c r="AF1495" s="76"/>
      <c r="AG1495" s="76"/>
      <c r="AH1495" s="76"/>
      <c r="AI1495" s="76"/>
      <c r="AJ1495" s="76"/>
      <c r="AK1495" s="76"/>
      <c r="AL1495" s="77"/>
      <c r="AM1495" s="76"/>
      <c r="AN1495" s="76"/>
    </row>
    <row r="1496" spans="1:40" ht="15">
      <c r="A1496" s="83" t="e">
        <f>IF(#REF!&lt;&gt;#REF!,1,A1495+1)</f>
        <v>#REF!</v>
      </c>
      <c r="O1496" s="79"/>
      <c r="P1496" s="79"/>
      <c r="Q1496" s="76"/>
      <c r="R1496" s="77"/>
      <c r="S1496" s="76"/>
      <c r="T1496" s="77"/>
      <c r="U1496" s="76"/>
      <c r="V1496" s="77"/>
      <c r="W1496" s="76"/>
      <c r="X1496" s="77"/>
      <c r="Y1496" s="76"/>
      <c r="Z1496" s="76"/>
      <c r="AA1496" s="76"/>
      <c r="AB1496" s="76"/>
      <c r="AC1496" s="76"/>
      <c r="AD1496" s="76"/>
      <c r="AE1496" s="76"/>
      <c r="AF1496" s="76"/>
      <c r="AG1496" s="76"/>
      <c r="AH1496" s="76"/>
      <c r="AI1496" s="76"/>
      <c r="AJ1496" s="76"/>
      <c r="AK1496" s="76"/>
      <c r="AL1496" s="77"/>
      <c r="AM1496" s="76"/>
      <c r="AN1496" s="76"/>
    </row>
    <row r="1497" spans="1:40" ht="15">
      <c r="A1497" s="83" t="e">
        <f>IF(#REF!&lt;&gt;#REF!,1,A1496+1)</f>
        <v>#REF!</v>
      </c>
      <c r="O1497" s="79"/>
      <c r="P1497" s="79"/>
      <c r="Q1497" s="76"/>
      <c r="R1497" s="77"/>
      <c r="S1497" s="76"/>
      <c r="T1497" s="77"/>
      <c r="U1497" s="76"/>
      <c r="V1497" s="77"/>
      <c r="W1497" s="76"/>
      <c r="X1497" s="77"/>
      <c r="Y1497" s="76"/>
      <c r="Z1497" s="76"/>
      <c r="AA1497" s="76"/>
      <c r="AB1497" s="76"/>
      <c r="AC1497" s="76"/>
      <c r="AD1497" s="76"/>
      <c r="AE1497" s="76"/>
      <c r="AF1497" s="76"/>
      <c r="AG1497" s="76"/>
      <c r="AH1497" s="76"/>
      <c r="AI1497" s="76"/>
      <c r="AJ1497" s="76"/>
      <c r="AK1497" s="76"/>
      <c r="AL1497" s="77"/>
      <c r="AM1497" s="76"/>
      <c r="AN1497" s="76"/>
    </row>
    <row r="1498" spans="1:40" ht="15">
      <c r="A1498" s="83" t="e">
        <f>IF(#REF!&lt;&gt;#REF!,1,A1497+1)</f>
        <v>#REF!</v>
      </c>
      <c r="O1498" s="79"/>
      <c r="P1498" s="79"/>
      <c r="Q1498" s="76"/>
      <c r="R1498" s="77"/>
      <c r="S1498" s="76"/>
      <c r="T1498" s="77"/>
      <c r="U1498" s="76"/>
      <c r="V1498" s="77"/>
      <c r="W1498" s="76"/>
      <c r="X1498" s="77"/>
      <c r="Y1498" s="76"/>
      <c r="Z1498" s="76"/>
      <c r="AA1498" s="76"/>
      <c r="AB1498" s="76"/>
      <c r="AC1498" s="76"/>
      <c r="AD1498" s="76"/>
      <c r="AE1498" s="76"/>
      <c r="AF1498" s="76"/>
      <c r="AG1498" s="76"/>
      <c r="AH1498" s="76"/>
      <c r="AI1498" s="76"/>
      <c r="AJ1498" s="76"/>
      <c r="AK1498" s="76"/>
      <c r="AL1498" s="77"/>
      <c r="AM1498" s="76"/>
      <c r="AN1498" s="76"/>
    </row>
    <row r="1499" spans="1:40" ht="15">
      <c r="A1499" s="83" t="e">
        <f>IF(#REF!&lt;&gt;#REF!,1,A1498+1)</f>
        <v>#REF!</v>
      </c>
      <c r="O1499" s="79"/>
      <c r="P1499" s="79"/>
      <c r="Q1499" s="76"/>
      <c r="R1499" s="77"/>
      <c r="S1499" s="76"/>
      <c r="T1499" s="77"/>
      <c r="U1499" s="76"/>
      <c r="V1499" s="77"/>
      <c r="W1499" s="76"/>
      <c r="X1499" s="77"/>
      <c r="Y1499" s="76"/>
      <c r="Z1499" s="76"/>
      <c r="AA1499" s="76"/>
      <c r="AB1499" s="76"/>
      <c r="AC1499" s="76"/>
      <c r="AD1499" s="76"/>
      <c r="AE1499" s="76"/>
      <c r="AF1499" s="76"/>
      <c r="AG1499" s="76"/>
      <c r="AH1499" s="76"/>
      <c r="AI1499" s="76"/>
      <c r="AJ1499" s="76"/>
      <c r="AK1499" s="76"/>
      <c r="AL1499" s="77"/>
      <c r="AM1499" s="76"/>
      <c r="AN1499" s="76"/>
    </row>
    <row r="1500" spans="1:40" ht="15">
      <c r="A1500" s="83" t="e">
        <f>IF(#REF!&lt;&gt;#REF!,1,A1499+1)</f>
        <v>#REF!</v>
      </c>
      <c r="O1500" s="79"/>
      <c r="P1500" s="79"/>
      <c r="Q1500" s="76"/>
      <c r="R1500" s="77"/>
      <c r="S1500" s="76"/>
      <c r="T1500" s="77"/>
      <c r="U1500" s="76"/>
      <c r="V1500" s="77"/>
      <c r="W1500" s="76"/>
      <c r="X1500" s="77"/>
      <c r="Y1500" s="76"/>
      <c r="Z1500" s="76"/>
      <c r="AA1500" s="76"/>
      <c r="AB1500" s="76"/>
      <c r="AC1500" s="76"/>
      <c r="AD1500" s="76"/>
      <c r="AE1500" s="76"/>
      <c r="AF1500" s="76"/>
      <c r="AG1500" s="76"/>
      <c r="AH1500" s="76"/>
      <c r="AI1500" s="76"/>
      <c r="AJ1500" s="76"/>
      <c r="AK1500" s="76"/>
      <c r="AL1500" s="77"/>
      <c r="AM1500" s="76"/>
      <c r="AN1500" s="76"/>
    </row>
    <row r="1501" spans="1:40" ht="15">
      <c r="A1501" s="83" t="e">
        <f>IF(#REF!&lt;&gt;#REF!,1,A1500+1)</f>
        <v>#REF!</v>
      </c>
      <c r="O1501" s="79"/>
      <c r="P1501" s="79"/>
      <c r="Q1501" s="76"/>
      <c r="R1501" s="77"/>
      <c r="S1501" s="76"/>
      <c r="T1501" s="77"/>
      <c r="U1501" s="76"/>
      <c r="V1501" s="77"/>
      <c r="W1501" s="76"/>
      <c r="X1501" s="77"/>
      <c r="Y1501" s="76"/>
      <c r="Z1501" s="76"/>
      <c r="AA1501" s="76"/>
      <c r="AB1501" s="76"/>
      <c r="AC1501" s="76"/>
      <c r="AD1501" s="76"/>
      <c r="AE1501" s="76"/>
      <c r="AF1501" s="76"/>
      <c r="AG1501" s="76"/>
      <c r="AH1501" s="76"/>
      <c r="AI1501" s="76"/>
      <c r="AJ1501" s="76"/>
      <c r="AK1501" s="76"/>
      <c r="AL1501" s="77"/>
      <c r="AM1501" s="76"/>
      <c r="AN1501" s="76"/>
    </row>
    <row r="1502" spans="1:40" ht="15">
      <c r="A1502" s="83" t="e">
        <f>IF(#REF!&lt;&gt;#REF!,1,A1501+1)</f>
        <v>#REF!</v>
      </c>
      <c r="O1502" s="79"/>
      <c r="P1502" s="79"/>
      <c r="Q1502" s="76"/>
      <c r="R1502" s="77"/>
      <c r="S1502" s="76"/>
      <c r="T1502" s="77"/>
      <c r="U1502" s="76"/>
      <c r="V1502" s="77"/>
      <c r="W1502" s="76"/>
      <c r="X1502" s="77"/>
      <c r="Y1502" s="76"/>
      <c r="Z1502" s="76"/>
      <c r="AA1502" s="76"/>
      <c r="AB1502" s="76"/>
      <c r="AC1502" s="76"/>
      <c r="AD1502" s="76"/>
      <c r="AE1502" s="76"/>
      <c r="AF1502" s="76"/>
      <c r="AG1502" s="76"/>
      <c r="AH1502" s="76"/>
      <c r="AI1502" s="76"/>
      <c r="AJ1502" s="76"/>
      <c r="AK1502" s="76"/>
      <c r="AL1502" s="77"/>
      <c r="AM1502" s="76"/>
      <c r="AN1502" s="76"/>
    </row>
    <row r="1503" spans="1:40" ht="15">
      <c r="A1503" s="83" t="e">
        <f>IF(#REF!&lt;&gt;#REF!,1,A1502+1)</f>
        <v>#REF!</v>
      </c>
      <c r="O1503" s="79"/>
      <c r="P1503" s="79"/>
      <c r="Q1503" s="76"/>
      <c r="R1503" s="77"/>
      <c r="S1503" s="76"/>
      <c r="T1503" s="77"/>
      <c r="U1503" s="76"/>
      <c r="V1503" s="77"/>
      <c r="W1503" s="76"/>
      <c r="X1503" s="77"/>
      <c r="Y1503" s="76"/>
      <c r="Z1503" s="76"/>
      <c r="AA1503" s="76"/>
      <c r="AB1503" s="76"/>
      <c r="AC1503" s="76"/>
      <c r="AD1503" s="76"/>
      <c r="AE1503" s="76"/>
      <c r="AF1503" s="76"/>
      <c r="AG1503" s="76"/>
      <c r="AH1503" s="76"/>
      <c r="AI1503" s="76"/>
      <c r="AJ1503" s="76"/>
      <c r="AK1503" s="76"/>
      <c r="AL1503" s="77"/>
      <c r="AM1503" s="76"/>
      <c r="AN1503" s="76"/>
    </row>
    <row r="1504" spans="1:40" ht="15">
      <c r="A1504" s="83" t="e">
        <f>IF(#REF!&lt;&gt;#REF!,1,A1503+1)</f>
        <v>#REF!</v>
      </c>
      <c r="O1504" s="79"/>
      <c r="P1504" s="79"/>
      <c r="Q1504" s="76"/>
      <c r="R1504" s="77"/>
      <c r="S1504" s="76"/>
      <c r="T1504" s="77"/>
      <c r="U1504" s="76"/>
      <c r="V1504" s="77"/>
      <c r="W1504" s="76"/>
      <c r="X1504" s="77"/>
      <c r="Y1504" s="76"/>
      <c r="Z1504" s="76"/>
      <c r="AA1504" s="76"/>
      <c r="AB1504" s="76"/>
      <c r="AC1504" s="76"/>
      <c r="AD1504" s="76"/>
      <c r="AE1504" s="76"/>
      <c r="AF1504" s="76"/>
      <c r="AG1504" s="76"/>
      <c r="AH1504" s="76"/>
      <c r="AI1504" s="76"/>
      <c r="AJ1504" s="76"/>
      <c r="AK1504" s="76"/>
      <c r="AL1504" s="77"/>
      <c r="AM1504" s="76"/>
      <c r="AN1504" s="76"/>
    </row>
    <row r="1505" spans="1:40" ht="15">
      <c r="A1505" s="83" t="e">
        <f>IF(#REF!&lt;&gt;#REF!,1,A1504+1)</f>
        <v>#REF!</v>
      </c>
      <c r="O1505" s="79"/>
      <c r="P1505" s="79"/>
      <c r="Q1505" s="76"/>
      <c r="R1505" s="77"/>
      <c r="S1505" s="76"/>
      <c r="T1505" s="77"/>
      <c r="U1505" s="76"/>
      <c r="V1505" s="77"/>
      <c r="W1505" s="76"/>
      <c r="X1505" s="77"/>
      <c r="Y1505" s="76"/>
      <c r="Z1505" s="76"/>
      <c r="AA1505" s="76"/>
      <c r="AB1505" s="76"/>
      <c r="AC1505" s="76"/>
      <c r="AD1505" s="76"/>
      <c r="AE1505" s="76"/>
      <c r="AF1505" s="76"/>
      <c r="AG1505" s="76"/>
      <c r="AH1505" s="76"/>
      <c r="AI1505" s="76"/>
      <c r="AJ1505" s="76"/>
      <c r="AK1505" s="76"/>
      <c r="AL1505" s="77"/>
      <c r="AM1505" s="76"/>
      <c r="AN1505" s="76"/>
    </row>
    <row r="1506" spans="1:40" ht="15">
      <c r="A1506" s="83" t="e">
        <f>IF(#REF!&lt;&gt;#REF!,1,A1505+1)</f>
        <v>#REF!</v>
      </c>
      <c r="O1506" s="79"/>
      <c r="P1506" s="79"/>
      <c r="Q1506" s="76"/>
      <c r="R1506" s="77"/>
      <c r="S1506" s="76"/>
      <c r="T1506" s="77"/>
      <c r="U1506" s="76"/>
      <c r="V1506" s="77"/>
      <c r="W1506" s="76"/>
      <c r="X1506" s="77"/>
      <c r="Y1506" s="76"/>
      <c r="Z1506" s="76"/>
      <c r="AA1506" s="76"/>
      <c r="AB1506" s="76"/>
      <c r="AC1506" s="76"/>
      <c r="AD1506" s="76"/>
      <c r="AE1506" s="76"/>
      <c r="AF1506" s="76"/>
      <c r="AG1506" s="76"/>
      <c r="AH1506" s="76"/>
      <c r="AI1506" s="76"/>
      <c r="AJ1506" s="76"/>
      <c r="AK1506" s="76"/>
      <c r="AL1506" s="77"/>
      <c r="AM1506" s="76"/>
      <c r="AN1506" s="76"/>
    </row>
    <row r="1507" spans="1:40" ht="15">
      <c r="A1507" s="83" t="e">
        <f>IF(#REF!&lt;&gt;#REF!,1,A1506+1)</f>
        <v>#REF!</v>
      </c>
      <c r="O1507" s="79"/>
      <c r="P1507" s="79"/>
      <c r="Q1507" s="76"/>
      <c r="R1507" s="77"/>
      <c r="S1507" s="76"/>
      <c r="T1507" s="77"/>
      <c r="U1507" s="76"/>
      <c r="V1507" s="77"/>
      <c r="W1507" s="76"/>
      <c r="X1507" s="77"/>
      <c r="Y1507" s="76"/>
      <c r="Z1507" s="76"/>
      <c r="AA1507" s="76"/>
      <c r="AB1507" s="76"/>
      <c r="AC1507" s="76"/>
      <c r="AD1507" s="76"/>
      <c r="AE1507" s="76"/>
      <c r="AF1507" s="76"/>
      <c r="AG1507" s="76"/>
      <c r="AH1507" s="76"/>
      <c r="AI1507" s="76"/>
      <c r="AJ1507" s="76"/>
      <c r="AK1507" s="76"/>
      <c r="AL1507" s="77"/>
      <c r="AM1507" s="76"/>
      <c r="AN1507" s="76"/>
    </row>
    <row r="1508" spans="1:40" ht="15">
      <c r="A1508" s="83" t="e">
        <f>IF(#REF!&lt;&gt;#REF!,1,A1507+1)</f>
        <v>#REF!</v>
      </c>
      <c r="O1508" s="79"/>
      <c r="P1508" s="79"/>
      <c r="Q1508" s="76"/>
      <c r="R1508" s="77"/>
      <c r="S1508" s="76"/>
      <c r="T1508" s="77"/>
      <c r="U1508" s="76"/>
      <c r="V1508" s="77"/>
      <c r="W1508" s="76"/>
      <c r="X1508" s="77"/>
      <c r="Y1508" s="76"/>
      <c r="Z1508" s="76"/>
      <c r="AA1508" s="76"/>
      <c r="AB1508" s="76"/>
      <c r="AC1508" s="76"/>
      <c r="AD1508" s="76"/>
      <c r="AE1508" s="76"/>
      <c r="AF1508" s="76"/>
      <c r="AG1508" s="76"/>
      <c r="AH1508" s="76"/>
      <c r="AI1508" s="76"/>
      <c r="AJ1508" s="76"/>
      <c r="AK1508" s="76"/>
      <c r="AL1508" s="77"/>
      <c r="AM1508" s="76"/>
      <c r="AN1508" s="76"/>
    </row>
    <row r="1509" spans="1:40" ht="15">
      <c r="A1509" s="83" t="e">
        <f>IF(#REF!&lt;&gt;#REF!,1,A1508+1)</f>
        <v>#REF!</v>
      </c>
      <c r="O1509" s="79"/>
      <c r="P1509" s="79"/>
      <c r="Q1509" s="76"/>
      <c r="R1509" s="77"/>
      <c r="S1509" s="76"/>
      <c r="T1509" s="77"/>
      <c r="U1509" s="76"/>
      <c r="V1509" s="77"/>
      <c r="W1509" s="76"/>
      <c r="X1509" s="77"/>
      <c r="Y1509" s="76"/>
      <c r="Z1509" s="76"/>
      <c r="AA1509" s="76"/>
      <c r="AB1509" s="76"/>
      <c r="AC1509" s="76"/>
      <c r="AD1509" s="76"/>
      <c r="AE1509" s="76"/>
      <c r="AF1509" s="76"/>
      <c r="AG1509" s="76"/>
      <c r="AH1509" s="76"/>
      <c r="AI1509" s="76"/>
      <c r="AJ1509" s="76"/>
      <c r="AK1509" s="76"/>
      <c r="AL1509" s="77"/>
      <c r="AM1509" s="76"/>
      <c r="AN1509" s="76"/>
    </row>
    <row r="1510" spans="1:40" ht="15">
      <c r="A1510" s="83" t="e">
        <f>IF(#REF!&lt;&gt;#REF!,1,A1509+1)</f>
        <v>#REF!</v>
      </c>
      <c r="O1510" s="79"/>
      <c r="P1510" s="79"/>
      <c r="Q1510" s="76"/>
      <c r="R1510" s="77"/>
      <c r="S1510" s="76"/>
      <c r="T1510" s="77"/>
      <c r="U1510" s="76"/>
      <c r="V1510" s="77"/>
      <c r="W1510" s="76"/>
      <c r="X1510" s="77"/>
      <c r="Y1510" s="76"/>
      <c r="Z1510" s="76"/>
      <c r="AA1510" s="76"/>
      <c r="AB1510" s="76"/>
      <c r="AC1510" s="76"/>
      <c r="AD1510" s="76"/>
      <c r="AE1510" s="76"/>
      <c r="AF1510" s="76"/>
      <c r="AG1510" s="76"/>
      <c r="AH1510" s="76"/>
      <c r="AI1510" s="76"/>
      <c r="AJ1510" s="76"/>
      <c r="AK1510" s="76"/>
      <c r="AL1510" s="77"/>
      <c r="AM1510" s="76"/>
      <c r="AN1510" s="76"/>
    </row>
    <row r="1511" spans="1:40" ht="15">
      <c r="A1511" s="83" t="e">
        <f>IF(#REF!&lt;&gt;#REF!,1,A1510+1)</f>
        <v>#REF!</v>
      </c>
      <c r="O1511" s="79"/>
      <c r="P1511" s="79"/>
      <c r="Q1511" s="76"/>
      <c r="R1511" s="77"/>
      <c r="S1511" s="76"/>
      <c r="T1511" s="77"/>
      <c r="U1511" s="76"/>
      <c r="V1511" s="77"/>
      <c r="W1511" s="76"/>
      <c r="X1511" s="77"/>
      <c r="Y1511" s="76"/>
      <c r="Z1511" s="76"/>
      <c r="AA1511" s="76"/>
      <c r="AB1511" s="76"/>
      <c r="AC1511" s="76"/>
      <c r="AD1511" s="76"/>
      <c r="AE1511" s="76"/>
      <c r="AF1511" s="76"/>
      <c r="AG1511" s="76"/>
      <c r="AH1511" s="76"/>
      <c r="AI1511" s="76"/>
      <c r="AJ1511" s="76"/>
      <c r="AK1511" s="76"/>
      <c r="AL1511" s="77"/>
      <c r="AM1511" s="76"/>
      <c r="AN1511" s="76"/>
    </row>
    <row r="1512" spans="1:40" ht="15">
      <c r="A1512" s="83" t="e">
        <f>IF(#REF!&lt;&gt;#REF!,1,A1511+1)</f>
        <v>#REF!</v>
      </c>
      <c r="O1512" s="79"/>
      <c r="P1512" s="79"/>
      <c r="Q1512" s="76"/>
      <c r="R1512" s="77"/>
      <c r="S1512" s="76"/>
      <c r="T1512" s="77"/>
      <c r="U1512" s="76"/>
      <c r="V1512" s="77"/>
      <c r="W1512" s="76"/>
      <c r="X1512" s="77"/>
      <c r="Y1512" s="76"/>
      <c r="Z1512" s="76"/>
      <c r="AA1512" s="76"/>
      <c r="AB1512" s="76"/>
      <c r="AC1512" s="76"/>
      <c r="AD1512" s="76"/>
      <c r="AE1512" s="76"/>
      <c r="AF1512" s="76"/>
      <c r="AG1512" s="76"/>
      <c r="AH1512" s="76"/>
      <c r="AI1512" s="76"/>
      <c r="AJ1512" s="76"/>
      <c r="AK1512" s="76"/>
      <c r="AL1512" s="77"/>
      <c r="AM1512" s="76"/>
      <c r="AN1512" s="76"/>
    </row>
    <row r="1513" spans="1:40" ht="15">
      <c r="A1513" s="83" t="e">
        <f>IF(#REF!&lt;&gt;#REF!,1,A1512+1)</f>
        <v>#REF!</v>
      </c>
      <c r="O1513" s="79"/>
      <c r="P1513" s="79"/>
      <c r="Q1513" s="76"/>
      <c r="R1513" s="77"/>
      <c r="S1513" s="76"/>
      <c r="T1513" s="77"/>
      <c r="U1513" s="76"/>
      <c r="V1513" s="77"/>
      <c r="W1513" s="76"/>
      <c r="X1513" s="77"/>
      <c r="Y1513" s="76"/>
      <c r="Z1513" s="76"/>
      <c r="AA1513" s="76"/>
      <c r="AB1513" s="76"/>
      <c r="AC1513" s="76"/>
      <c r="AD1513" s="76"/>
      <c r="AE1513" s="76"/>
      <c r="AF1513" s="76"/>
      <c r="AG1513" s="76"/>
      <c r="AH1513" s="76"/>
      <c r="AI1513" s="76"/>
      <c r="AJ1513" s="76"/>
      <c r="AK1513" s="76"/>
      <c r="AL1513" s="77"/>
      <c r="AM1513" s="76"/>
      <c r="AN1513" s="76"/>
    </row>
    <row r="1514" spans="1:40" ht="15">
      <c r="A1514" s="83" t="e">
        <f>IF(#REF!&lt;&gt;#REF!,1,A1513+1)</f>
        <v>#REF!</v>
      </c>
      <c r="O1514" s="79"/>
      <c r="P1514" s="79"/>
      <c r="Q1514" s="76"/>
      <c r="R1514" s="77"/>
      <c r="S1514" s="76"/>
      <c r="T1514" s="77"/>
      <c r="U1514" s="76"/>
      <c r="V1514" s="77"/>
      <c r="W1514" s="76"/>
      <c r="X1514" s="77"/>
      <c r="Y1514" s="76"/>
      <c r="Z1514" s="76"/>
      <c r="AA1514" s="76"/>
      <c r="AB1514" s="76"/>
      <c r="AC1514" s="76"/>
      <c r="AD1514" s="76"/>
      <c r="AE1514" s="76"/>
      <c r="AF1514" s="76"/>
      <c r="AG1514" s="76"/>
      <c r="AH1514" s="76"/>
      <c r="AI1514" s="76"/>
      <c r="AJ1514" s="76"/>
      <c r="AK1514" s="76"/>
      <c r="AL1514" s="77"/>
      <c r="AM1514" s="76"/>
      <c r="AN1514" s="76"/>
    </row>
    <row r="1515" spans="1:40" ht="15">
      <c r="A1515" s="83" t="e">
        <f>IF(#REF!&lt;&gt;#REF!,1,A1514+1)</f>
        <v>#REF!</v>
      </c>
      <c r="O1515" s="79"/>
      <c r="P1515" s="79"/>
      <c r="Q1515" s="76"/>
      <c r="R1515" s="77"/>
      <c r="S1515" s="76"/>
      <c r="T1515" s="77"/>
      <c r="U1515" s="76"/>
      <c r="V1515" s="77"/>
      <c r="W1515" s="76"/>
      <c r="X1515" s="77"/>
      <c r="Y1515" s="76"/>
      <c r="Z1515" s="76"/>
      <c r="AA1515" s="76"/>
      <c r="AB1515" s="76"/>
      <c r="AC1515" s="76"/>
      <c r="AD1515" s="76"/>
      <c r="AE1515" s="76"/>
      <c r="AF1515" s="76"/>
      <c r="AG1515" s="76"/>
      <c r="AH1515" s="76"/>
      <c r="AI1515" s="76"/>
      <c r="AJ1515" s="76"/>
      <c r="AK1515" s="76"/>
      <c r="AL1515" s="77"/>
      <c r="AM1515" s="76"/>
      <c r="AN1515" s="76"/>
    </row>
    <row r="1516" spans="1:40" ht="15">
      <c r="A1516" s="83" t="e">
        <f>IF(#REF!&lt;&gt;#REF!,1,A1515+1)</f>
        <v>#REF!</v>
      </c>
      <c r="O1516" s="79"/>
      <c r="P1516" s="79"/>
      <c r="Q1516" s="76"/>
      <c r="R1516" s="77"/>
      <c r="S1516" s="76"/>
      <c r="T1516" s="77"/>
      <c r="U1516" s="76"/>
      <c r="V1516" s="77"/>
      <c r="W1516" s="76"/>
      <c r="X1516" s="77"/>
      <c r="Y1516" s="76"/>
      <c r="Z1516" s="76"/>
      <c r="AA1516" s="76"/>
      <c r="AB1516" s="76"/>
      <c r="AC1516" s="76"/>
      <c r="AD1516" s="76"/>
      <c r="AE1516" s="76"/>
      <c r="AF1516" s="76"/>
      <c r="AG1516" s="76"/>
      <c r="AH1516" s="76"/>
      <c r="AI1516" s="76"/>
      <c r="AJ1516" s="76"/>
      <c r="AK1516" s="76"/>
      <c r="AL1516" s="77"/>
      <c r="AM1516" s="76"/>
      <c r="AN1516" s="76"/>
    </row>
    <row r="1517" spans="1:40" ht="15">
      <c r="A1517" s="83" t="e">
        <f>IF(#REF!&lt;&gt;#REF!,1,A1516+1)</f>
        <v>#REF!</v>
      </c>
      <c r="O1517" s="79"/>
      <c r="P1517" s="79"/>
      <c r="Q1517" s="76"/>
      <c r="R1517" s="77"/>
      <c r="S1517" s="76"/>
      <c r="T1517" s="77"/>
      <c r="U1517" s="76"/>
      <c r="V1517" s="77"/>
      <c r="W1517" s="76"/>
      <c r="X1517" s="77"/>
      <c r="Y1517" s="76"/>
      <c r="Z1517" s="76"/>
      <c r="AA1517" s="76"/>
      <c r="AB1517" s="76"/>
      <c r="AC1517" s="76"/>
      <c r="AD1517" s="76"/>
      <c r="AE1517" s="76"/>
      <c r="AF1517" s="76"/>
      <c r="AG1517" s="76"/>
      <c r="AH1517" s="76"/>
      <c r="AI1517" s="76"/>
      <c r="AJ1517" s="76"/>
      <c r="AK1517" s="76"/>
      <c r="AL1517" s="77"/>
      <c r="AM1517" s="76"/>
      <c r="AN1517" s="76"/>
    </row>
    <row r="1518" spans="1:40" ht="15">
      <c r="A1518" s="83" t="e">
        <f>IF(#REF!&lt;&gt;#REF!,1,A1517+1)</f>
        <v>#REF!</v>
      </c>
      <c r="O1518" s="79"/>
      <c r="P1518" s="79"/>
      <c r="Q1518" s="76"/>
      <c r="R1518" s="77"/>
      <c r="S1518" s="76"/>
      <c r="T1518" s="77"/>
      <c r="U1518" s="76"/>
      <c r="V1518" s="77"/>
      <c r="W1518" s="76"/>
      <c r="X1518" s="77"/>
      <c r="Y1518" s="76"/>
      <c r="Z1518" s="76"/>
      <c r="AA1518" s="76"/>
      <c r="AB1518" s="76"/>
      <c r="AC1518" s="76"/>
      <c r="AD1518" s="76"/>
      <c r="AE1518" s="76"/>
      <c r="AF1518" s="76"/>
      <c r="AG1518" s="76"/>
      <c r="AH1518" s="76"/>
      <c r="AI1518" s="76"/>
      <c r="AJ1518" s="76"/>
      <c r="AK1518" s="76"/>
      <c r="AL1518" s="77"/>
      <c r="AM1518" s="76"/>
      <c r="AN1518" s="76"/>
    </row>
    <row r="1519" spans="1:40" ht="15">
      <c r="A1519" s="83" t="e">
        <f>IF(#REF!&lt;&gt;#REF!,1,A1518+1)</f>
        <v>#REF!</v>
      </c>
      <c r="O1519" s="79"/>
      <c r="P1519" s="79"/>
      <c r="Q1519" s="76"/>
      <c r="R1519" s="77"/>
      <c r="S1519" s="76"/>
      <c r="T1519" s="77"/>
      <c r="U1519" s="76"/>
      <c r="V1519" s="77"/>
      <c r="W1519" s="76"/>
      <c r="X1519" s="77"/>
      <c r="Y1519" s="76"/>
      <c r="Z1519" s="76"/>
      <c r="AA1519" s="76"/>
      <c r="AB1519" s="76"/>
      <c r="AC1519" s="76"/>
      <c r="AD1519" s="76"/>
      <c r="AE1519" s="76"/>
      <c r="AF1519" s="76"/>
      <c r="AG1519" s="76"/>
      <c r="AH1519" s="76"/>
      <c r="AI1519" s="76"/>
      <c r="AJ1519" s="76"/>
      <c r="AK1519" s="76"/>
      <c r="AL1519" s="77"/>
      <c r="AM1519" s="76"/>
      <c r="AN1519" s="76"/>
    </row>
    <row r="1520" spans="1:40" ht="15">
      <c r="A1520" s="83" t="e">
        <f>IF(#REF!&lt;&gt;#REF!,1,A1519+1)</f>
        <v>#REF!</v>
      </c>
      <c r="O1520" s="79"/>
      <c r="P1520" s="79"/>
      <c r="Q1520" s="76"/>
      <c r="R1520" s="77"/>
      <c r="S1520" s="76"/>
      <c r="T1520" s="77"/>
      <c r="U1520" s="76"/>
      <c r="V1520" s="77"/>
      <c r="W1520" s="76"/>
      <c r="X1520" s="77"/>
      <c r="Y1520" s="76"/>
      <c r="Z1520" s="76"/>
      <c r="AA1520" s="76"/>
      <c r="AB1520" s="76"/>
      <c r="AC1520" s="76"/>
      <c r="AD1520" s="76"/>
      <c r="AE1520" s="76"/>
      <c r="AF1520" s="76"/>
      <c r="AG1520" s="76"/>
      <c r="AH1520" s="76"/>
      <c r="AI1520" s="76"/>
      <c r="AJ1520" s="76"/>
      <c r="AK1520" s="76"/>
      <c r="AL1520" s="77"/>
      <c r="AM1520" s="76"/>
      <c r="AN1520" s="76"/>
    </row>
    <row r="1521" spans="1:40" ht="15">
      <c r="A1521" s="83" t="e">
        <f>IF(#REF!&lt;&gt;#REF!,1,A1520+1)</f>
        <v>#REF!</v>
      </c>
      <c r="O1521" s="79"/>
      <c r="P1521" s="79"/>
      <c r="Q1521" s="76"/>
      <c r="R1521" s="77"/>
      <c r="S1521" s="76"/>
      <c r="T1521" s="77"/>
      <c r="U1521" s="76"/>
      <c r="V1521" s="77"/>
      <c r="W1521" s="76"/>
      <c r="X1521" s="77"/>
      <c r="Y1521" s="76"/>
      <c r="Z1521" s="76"/>
      <c r="AA1521" s="76"/>
      <c r="AB1521" s="76"/>
      <c r="AC1521" s="76"/>
      <c r="AD1521" s="76"/>
      <c r="AE1521" s="76"/>
      <c r="AF1521" s="76"/>
      <c r="AG1521" s="76"/>
      <c r="AH1521" s="76"/>
      <c r="AI1521" s="76"/>
      <c r="AJ1521" s="76"/>
      <c r="AK1521" s="76"/>
      <c r="AL1521" s="77"/>
      <c r="AM1521" s="76"/>
      <c r="AN1521" s="76"/>
    </row>
    <row r="1522" spans="1:40" ht="15">
      <c r="A1522" s="83" t="e">
        <f>IF(#REF!&lt;&gt;#REF!,1,A1521+1)</f>
        <v>#REF!</v>
      </c>
      <c r="O1522" s="79"/>
      <c r="P1522" s="79"/>
      <c r="Q1522" s="76"/>
      <c r="R1522" s="77"/>
      <c r="S1522" s="76"/>
      <c r="T1522" s="77"/>
      <c r="U1522" s="76"/>
      <c r="V1522" s="77"/>
      <c r="W1522" s="76"/>
      <c r="X1522" s="77"/>
      <c r="Y1522" s="76"/>
      <c r="Z1522" s="76"/>
      <c r="AA1522" s="76"/>
      <c r="AB1522" s="76"/>
      <c r="AC1522" s="76"/>
      <c r="AD1522" s="76"/>
      <c r="AE1522" s="76"/>
      <c r="AF1522" s="76"/>
      <c r="AG1522" s="76"/>
      <c r="AH1522" s="76"/>
      <c r="AI1522" s="76"/>
      <c r="AJ1522" s="76"/>
      <c r="AK1522" s="76"/>
      <c r="AL1522" s="77"/>
      <c r="AM1522" s="76"/>
      <c r="AN1522" s="76"/>
    </row>
    <row r="1523" spans="1:40" ht="15">
      <c r="A1523" s="83" t="e">
        <f>IF(#REF!&lt;&gt;#REF!,1,A1522+1)</f>
        <v>#REF!</v>
      </c>
      <c r="O1523" s="79"/>
      <c r="P1523" s="79"/>
      <c r="Q1523" s="76"/>
      <c r="R1523" s="77"/>
      <c r="S1523" s="76"/>
      <c r="T1523" s="77"/>
      <c r="U1523" s="76"/>
      <c r="V1523" s="77"/>
      <c r="W1523" s="76"/>
      <c r="X1523" s="77"/>
      <c r="Y1523" s="76"/>
      <c r="Z1523" s="76"/>
      <c r="AA1523" s="76"/>
      <c r="AB1523" s="76"/>
      <c r="AC1523" s="76"/>
      <c r="AD1523" s="76"/>
      <c r="AE1523" s="76"/>
      <c r="AF1523" s="76"/>
      <c r="AG1523" s="76"/>
      <c r="AH1523" s="76"/>
      <c r="AI1523" s="76"/>
      <c r="AJ1523" s="76"/>
      <c r="AK1523" s="76"/>
      <c r="AL1523" s="77"/>
      <c r="AM1523" s="76"/>
      <c r="AN1523" s="76"/>
    </row>
    <row r="1524" spans="1:40" ht="15">
      <c r="A1524" s="83" t="e">
        <f>IF(#REF!&lt;&gt;#REF!,1,A1523+1)</f>
        <v>#REF!</v>
      </c>
      <c r="O1524" s="79"/>
      <c r="P1524" s="79"/>
      <c r="Q1524" s="76"/>
      <c r="R1524" s="77"/>
      <c r="S1524" s="76"/>
      <c r="T1524" s="77"/>
      <c r="U1524" s="76"/>
      <c r="V1524" s="77"/>
      <c r="W1524" s="76"/>
      <c r="X1524" s="77"/>
      <c r="Y1524" s="76"/>
      <c r="Z1524" s="76"/>
      <c r="AA1524" s="76"/>
      <c r="AB1524" s="76"/>
      <c r="AC1524" s="76"/>
      <c r="AD1524" s="76"/>
      <c r="AE1524" s="76"/>
      <c r="AF1524" s="76"/>
      <c r="AG1524" s="76"/>
      <c r="AH1524" s="76"/>
      <c r="AI1524" s="76"/>
      <c r="AJ1524" s="76"/>
      <c r="AK1524" s="76"/>
      <c r="AL1524" s="77"/>
      <c r="AM1524" s="76"/>
      <c r="AN1524" s="76"/>
    </row>
    <row r="1525" spans="1:40" ht="15">
      <c r="A1525" s="83" t="e">
        <f>IF(#REF!&lt;&gt;#REF!,1,A1524+1)</f>
        <v>#REF!</v>
      </c>
      <c r="O1525" s="79"/>
      <c r="P1525" s="79"/>
      <c r="Q1525" s="76"/>
      <c r="R1525" s="77"/>
      <c r="S1525" s="76"/>
      <c r="T1525" s="77"/>
      <c r="U1525" s="76"/>
      <c r="V1525" s="77"/>
      <c r="W1525" s="76"/>
      <c r="X1525" s="77"/>
      <c r="Y1525" s="76"/>
      <c r="Z1525" s="76"/>
      <c r="AA1525" s="76"/>
      <c r="AB1525" s="76"/>
      <c r="AC1525" s="76"/>
      <c r="AD1525" s="76"/>
      <c r="AE1525" s="76"/>
      <c r="AF1525" s="76"/>
      <c r="AG1525" s="76"/>
      <c r="AH1525" s="76"/>
      <c r="AI1525" s="76"/>
      <c r="AJ1525" s="76"/>
      <c r="AK1525" s="76"/>
      <c r="AL1525" s="77"/>
      <c r="AM1525" s="76"/>
      <c r="AN1525" s="76"/>
    </row>
    <row r="1526" spans="1:40" ht="15">
      <c r="A1526" s="83" t="e">
        <f>IF(#REF!&lt;&gt;#REF!,1,A1525+1)</f>
        <v>#REF!</v>
      </c>
      <c r="O1526" s="79"/>
      <c r="P1526" s="79"/>
      <c r="Q1526" s="76"/>
      <c r="R1526" s="77"/>
      <c r="S1526" s="76"/>
      <c r="T1526" s="77"/>
      <c r="U1526" s="76"/>
      <c r="V1526" s="77"/>
      <c r="W1526" s="76"/>
      <c r="X1526" s="77"/>
      <c r="Y1526" s="76"/>
      <c r="Z1526" s="76"/>
      <c r="AA1526" s="76"/>
      <c r="AB1526" s="76"/>
      <c r="AC1526" s="76"/>
      <c r="AD1526" s="76"/>
      <c r="AE1526" s="76"/>
      <c r="AF1526" s="76"/>
      <c r="AG1526" s="76"/>
      <c r="AH1526" s="76"/>
      <c r="AI1526" s="76"/>
      <c r="AJ1526" s="76"/>
      <c r="AK1526" s="76"/>
      <c r="AL1526" s="77"/>
      <c r="AM1526" s="76"/>
      <c r="AN1526" s="76"/>
    </row>
    <row r="1527" spans="1:40" ht="15">
      <c r="A1527" s="83" t="e">
        <f>IF(#REF!&lt;&gt;#REF!,1,A1526+1)</f>
        <v>#REF!</v>
      </c>
      <c r="O1527" s="79"/>
      <c r="P1527" s="79"/>
      <c r="Q1527" s="76"/>
      <c r="R1527" s="77"/>
      <c r="S1527" s="76"/>
      <c r="T1527" s="77"/>
      <c r="U1527" s="76"/>
      <c r="V1527" s="77"/>
      <c r="W1527" s="76"/>
      <c r="X1527" s="77"/>
      <c r="Y1527" s="76"/>
      <c r="Z1527" s="76"/>
      <c r="AA1527" s="76"/>
      <c r="AB1527" s="76"/>
      <c r="AC1527" s="76"/>
      <c r="AD1527" s="76"/>
      <c r="AE1527" s="76"/>
      <c r="AF1527" s="76"/>
      <c r="AG1527" s="76"/>
      <c r="AH1527" s="76"/>
      <c r="AI1527" s="76"/>
      <c r="AJ1527" s="76"/>
      <c r="AK1527" s="76"/>
      <c r="AL1527" s="77"/>
      <c r="AM1527" s="76"/>
      <c r="AN1527" s="76"/>
    </row>
    <row r="1528" spans="1:40" ht="15">
      <c r="A1528" s="83" t="e">
        <f>IF(#REF!&lt;&gt;#REF!,1,A1527+1)</f>
        <v>#REF!</v>
      </c>
      <c r="O1528" s="79"/>
      <c r="P1528" s="79"/>
      <c r="Q1528" s="76"/>
      <c r="R1528" s="77"/>
      <c r="S1528" s="76"/>
      <c r="T1528" s="77"/>
      <c r="U1528" s="76"/>
      <c r="V1528" s="77"/>
      <c r="W1528" s="76"/>
      <c r="X1528" s="77"/>
      <c r="Y1528" s="76"/>
      <c r="Z1528" s="76"/>
      <c r="AA1528" s="76"/>
      <c r="AB1528" s="76"/>
      <c r="AC1528" s="76"/>
      <c r="AD1528" s="76"/>
      <c r="AE1528" s="76"/>
      <c r="AF1528" s="76"/>
      <c r="AG1528" s="76"/>
      <c r="AH1528" s="76"/>
      <c r="AI1528" s="76"/>
      <c r="AJ1528" s="76"/>
      <c r="AK1528" s="76"/>
      <c r="AL1528" s="77"/>
      <c r="AM1528" s="76"/>
      <c r="AN1528" s="76"/>
    </row>
    <row r="1529" spans="1:40" ht="15">
      <c r="A1529" s="83" t="e">
        <f>IF(#REF!&lt;&gt;#REF!,1,A1528+1)</f>
        <v>#REF!</v>
      </c>
      <c r="O1529" s="79"/>
      <c r="P1529" s="79"/>
      <c r="Q1529" s="76"/>
      <c r="R1529" s="77"/>
      <c r="S1529" s="76"/>
      <c r="T1529" s="77"/>
      <c r="U1529" s="76"/>
      <c r="V1529" s="77"/>
      <c r="W1529" s="76"/>
      <c r="X1529" s="77"/>
      <c r="Y1529" s="76"/>
      <c r="Z1529" s="76"/>
      <c r="AA1529" s="76"/>
      <c r="AB1529" s="76"/>
      <c r="AC1529" s="76"/>
      <c r="AD1529" s="76"/>
      <c r="AE1529" s="76"/>
      <c r="AF1529" s="76"/>
      <c r="AG1529" s="76"/>
      <c r="AH1529" s="76"/>
      <c r="AI1529" s="76"/>
      <c r="AJ1529" s="76"/>
      <c r="AK1529" s="76"/>
      <c r="AL1529" s="77"/>
      <c r="AM1529" s="76"/>
      <c r="AN1529" s="76"/>
    </row>
    <row r="1530" spans="1:40" ht="15">
      <c r="A1530" s="83" t="e">
        <f>IF(#REF!&lt;&gt;#REF!,1,A1529+1)</f>
        <v>#REF!</v>
      </c>
      <c r="O1530" s="79"/>
      <c r="P1530" s="79"/>
      <c r="Q1530" s="76"/>
      <c r="R1530" s="77"/>
      <c r="S1530" s="76"/>
      <c r="T1530" s="77"/>
      <c r="U1530" s="76"/>
      <c r="V1530" s="77"/>
      <c r="W1530" s="76"/>
      <c r="X1530" s="77"/>
      <c r="Y1530" s="76"/>
      <c r="Z1530" s="76"/>
      <c r="AA1530" s="76"/>
      <c r="AB1530" s="76"/>
      <c r="AC1530" s="76"/>
      <c r="AD1530" s="76"/>
      <c r="AE1530" s="76"/>
      <c r="AF1530" s="76"/>
      <c r="AG1530" s="76"/>
      <c r="AH1530" s="76"/>
      <c r="AI1530" s="76"/>
      <c r="AJ1530" s="76"/>
      <c r="AK1530" s="76"/>
      <c r="AL1530" s="77"/>
      <c r="AM1530" s="76"/>
      <c r="AN1530" s="76"/>
    </row>
    <row r="1531" spans="1:40" ht="15">
      <c r="A1531" s="83" t="e">
        <f>IF(#REF!&lt;&gt;#REF!,1,A1530+1)</f>
        <v>#REF!</v>
      </c>
      <c r="O1531" s="79"/>
      <c r="P1531" s="79"/>
      <c r="Q1531" s="76"/>
      <c r="R1531" s="77"/>
      <c r="S1531" s="76"/>
      <c r="T1531" s="77"/>
      <c r="U1531" s="76"/>
      <c r="V1531" s="77"/>
      <c r="W1531" s="76"/>
      <c r="X1531" s="77"/>
      <c r="Y1531" s="76"/>
      <c r="Z1531" s="76"/>
      <c r="AA1531" s="76"/>
      <c r="AB1531" s="76"/>
      <c r="AC1531" s="76"/>
      <c r="AD1531" s="76"/>
      <c r="AE1531" s="76"/>
      <c r="AF1531" s="76"/>
      <c r="AG1531" s="76"/>
      <c r="AH1531" s="76"/>
      <c r="AI1531" s="76"/>
      <c r="AJ1531" s="76"/>
      <c r="AK1531" s="76"/>
      <c r="AL1531" s="77"/>
      <c r="AM1531" s="76"/>
      <c r="AN1531" s="76"/>
    </row>
    <row r="1532" spans="1:40" ht="15">
      <c r="A1532" s="83" t="e">
        <f>IF(#REF!&lt;&gt;#REF!,1,A1531+1)</f>
        <v>#REF!</v>
      </c>
      <c r="O1532" s="79"/>
      <c r="P1532" s="79"/>
      <c r="Q1532" s="76"/>
      <c r="R1532" s="77"/>
      <c r="S1532" s="76"/>
      <c r="T1532" s="77"/>
      <c r="U1532" s="76"/>
      <c r="V1532" s="77"/>
      <c r="W1532" s="76"/>
      <c r="X1532" s="77"/>
      <c r="Y1532" s="76"/>
      <c r="Z1532" s="76"/>
      <c r="AA1532" s="76"/>
      <c r="AB1532" s="76"/>
      <c r="AC1532" s="76"/>
      <c r="AD1532" s="76"/>
      <c r="AE1532" s="76"/>
      <c r="AF1532" s="76"/>
      <c r="AG1532" s="76"/>
      <c r="AH1532" s="76"/>
      <c r="AI1532" s="76"/>
      <c r="AJ1532" s="76"/>
      <c r="AK1532" s="76"/>
      <c r="AL1532" s="77"/>
      <c r="AM1532" s="76"/>
      <c r="AN1532" s="76"/>
    </row>
    <row r="1533" spans="1:40" ht="15">
      <c r="A1533" s="83" t="e">
        <f>IF(#REF!&lt;&gt;#REF!,1,A1532+1)</f>
        <v>#REF!</v>
      </c>
      <c r="O1533" s="79"/>
      <c r="P1533" s="79"/>
      <c r="Q1533" s="76"/>
      <c r="R1533" s="77"/>
      <c r="S1533" s="76"/>
      <c r="T1533" s="77"/>
      <c r="U1533" s="76"/>
      <c r="V1533" s="77"/>
      <c r="W1533" s="76"/>
      <c r="X1533" s="77"/>
      <c r="Y1533" s="76"/>
      <c r="Z1533" s="76"/>
      <c r="AA1533" s="76"/>
      <c r="AB1533" s="76"/>
      <c r="AC1533" s="76"/>
      <c r="AD1533" s="76"/>
      <c r="AE1533" s="76"/>
      <c r="AF1533" s="76"/>
      <c r="AG1533" s="76"/>
      <c r="AH1533" s="76"/>
      <c r="AI1533" s="76"/>
      <c r="AJ1533" s="76"/>
      <c r="AK1533" s="76"/>
      <c r="AL1533" s="77"/>
      <c r="AM1533" s="76"/>
      <c r="AN1533" s="76"/>
    </row>
    <row r="1534" spans="1:40" ht="15">
      <c r="A1534" s="83" t="e">
        <f>IF(#REF!&lt;&gt;#REF!,1,A1533+1)</f>
        <v>#REF!</v>
      </c>
      <c r="O1534" s="79"/>
      <c r="P1534" s="79"/>
      <c r="Q1534" s="76"/>
      <c r="R1534" s="77"/>
      <c r="S1534" s="76"/>
      <c r="T1534" s="77"/>
      <c r="U1534" s="76"/>
      <c r="V1534" s="77"/>
      <c r="W1534" s="76"/>
      <c r="X1534" s="77"/>
      <c r="Y1534" s="76"/>
      <c r="Z1534" s="76"/>
      <c r="AA1534" s="76"/>
      <c r="AB1534" s="76"/>
      <c r="AC1534" s="76"/>
      <c r="AD1534" s="76"/>
      <c r="AE1534" s="76"/>
      <c r="AF1534" s="76"/>
      <c r="AG1534" s="76"/>
      <c r="AH1534" s="76"/>
      <c r="AI1534" s="76"/>
      <c r="AJ1534" s="76"/>
      <c r="AK1534" s="76"/>
      <c r="AL1534" s="77"/>
      <c r="AM1534" s="76"/>
      <c r="AN1534" s="76"/>
    </row>
    <row r="1535" spans="1:40" ht="15">
      <c r="A1535" s="83" t="e">
        <f>IF(#REF!&lt;&gt;#REF!,1,A1534+1)</f>
        <v>#REF!</v>
      </c>
      <c r="O1535" s="79"/>
      <c r="P1535" s="79"/>
      <c r="Q1535" s="76"/>
      <c r="R1535" s="77"/>
      <c r="S1535" s="76"/>
      <c r="T1535" s="77"/>
      <c r="U1535" s="76"/>
      <c r="V1535" s="77"/>
      <c r="W1535" s="76"/>
      <c r="X1535" s="77"/>
      <c r="Y1535" s="76"/>
      <c r="Z1535" s="76"/>
      <c r="AA1535" s="76"/>
      <c r="AB1535" s="76"/>
      <c r="AC1535" s="76"/>
      <c r="AD1535" s="76"/>
      <c r="AE1535" s="76"/>
      <c r="AF1535" s="76"/>
      <c r="AG1535" s="76"/>
      <c r="AH1535" s="76"/>
      <c r="AI1535" s="76"/>
      <c r="AJ1535" s="76"/>
      <c r="AK1535" s="76"/>
      <c r="AL1535" s="77"/>
      <c r="AM1535" s="76"/>
      <c r="AN1535" s="76"/>
    </row>
    <row r="1536" spans="1:40" ht="15">
      <c r="A1536" s="83" t="e">
        <f>IF(#REF!&lt;&gt;#REF!,1,A1535+1)</f>
        <v>#REF!</v>
      </c>
      <c r="O1536" s="79"/>
      <c r="P1536" s="79"/>
      <c r="Q1536" s="76"/>
      <c r="R1536" s="77"/>
      <c r="S1536" s="76"/>
      <c r="T1536" s="77"/>
      <c r="U1536" s="76"/>
      <c r="V1536" s="77"/>
      <c r="W1536" s="76"/>
      <c r="X1536" s="77"/>
      <c r="Y1536" s="76"/>
      <c r="Z1536" s="76"/>
      <c r="AA1536" s="76"/>
      <c r="AB1536" s="76"/>
      <c r="AC1536" s="76"/>
      <c r="AD1536" s="76"/>
      <c r="AE1536" s="76"/>
      <c r="AF1536" s="76"/>
      <c r="AG1536" s="76"/>
      <c r="AH1536" s="76"/>
      <c r="AI1536" s="76"/>
      <c r="AJ1536" s="76"/>
      <c r="AK1536" s="76"/>
      <c r="AL1536" s="77"/>
      <c r="AM1536" s="76"/>
      <c r="AN1536" s="76"/>
    </row>
    <row r="1537" spans="1:40" ht="15">
      <c r="A1537" s="83" t="e">
        <f>IF(#REF!&lt;&gt;#REF!,1,A1536+1)</f>
        <v>#REF!</v>
      </c>
      <c r="O1537" s="79"/>
      <c r="P1537" s="79"/>
      <c r="Q1537" s="76"/>
      <c r="R1537" s="77"/>
      <c r="S1537" s="76"/>
      <c r="T1537" s="77"/>
      <c r="U1537" s="76"/>
      <c r="V1537" s="77"/>
      <c r="W1537" s="76"/>
      <c r="X1537" s="77"/>
      <c r="Y1537" s="76"/>
      <c r="Z1537" s="76"/>
      <c r="AA1537" s="76"/>
      <c r="AB1537" s="76"/>
      <c r="AC1537" s="76"/>
      <c r="AD1537" s="76"/>
      <c r="AE1537" s="76"/>
      <c r="AF1537" s="76"/>
      <c r="AG1537" s="76"/>
      <c r="AH1537" s="76"/>
      <c r="AI1537" s="76"/>
      <c r="AJ1537" s="76"/>
      <c r="AK1537" s="76"/>
      <c r="AL1537" s="77"/>
      <c r="AM1537" s="76"/>
      <c r="AN1537" s="76"/>
    </row>
    <row r="1538" spans="1:40" ht="15">
      <c r="A1538" s="83" t="e">
        <f>IF(#REF!&lt;&gt;#REF!,1,A1537+1)</f>
        <v>#REF!</v>
      </c>
      <c r="O1538" s="79"/>
      <c r="P1538" s="79"/>
      <c r="Q1538" s="76"/>
      <c r="R1538" s="77"/>
      <c r="S1538" s="76"/>
      <c r="T1538" s="77"/>
      <c r="U1538" s="76"/>
      <c r="V1538" s="77"/>
      <c r="W1538" s="76"/>
      <c r="X1538" s="77"/>
      <c r="Y1538" s="76"/>
      <c r="Z1538" s="76"/>
      <c r="AA1538" s="76"/>
      <c r="AB1538" s="76"/>
      <c r="AC1538" s="76"/>
      <c r="AD1538" s="76"/>
      <c r="AE1538" s="76"/>
      <c r="AF1538" s="76"/>
      <c r="AG1538" s="76"/>
      <c r="AH1538" s="76"/>
      <c r="AI1538" s="76"/>
      <c r="AJ1538" s="76"/>
      <c r="AK1538" s="76"/>
      <c r="AL1538" s="77"/>
      <c r="AM1538" s="76"/>
      <c r="AN1538" s="76"/>
    </row>
    <row r="1539" spans="1:40" ht="15">
      <c r="A1539" s="83" t="e">
        <f>IF(#REF!&lt;&gt;#REF!,1,A1538+1)</f>
        <v>#REF!</v>
      </c>
      <c r="O1539" s="79"/>
      <c r="P1539" s="79"/>
      <c r="Q1539" s="76"/>
      <c r="R1539" s="77"/>
      <c r="S1539" s="76"/>
      <c r="T1539" s="77"/>
      <c r="U1539" s="76"/>
      <c r="V1539" s="77"/>
      <c r="W1539" s="76"/>
      <c r="X1539" s="77"/>
      <c r="Y1539" s="76"/>
      <c r="Z1539" s="76"/>
      <c r="AA1539" s="76"/>
      <c r="AB1539" s="76"/>
      <c r="AC1539" s="76"/>
      <c r="AD1539" s="76"/>
      <c r="AE1539" s="76"/>
      <c r="AF1539" s="76"/>
      <c r="AG1539" s="76"/>
      <c r="AH1539" s="76"/>
      <c r="AI1539" s="76"/>
      <c r="AJ1539" s="76"/>
      <c r="AK1539" s="76"/>
      <c r="AL1539" s="77"/>
      <c r="AM1539" s="76"/>
      <c r="AN1539" s="76"/>
    </row>
    <row r="1540" spans="1:40" ht="15">
      <c r="A1540" s="83" t="e">
        <f>IF(#REF!&lt;&gt;#REF!,1,A1539+1)</f>
        <v>#REF!</v>
      </c>
      <c r="O1540" s="79"/>
      <c r="P1540" s="79"/>
      <c r="Q1540" s="76"/>
      <c r="R1540" s="77"/>
      <c r="S1540" s="76"/>
      <c r="T1540" s="77"/>
      <c r="U1540" s="76"/>
      <c r="V1540" s="77"/>
      <c r="W1540" s="76"/>
      <c r="X1540" s="77"/>
      <c r="Y1540" s="76"/>
      <c r="Z1540" s="76"/>
      <c r="AA1540" s="76"/>
      <c r="AB1540" s="76"/>
      <c r="AC1540" s="76"/>
      <c r="AD1540" s="76"/>
      <c r="AE1540" s="76"/>
      <c r="AF1540" s="76"/>
      <c r="AG1540" s="76"/>
      <c r="AH1540" s="76"/>
      <c r="AI1540" s="76"/>
      <c r="AJ1540" s="76"/>
      <c r="AK1540" s="76"/>
      <c r="AL1540" s="77"/>
      <c r="AM1540" s="76"/>
      <c r="AN1540" s="76"/>
    </row>
    <row r="1541" spans="1:40" ht="15">
      <c r="A1541" s="83" t="e">
        <f>IF(#REF!&lt;&gt;#REF!,1,A1540+1)</f>
        <v>#REF!</v>
      </c>
      <c r="O1541" s="79"/>
      <c r="P1541" s="79"/>
      <c r="Q1541" s="76"/>
      <c r="R1541" s="77"/>
      <c r="S1541" s="76"/>
      <c r="T1541" s="77"/>
      <c r="U1541" s="76"/>
      <c r="V1541" s="77"/>
      <c r="W1541" s="76"/>
      <c r="X1541" s="77"/>
      <c r="Y1541" s="76"/>
      <c r="Z1541" s="76"/>
      <c r="AA1541" s="76"/>
      <c r="AB1541" s="76"/>
      <c r="AC1541" s="76"/>
      <c r="AD1541" s="76"/>
      <c r="AE1541" s="76"/>
      <c r="AF1541" s="76"/>
      <c r="AG1541" s="76"/>
      <c r="AH1541" s="76"/>
      <c r="AI1541" s="76"/>
      <c r="AJ1541" s="76"/>
      <c r="AK1541" s="76"/>
      <c r="AL1541" s="77"/>
      <c r="AM1541" s="76"/>
      <c r="AN1541" s="76"/>
    </row>
    <row r="1542" spans="1:40" ht="15">
      <c r="A1542" s="83" t="e">
        <f>IF(#REF!&lt;&gt;#REF!,1,A1541+1)</f>
        <v>#REF!</v>
      </c>
      <c r="O1542" s="79"/>
      <c r="P1542" s="79"/>
      <c r="Q1542" s="76"/>
      <c r="R1542" s="77"/>
      <c r="S1542" s="76"/>
      <c r="T1542" s="77"/>
      <c r="U1542" s="76"/>
      <c r="V1542" s="77"/>
      <c r="W1542" s="76"/>
      <c r="X1542" s="77"/>
      <c r="Y1542" s="76"/>
      <c r="Z1542" s="76"/>
      <c r="AA1542" s="76"/>
      <c r="AB1542" s="76"/>
      <c r="AC1542" s="76"/>
      <c r="AD1542" s="76"/>
      <c r="AE1542" s="76"/>
      <c r="AF1542" s="76"/>
      <c r="AG1542" s="76"/>
      <c r="AH1542" s="76"/>
      <c r="AI1542" s="76"/>
      <c r="AJ1542" s="76"/>
      <c r="AK1542" s="76"/>
      <c r="AL1542" s="77"/>
      <c r="AM1542" s="76"/>
      <c r="AN1542" s="76"/>
    </row>
    <row r="1543" spans="1:40" ht="15">
      <c r="A1543" s="83" t="e">
        <f>IF(#REF!&lt;&gt;#REF!,1,A1542+1)</f>
        <v>#REF!</v>
      </c>
      <c r="O1543" s="79"/>
      <c r="P1543" s="79"/>
      <c r="Q1543" s="76"/>
      <c r="R1543" s="77"/>
      <c r="S1543" s="76"/>
      <c r="T1543" s="77"/>
      <c r="U1543" s="76"/>
      <c r="V1543" s="77"/>
      <c r="W1543" s="76"/>
      <c r="X1543" s="77"/>
      <c r="Y1543" s="76"/>
      <c r="Z1543" s="76"/>
      <c r="AA1543" s="76"/>
      <c r="AB1543" s="76"/>
      <c r="AC1543" s="76"/>
      <c r="AD1543" s="76"/>
      <c r="AE1543" s="76"/>
      <c r="AF1543" s="76"/>
      <c r="AG1543" s="76"/>
      <c r="AH1543" s="76"/>
      <c r="AI1543" s="76"/>
      <c r="AJ1543" s="76"/>
      <c r="AK1543" s="76"/>
      <c r="AL1543" s="77"/>
      <c r="AM1543" s="76"/>
      <c r="AN1543" s="76"/>
    </row>
    <row r="1544" spans="1:40" ht="15">
      <c r="A1544" s="83" t="e">
        <f>IF(#REF!&lt;&gt;#REF!,1,A1543+1)</f>
        <v>#REF!</v>
      </c>
      <c r="O1544" s="79"/>
      <c r="P1544" s="79"/>
      <c r="Q1544" s="76"/>
      <c r="R1544" s="77"/>
      <c r="S1544" s="76"/>
      <c r="T1544" s="77"/>
      <c r="U1544" s="76"/>
      <c r="V1544" s="77"/>
      <c r="W1544" s="76"/>
      <c r="X1544" s="77"/>
      <c r="Y1544" s="76"/>
      <c r="Z1544" s="76"/>
      <c r="AA1544" s="76"/>
      <c r="AB1544" s="76"/>
      <c r="AC1544" s="76"/>
      <c r="AD1544" s="76"/>
      <c r="AE1544" s="76"/>
      <c r="AF1544" s="76"/>
      <c r="AG1544" s="76"/>
      <c r="AH1544" s="76"/>
      <c r="AI1544" s="76"/>
      <c r="AJ1544" s="76"/>
      <c r="AK1544" s="76"/>
      <c r="AL1544" s="77"/>
      <c r="AM1544" s="76"/>
      <c r="AN1544" s="76"/>
    </row>
    <row r="1545" spans="1:40" ht="15">
      <c r="A1545" s="83" t="e">
        <f>IF(#REF!&lt;&gt;#REF!,1,A1544+1)</f>
        <v>#REF!</v>
      </c>
      <c r="O1545" s="79"/>
      <c r="P1545" s="79"/>
      <c r="Q1545" s="76"/>
      <c r="R1545" s="77"/>
      <c r="S1545" s="76"/>
      <c r="T1545" s="77"/>
      <c r="U1545" s="76"/>
      <c r="V1545" s="77"/>
      <c r="W1545" s="76"/>
      <c r="X1545" s="77"/>
      <c r="Y1545" s="76"/>
      <c r="Z1545" s="76"/>
      <c r="AA1545" s="76"/>
      <c r="AB1545" s="76"/>
      <c r="AC1545" s="76"/>
      <c r="AD1545" s="76"/>
      <c r="AE1545" s="76"/>
      <c r="AF1545" s="76"/>
      <c r="AG1545" s="76"/>
      <c r="AH1545" s="76"/>
      <c r="AI1545" s="76"/>
      <c r="AJ1545" s="76"/>
      <c r="AK1545" s="76"/>
      <c r="AL1545" s="77"/>
      <c r="AM1545" s="76"/>
      <c r="AN1545" s="76"/>
    </row>
    <row r="1546" spans="1:40" ht="15">
      <c r="A1546" s="83" t="e">
        <f>IF(#REF!&lt;&gt;#REF!,1,A1545+1)</f>
        <v>#REF!</v>
      </c>
      <c r="O1546" s="79"/>
      <c r="P1546" s="79"/>
      <c r="Q1546" s="76"/>
      <c r="R1546" s="77"/>
      <c r="S1546" s="76"/>
      <c r="T1546" s="77"/>
      <c r="U1546" s="76"/>
      <c r="V1546" s="77"/>
      <c r="W1546" s="76"/>
      <c r="X1546" s="77"/>
      <c r="Y1546" s="76"/>
      <c r="Z1546" s="76"/>
      <c r="AA1546" s="76"/>
      <c r="AB1546" s="76"/>
      <c r="AC1546" s="76"/>
      <c r="AD1546" s="76"/>
      <c r="AE1546" s="76"/>
      <c r="AF1546" s="76"/>
      <c r="AG1546" s="76"/>
      <c r="AH1546" s="76"/>
      <c r="AI1546" s="76"/>
      <c r="AJ1546" s="76"/>
      <c r="AK1546" s="76"/>
      <c r="AL1546" s="77"/>
      <c r="AM1546" s="76"/>
      <c r="AN1546" s="76"/>
    </row>
    <row r="1547" spans="1:40" ht="15">
      <c r="A1547" s="83" t="e">
        <f>IF(#REF!&lt;&gt;#REF!,1,A1546+1)</f>
        <v>#REF!</v>
      </c>
      <c r="O1547" s="79"/>
      <c r="P1547" s="79"/>
      <c r="Q1547" s="76"/>
      <c r="R1547" s="77"/>
      <c r="S1547" s="76"/>
      <c r="T1547" s="77"/>
      <c r="U1547" s="76"/>
      <c r="V1547" s="77"/>
      <c r="W1547" s="76"/>
      <c r="X1547" s="77"/>
      <c r="Y1547" s="76"/>
      <c r="Z1547" s="76"/>
      <c r="AA1547" s="76"/>
      <c r="AB1547" s="76"/>
      <c r="AC1547" s="76"/>
      <c r="AD1547" s="76"/>
      <c r="AE1547" s="76"/>
      <c r="AF1547" s="76"/>
      <c r="AG1547" s="76"/>
      <c r="AH1547" s="76"/>
      <c r="AI1547" s="76"/>
      <c r="AJ1547" s="76"/>
      <c r="AK1547" s="76"/>
      <c r="AL1547" s="77"/>
      <c r="AM1547" s="76"/>
      <c r="AN1547" s="76"/>
    </row>
    <row r="1548" spans="1:40" ht="15">
      <c r="A1548" s="83" t="e">
        <f>IF(#REF!&lt;&gt;#REF!,1,A1547+1)</f>
        <v>#REF!</v>
      </c>
      <c r="O1548" s="79"/>
      <c r="P1548" s="79"/>
      <c r="Q1548" s="76"/>
      <c r="R1548" s="77"/>
      <c r="S1548" s="76"/>
      <c r="T1548" s="77"/>
      <c r="U1548" s="76"/>
      <c r="V1548" s="77"/>
      <c r="W1548" s="76"/>
      <c r="X1548" s="77"/>
      <c r="Y1548" s="76"/>
      <c r="Z1548" s="76"/>
      <c r="AA1548" s="76"/>
      <c r="AB1548" s="76"/>
      <c r="AC1548" s="76"/>
      <c r="AD1548" s="76"/>
      <c r="AE1548" s="76"/>
      <c r="AF1548" s="76"/>
      <c r="AG1548" s="76"/>
      <c r="AH1548" s="76"/>
      <c r="AI1548" s="76"/>
      <c r="AJ1548" s="76"/>
      <c r="AK1548" s="76"/>
      <c r="AL1548" s="77"/>
      <c r="AM1548" s="76"/>
      <c r="AN1548" s="76"/>
    </row>
    <row r="1549" spans="1:40" ht="15">
      <c r="A1549" s="83" t="e">
        <f>IF(#REF!&lt;&gt;#REF!,1,A1548+1)</f>
        <v>#REF!</v>
      </c>
      <c r="O1549" s="79"/>
      <c r="P1549" s="79"/>
      <c r="Q1549" s="76"/>
      <c r="R1549" s="77"/>
      <c r="S1549" s="76"/>
      <c r="T1549" s="77"/>
      <c r="U1549" s="76"/>
      <c r="V1549" s="77"/>
      <c r="W1549" s="76"/>
      <c r="X1549" s="77"/>
      <c r="Y1549" s="76"/>
      <c r="Z1549" s="76"/>
      <c r="AA1549" s="76"/>
      <c r="AB1549" s="76"/>
      <c r="AC1549" s="76"/>
      <c r="AD1549" s="76"/>
      <c r="AE1549" s="76"/>
      <c r="AF1549" s="76"/>
      <c r="AG1549" s="76"/>
      <c r="AH1549" s="76"/>
      <c r="AI1549" s="76"/>
      <c r="AJ1549" s="76"/>
      <c r="AK1549" s="76"/>
      <c r="AL1549" s="77"/>
      <c r="AM1549" s="76"/>
      <c r="AN1549" s="76"/>
    </row>
    <row r="1550" spans="1:40" ht="15">
      <c r="A1550" s="83" t="e">
        <f>IF(#REF!&lt;&gt;#REF!,1,A1549+1)</f>
        <v>#REF!</v>
      </c>
      <c r="O1550" s="79"/>
      <c r="P1550" s="79"/>
      <c r="Q1550" s="76"/>
      <c r="R1550" s="77"/>
      <c r="S1550" s="76"/>
      <c r="T1550" s="77"/>
      <c r="U1550" s="76"/>
      <c r="V1550" s="77"/>
      <c r="W1550" s="76"/>
      <c r="X1550" s="77"/>
      <c r="Y1550" s="76"/>
      <c r="Z1550" s="76"/>
      <c r="AA1550" s="76"/>
      <c r="AB1550" s="76"/>
      <c r="AC1550" s="76"/>
      <c r="AD1550" s="76"/>
      <c r="AE1550" s="76"/>
      <c r="AF1550" s="76"/>
      <c r="AG1550" s="76"/>
      <c r="AH1550" s="76"/>
      <c r="AI1550" s="76"/>
      <c r="AJ1550" s="76"/>
      <c r="AK1550" s="76"/>
      <c r="AL1550" s="77"/>
      <c r="AM1550" s="76"/>
      <c r="AN1550" s="76"/>
    </row>
    <row r="1551" spans="1:40" ht="15">
      <c r="A1551" s="83" t="e">
        <f>IF(#REF!&lt;&gt;#REF!,1,A1550+1)</f>
        <v>#REF!</v>
      </c>
      <c r="O1551" s="79"/>
      <c r="P1551" s="79"/>
      <c r="Q1551" s="76"/>
      <c r="R1551" s="77"/>
      <c r="S1551" s="76"/>
      <c r="T1551" s="77"/>
      <c r="U1551" s="76"/>
      <c r="V1551" s="77"/>
      <c r="W1551" s="76"/>
      <c r="X1551" s="77"/>
      <c r="Y1551" s="76"/>
      <c r="Z1551" s="76"/>
      <c r="AA1551" s="76"/>
      <c r="AB1551" s="76"/>
      <c r="AC1551" s="76"/>
      <c r="AD1551" s="76"/>
      <c r="AE1551" s="76"/>
      <c r="AF1551" s="76"/>
      <c r="AG1551" s="76"/>
      <c r="AH1551" s="76"/>
      <c r="AI1551" s="76"/>
      <c r="AJ1551" s="76"/>
      <c r="AK1551" s="76"/>
      <c r="AL1551" s="77"/>
      <c r="AM1551" s="76"/>
      <c r="AN1551" s="76"/>
    </row>
    <row r="1552" spans="1:40" ht="15">
      <c r="A1552" s="83" t="e">
        <f>IF(#REF!&lt;&gt;#REF!,1,A1551+1)</f>
        <v>#REF!</v>
      </c>
      <c r="O1552" s="79"/>
      <c r="P1552" s="79"/>
      <c r="Q1552" s="76"/>
      <c r="R1552" s="77"/>
      <c r="S1552" s="76"/>
      <c r="T1552" s="77"/>
      <c r="U1552" s="76"/>
      <c r="V1552" s="77"/>
      <c r="W1552" s="76"/>
      <c r="X1552" s="77"/>
      <c r="Y1552" s="76"/>
      <c r="Z1552" s="76"/>
      <c r="AA1552" s="76"/>
      <c r="AB1552" s="76"/>
      <c r="AC1552" s="76"/>
      <c r="AD1552" s="76"/>
      <c r="AE1552" s="76"/>
      <c r="AF1552" s="76"/>
      <c r="AG1552" s="76"/>
      <c r="AH1552" s="76"/>
      <c r="AI1552" s="76"/>
      <c r="AJ1552" s="76"/>
      <c r="AK1552" s="76"/>
      <c r="AL1552" s="77"/>
      <c r="AM1552" s="76"/>
      <c r="AN1552" s="76"/>
    </row>
    <row r="1553" spans="1:40" ht="15">
      <c r="A1553" s="83" t="e">
        <f>IF(#REF!&lt;&gt;#REF!,1,A1552+1)</f>
        <v>#REF!</v>
      </c>
      <c r="O1553" s="79"/>
      <c r="P1553" s="79"/>
      <c r="Q1553" s="76"/>
      <c r="R1553" s="77"/>
      <c r="S1553" s="76"/>
      <c r="T1553" s="77"/>
      <c r="U1553" s="76"/>
      <c r="V1553" s="77"/>
      <c r="W1553" s="76"/>
      <c r="X1553" s="77"/>
      <c r="Y1553" s="76"/>
      <c r="Z1553" s="76"/>
      <c r="AA1553" s="76"/>
      <c r="AB1553" s="76"/>
      <c r="AC1553" s="76"/>
      <c r="AD1553" s="76"/>
      <c r="AE1553" s="76"/>
      <c r="AF1553" s="76"/>
      <c r="AG1553" s="76"/>
      <c r="AH1553" s="76"/>
      <c r="AI1553" s="76"/>
      <c r="AJ1553" s="76"/>
      <c r="AK1553" s="76"/>
      <c r="AL1553" s="77"/>
      <c r="AM1553" s="76"/>
      <c r="AN1553" s="76"/>
    </row>
    <row r="1554" spans="1:40" ht="15">
      <c r="A1554" s="83" t="e">
        <f>IF(#REF!&lt;&gt;#REF!,1,A1553+1)</f>
        <v>#REF!</v>
      </c>
      <c r="O1554" s="79"/>
      <c r="P1554" s="79"/>
      <c r="Q1554" s="76"/>
      <c r="R1554" s="77"/>
      <c r="S1554" s="76"/>
      <c r="T1554" s="77"/>
      <c r="U1554" s="76"/>
      <c r="V1554" s="77"/>
      <c r="W1554" s="76"/>
      <c r="X1554" s="77"/>
      <c r="Y1554" s="76"/>
      <c r="Z1554" s="76"/>
      <c r="AA1554" s="76"/>
      <c r="AB1554" s="76"/>
      <c r="AC1554" s="76"/>
      <c r="AD1554" s="76"/>
      <c r="AE1554" s="76"/>
      <c r="AF1554" s="76"/>
      <c r="AG1554" s="76"/>
      <c r="AH1554" s="76"/>
      <c r="AI1554" s="76"/>
      <c r="AJ1554" s="76"/>
      <c r="AK1554" s="76"/>
      <c r="AL1554" s="77"/>
      <c r="AM1554" s="76"/>
      <c r="AN1554" s="76"/>
    </row>
    <row r="1555" spans="1:40" ht="15">
      <c r="A1555" s="83" t="e">
        <f>IF(#REF!&lt;&gt;#REF!,1,A1554+1)</f>
        <v>#REF!</v>
      </c>
      <c r="O1555" s="79"/>
      <c r="P1555" s="79"/>
      <c r="Q1555" s="76"/>
      <c r="R1555" s="77"/>
      <c r="S1555" s="76"/>
      <c r="T1555" s="77"/>
      <c r="U1555" s="76"/>
      <c r="V1555" s="77"/>
      <c r="W1555" s="76"/>
      <c r="X1555" s="77"/>
      <c r="Y1555" s="76"/>
      <c r="Z1555" s="76"/>
      <c r="AA1555" s="76"/>
      <c r="AB1555" s="76"/>
      <c r="AC1555" s="76"/>
      <c r="AD1555" s="76"/>
      <c r="AE1555" s="76"/>
      <c r="AF1555" s="76"/>
      <c r="AG1555" s="76"/>
      <c r="AH1555" s="76"/>
      <c r="AI1555" s="76"/>
      <c r="AJ1555" s="76"/>
      <c r="AK1555" s="76"/>
      <c r="AL1555" s="77"/>
      <c r="AM1555" s="76"/>
      <c r="AN1555" s="76"/>
    </row>
    <row r="1556" spans="1:40" ht="15">
      <c r="A1556" s="83" t="e">
        <f>IF(#REF!&lt;&gt;#REF!,1,A1555+1)</f>
        <v>#REF!</v>
      </c>
      <c r="O1556" s="79"/>
      <c r="P1556" s="79"/>
      <c r="Q1556" s="76"/>
      <c r="R1556" s="77"/>
      <c r="S1556" s="76"/>
      <c r="T1556" s="77"/>
      <c r="U1556" s="76"/>
      <c r="V1556" s="77"/>
      <c r="W1556" s="76"/>
      <c r="X1556" s="77"/>
      <c r="Y1556" s="76"/>
      <c r="Z1556" s="76"/>
      <c r="AA1556" s="76"/>
      <c r="AB1556" s="76"/>
      <c r="AC1556" s="76"/>
      <c r="AD1556" s="76"/>
      <c r="AE1556" s="76"/>
      <c r="AF1556" s="76"/>
      <c r="AG1556" s="76"/>
      <c r="AH1556" s="76"/>
      <c r="AI1556" s="76"/>
      <c r="AJ1556" s="76"/>
      <c r="AK1556" s="76"/>
      <c r="AL1556" s="77"/>
      <c r="AM1556" s="76"/>
      <c r="AN1556" s="76"/>
    </row>
    <row r="1557" spans="1:40" ht="15">
      <c r="A1557" s="83" t="e">
        <f>IF(#REF!&lt;&gt;#REF!,1,A1556+1)</f>
        <v>#REF!</v>
      </c>
      <c r="O1557" s="79"/>
      <c r="P1557" s="79"/>
      <c r="Q1557" s="76"/>
      <c r="R1557" s="77"/>
      <c r="S1557" s="76"/>
      <c r="T1557" s="77"/>
      <c r="U1557" s="76"/>
      <c r="V1557" s="77"/>
      <c r="W1557" s="76"/>
      <c r="X1557" s="77"/>
      <c r="Y1557" s="76"/>
      <c r="Z1557" s="76"/>
      <c r="AA1557" s="76"/>
      <c r="AB1557" s="76"/>
      <c r="AC1557" s="76"/>
      <c r="AD1557" s="76"/>
      <c r="AE1557" s="76"/>
      <c r="AF1557" s="76"/>
      <c r="AG1557" s="76"/>
      <c r="AH1557" s="76"/>
      <c r="AI1557" s="76"/>
      <c r="AJ1557" s="76"/>
      <c r="AK1557" s="76"/>
      <c r="AL1557" s="77"/>
      <c r="AM1557" s="76"/>
      <c r="AN1557" s="76"/>
    </row>
    <row r="1558" spans="1:40" ht="15">
      <c r="A1558" s="83" t="e">
        <f>IF(#REF!&lt;&gt;#REF!,1,A1557+1)</f>
        <v>#REF!</v>
      </c>
      <c r="O1558" s="79"/>
      <c r="P1558" s="79"/>
      <c r="Q1558" s="76"/>
      <c r="R1558" s="77"/>
      <c r="S1558" s="76"/>
      <c r="T1558" s="77"/>
      <c r="U1558" s="76"/>
      <c r="V1558" s="77"/>
      <c r="W1558" s="76"/>
      <c r="X1558" s="77"/>
      <c r="Y1558" s="76"/>
      <c r="Z1558" s="76"/>
      <c r="AA1558" s="76"/>
      <c r="AB1558" s="76"/>
      <c r="AC1558" s="76"/>
      <c r="AD1558" s="76"/>
      <c r="AE1558" s="76"/>
      <c r="AF1558" s="76"/>
      <c r="AG1558" s="76"/>
      <c r="AH1558" s="76"/>
      <c r="AI1558" s="76"/>
      <c r="AJ1558" s="76"/>
      <c r="AK1558" s="76"/>
      <c r="AL1558" s="77"/>
      <c r="AM1558" s="76"/>
      <c r="AN1558" s="76"/>
    </row>
    <row r="1559" spans="1:40" ht="15">
      <c r="A1559" s="83" t="e">
        <f>IF(#REF!&lt;&gt;#REF!,1,A1558+1)</f>
        <v>#REF!</v>
      </c>
      <c r="O1559" s="79"/>
      <c r="P1559" s="79"/>
      <c r="Q1559" s="76"/>
      <c r="R1559" s="77"/>
      <c r="S1559" s="76"/>
      <c r="T1559" s="77"/>
      <c r="U1559" s="76"/>
      <c r="V1559" s="77"/>
      <c r="W1559" s="76"/>
      <c r="X1559" s="77"/>
      <c r="Y1559" s="76"/>
      <c r="Z1559" s="76"/>
      <c r="AA1559" s="76"/>
      <c r="AB1559" s="76"/>
      <c r="AC1559" s="76"/>
      <c r="AD1559" s="76"/>
      <c r="AE1559" s="76"/>
      <c r="AF1559" s="76"/>
      <c r="AG1559" s="76"/>
      <c r="AH1559" s="76"/>
      <c r="AI1559" s="76"/>
      <c r="AJ1559" s="76"/>
      <c r="AK1559" s="76"/>
      <c r="AL1559" s="77"/>
      <c r="AM1559" s="76"/>
      <c r="AN1559" s="76"/>
    </row>
    <row r="1560" spans="1:40" ht="15">
      <c r="A1560" s="83" t="e">
        <f>IF(#REF!&lt;&gt;#REF!,1,A1559+1)</f>
        <v>#REF!</v>
      </c>
      <c r="O1560" s="79"/>
      <c r="P1560" s="79"/>
      <c r="Q1560" s="76"/>
      <c r="R1560" s="77"/>
      <c r="S1560" s="76"/>
      <c r="T1560" s="77"/>
      <c r="U1560" s="76"/>
      <c r="V1560" s="77"/>
      <c r="W1560" s="76"/>
      <c r="X1560" s="77"/>
      <c r="Y1560" s="76"/>
      <c r="Z1560" s="76"/>
      <c r="AA1560" s="76"/>
      <c r="AB1560" s="76"/>
      <c r="AC1560" s="76"/>
      <c r="AD1560" s="76"/>
      <c r="AE1560" s="76"/>
      <c r="AF1560" s="76"/>
      <c r="AG1560" s="76"/>
      <c r="AH1560" s="76"/>
      <c r="AI1560" s="76"/>
      <c r="AJ1560" s="76"/>
      <c r="AK1560" s="76"/>
      <c r="AL1560" s="77"/>
      <c r="AM1560" s="76"/>
      <c r="AN1560" s="76"/>
    </row>
    <row r="1561" spans="1:40" ht="15">
      <c r="A1561" s="83" t="e">
        <f>IF(#REF!&lt;&gt;#REF!,1,A1560+1)</f>
        <v>#REF!</v>
      </c>
      <c r="O1561" s="79"/>
      <c r="P1561" s="79"/>
      <c r="Q1561" s="76"/>
      <c r="R1561" s="77"/>
      <c r="S1561" s="76"/>
      <c r="T1561" s="77"/>
      <c r="U1561" s="76"/>
      <c r="V1561" s="77"/>
      <c r="W1561" s="76"/>
      <c r="X1561" s="77"/>
      <c r="Y1561" s="76"/>
      <c r="Z1561" s="76"/>
      <c r="AA1561" s="76"/>
      <c r="AB1561" s="76"/>
      <c r="AC1561" s="76"/>
      <c r="AD1561" s="76"/>
      <c r="AE1561" s="76"/>
      <c r="AF1561" s="76"/>
      <c r="AG1561" s="76"/>
      <c r="AH1561" s="76"/>
      <c r="AI1561" s="76"/>
      <c r="AJ1561" s="76"/>
      <c r="AK1561" s="76"/>
      <c r="AL1561" s="77"/>
      <c r="AM1561" s="76"/>
      <c r="AN1561" s="76"/>
    </row>
    <row r="1562" spans="1:40" ht="15">
      <c r="A1562" s="83" t="e">
        <f>IF(#REF!&lt;&gt;#REF!,1,A1561+1)</f>
        <v>#REF!</v>
      </c>
      <c r="O1562" s="79"/>
      <c r="P1562" s="79"/>
      <c r="Q1562" s="76"/>
      <c r="R1562" s="77"/>
      <c r="S1562" s="76"/>
      <c r="T1562" s="77"/>
      <c r="U1562" s="76"/>
      <c r="V1562" s="77"/>
      <c r="W1562" s="76"/>
      <c r="X1562" s="77"/>
      <c r="Y1562" s="76"/>
      <c r="Z1562" s="76"/>
      <c r="AA1562" s="76"/>
      <c r="AB1562" s="76"/>
      <c r="AC1562" s="76"/>
      <c r="AD1562" s="76"/>
      <c r="AE1562" s="76"/>
      <c r="AF1562" s="76"/>
      <c r="AG1562" s="76"/>
      <c r="AH1562" s="76"/>
      <c r="AI1562" s="76"/>
      <c r="AJ1562" s="76"/>
      <c r="AK1562" s="76"/>
      <c r="AL1562" s="77"/>
      <c r="AM1562" s="76"/>
      <c r="AN1562" s="76"/>
    </row>
    <row r="1563" spans="1:40" ht="15">
      <c r="A1563" s="83" t="e">
        <f>IF(#REF!&lt;&gt;#REF!,1,A1562+1)</f>
        <v>#REF!</v>
      </c>
      <c r="O1563" s="79"/>
      <c r="P1563" s="79"/>
      <c r="Q1563" s="76"/>
      <c r="R1563" s="77"/>
      <c r="S1563" s="76"/>
      <c r="T1563" s="77"/>
      <c r="U1563" s="76"/>
      <c r="V1563" s="77"/>
      <c r="W1563" s="76"/>
      <c r="X1563" s="77"/>
      <c r="Y1563" s="76"/>
      <c r="Z1563" s="76"/>
      <c r="AA1563" s="76"/>
      <c r="AB1563" s="76"/>
      <c r="AC1563" s="76"/>
      <c r="AD1563" s="76"/>
      <c r="AE1563" s="76"/>
      <c r="AF1563" s="76"/>
      <c r="AG1563" s="76"/>
      <c r="AH1563" s="76"/>
      <c r="AI1563" s="76"/>
      <c r="AJ1563" s="76"/>
      <c r="AK1563" s="76"/>
      <c r="AL1563" s="77"/>
      <c r="AM1563" s="76"/>
      <c r="AN1563" s="76"/>
    </row>
    <row r="1564" spans="1:40" ht="15">
      <c r="A1564" s="83" t="e">
        <f>IF(#REF!&lt;&gt;#REF!,1,A1563+1)</f>
        <v>#REF!</v>
      </c>
      <c r="O1564" s="79"/>
      <c r="P1564" s="79"/>
      <c r="Q1564" s="76"/>
      <c r="R1564" s="77"/>
      <c r="S1564" s="76"/>
      <c r="T1564" s="77"/>
      <c r="U1564" s="76"/>
      <c r="V1564" s="77"/>
      <c r="W1564" s="76"/>
      <c r="X1564" s="77"/>
      <c r="Y1564" s="76"/>
      <c r="Z1564" s="76"/>
      <c r="AA1564" s="76"/>
      <c r="AB1564" s="76"/>
      <c r="AC1564" s="76"/>
      <c r="AD1564" s="76"/>
      <c r="AE1564" s="76"/>
      <c r="AF1564" s="76"/>
      <c r="AG1564" s="76"/>
      <c r="AH1564" s="76"/>
      <c r="AI1564" s="76"/>
      <c r="AJ1564" s="76"/>
      <c r="AK1564" s="76"/>
      <c r="AL1564" s="77"/>
      <c r="AM1564" s="76"/>
      <c r="AN1564" s="76"/>
    </row>
    <row r="1565" spans="1:40" ht="15">
      <c r="A1565" s="83" t="e">
        <f>IF(#REF!&lt;&gt;#REF!,1,A1564+1)</f>
        <v>#REF!</v>
      </c>
      <c r="O1565" s="79"/>
      <c r="P1565" s="79"/>
      <c r="Q1565" s="76"/>
      <c r="R1565" s="77"/>
      <c r="S1565" s="76"/>
      <c r="T1565" s="77"/>
      <c r="U1565" s="76"/>
      <c r="V1565" s="77"/>
      <c r="W1565" s="76"/>
      <c r="X1565" s="77"/>
      <c r="Y1565" s="76"/>
      <c r="Z1565" s="76"/>
      <c r="AA1565" s="76"/>
      <c r="AB1565" s="76"/>
      <c r="AC1565" s="76"/>
      <c r="AD1565" s="76"/>
      <c r="AE1565" s="76"/>
      <c r="AF1565" s="76"/>
      <c r="AG1565" s="76"/>
      <c r="AH1565" s="76"/>
      <c r="AI1565" s="76"/>
      <c r="AJ1565" s="76"/>
      <c r="AK1565" s="76"/>
      <c r="AL1565" s="77"/>
      <c r="AM1565" s="76"/>
      <c r="AN1565" s="76"/>
    </row>
    <row r="1566" spans="1:40" ht="15">
      <c r="A1566" s="83" t="e">
        <f>IF(#REF!&lt;&gt;#REF!,1,A1565+1)</f>
        <v>#REF!</v>
      </c>
      <c r="O1566" s="79"/>
      <c r="P1566" s="79"/>
      <c r="Q1566" s="76"/>
      <c r="R1566" s="77"/>
      <c r="S1566" s="76"/>
      <c r="T1566" s="77"/>
      <c r="U1566" s="76"/>
      <c r="V1566" s="77"/>
      <c r="W1566" s="76"/>
      <c r="X1566" s="77"/>
      <c r="Y1566" s="76"/>
      <c r="Z1566" s="76"/>
      <c r="AA1566" s="76"/>
      <c r="AB1566" s="76"/>
      <c r="AC1566" s="76"/>
      <c r="AD1566" s="76"/>
      <c r="AE1566" s="76"/>
      <c r="AF1566" s="76"/>
      <c r="AG1566" s="76"/>
      <c r="AH1566" s="76"/>
      <c r="AI1566" s="76"/>
      <c r="AJ1566" s="76"/>
      <c r="AK1566" s="76"/>
      <c r="AL1566" s="77"/>
      <c r="AM1566" s="76"/>
      <c r="AN1566" s="76"/>
    </row>
    <row r="1567" spans="1:40" ht="15">
      <c r="A1567" s="83" t="e">
        <f>IF(#REF!&lt;&gt;#REF!,1,A1566+1)</f>
        <v>#REF!</v>
      </c>
      <c r="O1567" s="79"/>
      <c r="P1567" s="79"/>
      <c r="Q1567" s="76"/>
      <c r="R1567" s="77"/>
      <c r="S1567" s="76"/>
      <c r="T1567" s="77"/>
      <c r="U1567" s="76"/>
      <c r="V1567" s="77"/>
      <c r="W1567" s="76"/>
      <c r="X1567" s="77"/>
      <c r="Y1567" s="76"/>
      <c r="Z1567" s="76"/>
      <c r="AA1567" s="76"/>
      <c r="AB1567" s="76"/>
      <c r="AC1567" s="76"/>
      <c r="AD1567" s="76"/>
      <c r="AE1567" s="76"/>
      <c r="AF1567" s="76"/>
      <c r="AG1567" s="76"/>
      <c r="AH1567" s="76"/>
      <c r="AI1567" s="76"/>
      <c r="AJ1567" s="76"/>
      <c r="AK1567" s="76"/>
      <c r="AL1567" s="77"/>
      <c r="AM1567" s="76"/>
      <c r="AN1567" s="76"/>
    </row>
    <row r="1568" spans="1:40" ht="15">
      <c r="A1568" s="83" t="e">
        <f>IF(#REF!&lt;&gt;#REF!,1,A1567+1)</f>
        <v>#REF!</v>
      </c>
      <c r="O1568" s="79"/>
      <c r="P1568" s="79"/>
      <c r="Q1568" s="76"/>
      <c r="R1568" s="77"/>
      <c r="S1568" s="76"/>
      <c r="T1568" s="77"/>
      <c r="U1568" s="76"/>
      <c r="V1568" s="77"/>
      <c r="W1568" s="76"/>
      <c r="X1568" s="77"/>
      <c r="Y1568" s="76"/>
      <c r="Z1568" s="76"/>
      <c r="AA1568" s="76"/>
      <c r="AB1568" s="76"/>
      <c r="AC1568" s="76"/>
      <c r="AD1568" s="76"/>
      <c r="AE1568" s="76"/>
      <c r="AF1568" s="76"/>
      <c r="AG1568" s="76"/>
      <c r="AH1568" s="76"/>
      <c r="AI1568" s="76"/>
      <c r="AJ1568" s="76"/>
      <c r="AK1568" s="76"/>
      <c r="AL1568" s="77"/>
      <c r="AM1568" s="76"/>
      <c r="AN1568" s="76"/>
    </row>
    <row r="1569" spans="1:40" ht="15">
      <c r="A1569" s="83" t="e">
        <f>IF(#REF!&lt;&gt;#REF!,1,A1568+1)</f>
        <v>#REF!</v>
      </c>
      <c r="O1569" s="79"/>
      <c r="P1569" s="79"/>
      <c r="Q1569" s="76"/>
      <c r="R1569" s="77"/>
      <c r="S1569" s="76"/>
      <c r="T1569" s="77"/>
      <c r="U1569" s="76"/>
      <c r="V1569" s="77"/>
      <c r="W1569" s="76"/>
      <c r="X1569" s="77"/>
      <c r="Y1569" s="76"/>
      <c r="Z1569" s="76"/>
      <c r="AA1569" s="76"/>
      <c r="AB1569" s="76"/>
      <c r="AC1569" s="76"/>
      <c r="AD1569" s="76"/>
      <c r="AE1569" s="76"/>
      <c r="AF1569" s="76"/>
      <c r="AG1569" s="76"/>
      <c r="AH1569" s="76"/>
      <c r="AI1569" s="76"/>
      <c r="AJ1569" s="76"/>
      <c r="AK1569" s="76"/>
      <c r="AL1569" s="77"/>
      <c r="AM1569" s="76"/>
      <c r="AN1569" s="76"/>
    </row>
    <row r="1570" spans="1:40" ht="15">
      <c r="A1570" s="83" t="e">
        <f>IF(#REF!&lt;&gt;#REF!,1,A1569+1)</f>
        <v>#REF!</v>
      </c>
      <c r="O1570" s="79"/>
      <c r="P1570" s="79"/>
      <c r="Q1570" s="76"/>
      <c r="R1570" s="77"/>
      <c r="S1570" s="76"/>
      <c r="T1570" s="77"/>
      <c r="U1570" s="76"/>
      <c r="V1570" s="77"/>
      <c r="W1570" s="76"/>
      <c r="X1570" s="77"/>
      <c r="Y1570" s="76"/>
      <c r="Z1570" s="76"/>
      <c r="AA1570" s="76"/>
      <c r="AB1570" s="76"/>
      <c r="AC1570" s="76"/>
      <c r="AD1570" s="76"/>
      <c r="AE1570" s="76"/>
      <c r="AF1570" s="76"/>
      <c r="AG1570" s="76"/>
      <c r="AH1570" s="76"/>
      <c r="AI1570" s="76"/>
      <c r="AJ1570" s="76"/>
      <c r="AK1570" s="76"/>
      <c r="AL1570" s="77"/>
      <c r="AM1570" s="76"/>
      <c r="AN1570" s="76"/>
    </row>
    <row r="1571" spans="1:40" ht="15">
      <c r="A1571" s="83" t="e">
        <f>IF(#REF!&lt;&gt;#REF!,1,A1570+1)</f>
        <v>#REF!</v>
      </c>
      <c r="O1571" s="79"/>
      <c r="P1571" s="79"/>
      <c r="Q1571" s="76"/>
      <c r="R1571" s="77"/>
      <c r="S1571" s="76"/>
      <c r="T1571" s="77"/>
      <c r="U1571" s="76"/>
      <c r="V1571" s="77"/>
      <c r="W1571" s="76"/>
      <c r="X1571" s="77"/>
      <c r="Y1571" s="76"/>
      <c r="Z1571" s="76"/>
      <c r="AA1571" s="76"/>
      <c r="AB1571" s="76"/>
      <c r="AC1571" s="76"/>
      <c r="AD1571" s="76"/>
      <c r="AE1571" s="76"/>
      <c r="AF1571" s="76"/>
      <c r="AG1571" s="76"/>
      <c r="AH1571" s="76"/>
      <c r="AI1571" s="76"/>
      <c r="AJ1571" s="76"/>
      <c r="AK1571" s="76"/>
      <c r="AL1571" s="77"/>
      <c r="AM1571" s="76"/>
      <c r="AN1571" s="76"/>
    </row>
    <row r="1572" spans="1:40" ht="15">
      <c r="A1572" s="83" t="e">
        <f>IF(#REF!&lt;&gt;#REF!,1,A1571+1)</f>
        <v>#REF!</v>
      </c>
      <c r="O1572" s="79"/>
      <c r="P1572" s="79"/>
      <c r="Q1572" s="76"/>
      <c r="R1572" s="77"/>
      <c r="S1572" s="76"/>
      <c r="T1572" s="77"/>
      <c r="U1572" s="76"/>
      <c r="V1572" s="77"/>
      <c r="W1572" s="76"/>
      <c r="X1572" s="77"/>
      <c r="Y1572" s="76"/>
      <c r="Z1572" s="76"/>
      <c r="AA1572" s="76"/>
      <c r="AB1572" s="76"/>
      <c r="AC1572" s="76"/>
      <c r="AD1572" s="76"/>
      <c r="AE1572" s="76"/>
      <c r="AF1572" s="76"/>
      <c r="AG1572" s="76"/>
      <c r="AH1572" s="76"/>
      <c r="AI1572" s="76"/>
      <c r="AJ1572" s="76"/>
      <c r="AK1572" s="76"/>
      <c r="AL1572" s="77"/>
      <c r="AM1572" s="76"/>
      <c r="AN1572" s="76"/>
    </row>
    <row r="1573" spans="1:40" ht="15">
      <c r="A1573" s="83" t="e">
        <f>IF(#REF!&lt;&gt;#REF!,1,A1572+1)</f>
        <v>#REF!</v>
      </c>
      <c r="O1573" s="79"/>
      <c r="P1573" s="79"/>
      <c r="Q1573" s="76"/>
      <c r="R1573" s="77"/>
      <c r="S1573" s="76"/>
      <c r="T1573" s="77"/>
      <c r="U1573" s="76"/>
      <c r="V1573" s="77"/>
      <c r="W1573" s="76"/>
      <c r="X1573" s="77"/>
      <c r="Y1573" s="76"/>
      <c r="Z1573" s="76"/>
      <c r="AA1573" s="76"/>
      <c r="AB1573" s="76"/>
      <c r="AC1573" s="76"/>
      <c r="AD1573" s="76"/>
      <c r="AE1573" s="76"/>
      <c r="AF1573" s="76"/>
      <c r="AG1573" s="76"/>
      <c r="AH1573" s="76"/>
      <c r="AI1573" s="76"/>
      <c r="AJ1573" s="76"/>
      <c r="AK1573" s="76"/>
      <c r="AL1573" s="77"/>
      <c r="AM1573" s="76"/>
      <c r="AN1573" s="76"/>
    </row>
    <row r="1574" spans="1:40" ht="15">
      <c r="A1574" s="83" t="e">
        <f>IF(#REF!&lt;&gt;#REF!,1,A1573+1)</f>
        <v>#REF!</v>
      </c>
      <c r="O1574" s="79"/>
      <c r="P1574" s="79"/>
      <c r="Q1574" s="76"/>
      <c r="R1574" s="77"/>
      <c r="S1574" s="76"/>
      <c r="T1574" s="77"/>
      <c r="U1574" s="76"/>
      <c r="V1574" s="77"/>
      <c r="W1574" s="76"/>
      <c r="X1574" s="77"/>
      <c r="Y1574" s="76"/>
      <c r="Z1574" s="76"/>
      <c r="AA1574" s="76"/>
      <c r="AB1574" s="76"/>
      <c r="AC1574" s="76"/>
      <c r="AD1574" s="76"/>
      <c r="AE1574" s="76"/>
      <c r="AF1574" s="76"/>
      <c r="AG1574" s="76"/>
      <c r="AH1574" s="76"/>
      <c r="AI1574" s="76"/>
      <c r="AJ1574" s="76"/>
      <c r="AK1574" s="76"/>
      <c r="AL1574" s="77"/>
      <c r="AM1574" s="76"/>
      <c r="AN1574" s="76"/>
    </row>
    <row r="1575" spans="1:40" ht="15">
      <c r="A1575" s="83" t="e">
        <f>IF(#REF!&lt;&gt;#REF!,1,A1574+1)</f>
        <v>#REF!</v>
      </c>
      <c r="O1575" s="79"/>
      <c r="P1575" s="79"/>
      <c r="Q1575" s="76"/>
      <c r="R1575" s="77"/>
      <c r="S1575" s="76"/>
      <c r="T1575" s="77"/>
      <c r="U1575" s="76"/>
      <c r="V1575" s="77"/>
      <c r="W1575" s="76"/>
      <c r="X1575" s="77"/>
      <c r="Y1575" s="76"/>
      <c r="Z1575" s="76"/>
      <c r="AA1575" s="76"/>
      <c r="AB1575" s="76"/>
      <c r="AC1575" s="76"/>
      <c r="AD1575" s="76"/>
      <c r="AE1575" s="76"/>
      <c r="AF1575" s="76"/>
      <c r="AG1575" s="76"/>
      <c r="AH1575" s="76"/>
      <c r="AI1575" s="76"/>
      <c r="AJ1575" s="76"/>
      <c r="AK1575" s="76"/>
      <c r="AL1575" s="77"/>
      <c r="AM1575" s="76"/>
      <c r="AN1575" s="76"/>
    </row>
    <row r="1576" spans="1:40" ht="15">
      <c r="A1576" s="83" t="e">
        <f>IF(#REF!&lt;&gt;#REF!,1,A1575+1)</f>
        <v>#REF!</v>
      </c>
      <c r="O1576" s="79"/>
      <c r="P1576" s="79"/>
      <c r="Q1576" s="76"/>
      <c r="R1576" s="77"/>
      <c r="S1576" s="76"/>
      <c r="T1576" s="77"/>
      <c r="U1576" s="76"/>
      <c r="V1576" s="77"/>
      <c r="W1576" s="76"/>
      <c r="X1576" s="77"/>
      <c r="Y1576" s="76"/>
      <c r="Z1576" s="76"/>
      <c r="AA1576" s="76"/>
      <c r="AB1576" s="76"/>
      <c r="AC1576" s="76"/>
      <c r="AD1576" s="76"/>
      <c r="AE1576" s="76"/>
      <c r="AF1576" s="76"/>
      <c r="AG1576" s="76"/>
      <c r="AH1576" s="76"/>
      <c r="AI1576" s="76"/>
      <c r="AJ1576" s="76"/>
      <c r="AK1576" s="76"/>
      <c r="AL1576" s="77"/>
      <c r="AM1576" s="76"/>
      <c r="AN1576" s="76"/>
    </row>
    <row r="1577" spans="1:40" ht="15">
      <c r="A1577" s="83" t="e">
        <f>IF(#REF!&lt;&gt;#REF!,1,A1576+1)</f>
        <v>#REF!</v>
      </c>
      <c r="O1577" s="79"/>
      <c r="P1577" s="79"/>
      <c r="Q1577" s="76"/>
      <c r="R1577" s="77"/>
      <c r="S1577" s="76"/>
      <c r="T1577" s="77"/>
      <c r="U1577" s="76"/>
      <c r="V1577" s="77"/>
      <c r="W1577" s="76"/>
      <c r="X1577" s="77"/>
      <c r="Y1577" s="76"/>
      <c r="Z1577" s="76"/>
      <c r="AA1577" s="76"/>
      <c r="AB1577" s="76"/>
      <c r="AC1577" s="76"/>
      <c r="AD1577" s="76"/>
      <c r="AE1577" s="76"/>
      <c r="AF1577" s="76"/>
      <c r="AG1577" s="76"/>
      <c r="AH1577" s="76"/>
      <c r="AI1577" s="76"/>
      <c r="AJ1577" s="76"/>
      <c r="AK1577" s="76"/>
      <c r="AL1577" s="77"/>
      <c r="AM1577" s="76"/>
      <c r="AN1577" s="76"/>
    </row>
    <row r="1578" spans="1:40" ht="15">
      <c r="A1578" s="83" t="e">
        <f>IF(#REF!&lt;&gt;#REF!,1,A1577+1)</f>
        <v>#REF!</v>
      </c>
      <c r="O1578" s="79"/>
      <c r="P1578" s="79"/>
      <c r="Q1578" s="76"/>
      <c r="R1578" s="77"/>
      <c r="S1578" s="76"/>
      <c r="T1578" s="77"/>
      <c r="U1578" s="76"/>
      <c r="V1578" s="77"/>
      <c r="W1578" s="76"/>
      <c r="X1578" s="77"/>
      <c r="Y1578" s="76"/>
      <c r="Z1578" s="76"/>
      <c r="AA1578" s="76"/>
      <c r="AB1578" s="76"/>
      <c r="AC1578" s="76"/>
      <c r="AD1578" s="76"/>
      <c r="AE1578" s="76"/>
      <c r="AF1578" s="76"/>
      <c r="AG1578" s="76"/>
      <c r="AH1578" s="76"/>
      <c r="AI1578" s="76"/>
      <c r="AJ1578" s="76"/>
      <c r="AK1578" s="76"/>
      <c r="AL1578" s="77"/>
      <c r="AM1578" s="76"/>
      <c r="AN1578" s="76"/>
    </row>
    <row r="1579" spans="1:40" ht="15">
      <c r="A1579" s="83" t="e">
        <f>IF(#REF!&lt;&gt;#REF!,1,A1578+1)</f>
        <v>#REF!</v>
      </c>
      <c r="O1579" s="79"/>
      <c r="P1579" s="79"/>
      <c r="Q1579" s="76"/>
      <c r="R1579" s="77"/>
      <c r="S1579" s="76"/>
      <c r="T1579" s="77"/>
      <c r="U1579" s="76"/>
      <c r="V1579" s="77"/>
      <c r="W1579" s="76"/>
      <c r="X1579" s="77"/>
      <c r="Y1579" s="76"/>
      <c r="Z1579" s="76"/>
      <c r="AA1579" s="76"/>
      <c r="AB1579" s="76"/>
      <c r="AC1579" s="76"/>
      <c r="AD1579" s="76"/>
      <c r="AE1579" s="76"/>
      <c r="AF1579" s="76"/>
      <c r="AG1579" s="76"/>
      <c r="AH1579" s="76"/>
      <c r="AI1579" s="76"/>
      <c r="AJ1579" s="76"/>
      <c r="AK1579" s="76"/>
      <c r="AL1579" s="77"/>
      <c r="AM1579" s="76"/>
      <c r="AN1579" s="76"/>
    </row>
    <row r="1580" spans="1:40" ht="15">
      <c r="A1580" s="83" t="e">
        <f>IF(#REF!&lt;&gt;#REF!,1,A1579+1)</f>
        <v>#REF!</v>
      </c>
      <c r="O1580" s="79"/>
      <c r="P1580" s="79"/>
      <c r="Q1580" s="76"/>
      <c r="R1580" s="77"/>
      <c r="S1580" s="76"/>
      <c r="T1580" s="77"/>
      <c r="U1580" s="76"/>
      <c r="V1580" s="77"/>
      <c r="W1580" s="76"/>
      <c r="X1580" s="77"/>
      <c r="Y1580" s="76"/>
      <c r="Z1580" s="76"/>
      <c r="AA1580" s="76"/>
      <c r="AB1580" s="76"/>
      <c r="AC1580" s="76"/>
      <c r="AD1580" s="76"/>
      <c r="AE1580" s="76"/>
      <c r="AF1580" s="76"/>
      <c r="AG1580" s="76"/>
      <c r="AH1580" s="76"/>
      <c r="AI1580" s="76"/>
      <c r="AJ1580" s="76"/>
      <c r="AK1580" s="76"/>
      <c r="AL1580" s="77"/>
      <c r="AM1580" s="76"/>
      <c r="AN1580" s="76"/>
    </row>
    <row r="1581" spans="1:40" ht="15">
      <c r="A1581" s="83" t="e">
        <f>IF(#REF!&lt;&gt;#REF!,1,A1580+1)</f>
        <v>#REF!</v>
      </c>
      <c r="O1581" s="79"/>
      <c r="P1581" s="79"/>
      <c r="Q1581" s="76"/>
      <c r="R1581" s="77"/>
      <c r="S1581" s="76"/>
      <c r="T1581" s="77"/>
      <c r="U1581" s="76"/>
      <c r="V1581" s="77"/>
      <c r="W1581" s="76"/>
      <c r="X1581" s="77"/>
      <c r="Y1581" s="76"/>
      <c r="Z1581" s="76"/>
      <c r="AA1581" s="76"/>
      <c r="AB1581" s="76"/>
      <c r="AC1581" s="76"/>
      <c r="AD1581" s="76"/>
      <c r="AE1581" s="76"/>
      <c r="AF1581" s="76"/>
      <c r="AG1581" s="76"/>
      <c r="AH1581" s="76"/>
      <c r="AI1581" s="76"/>
      <c r="AJ1581" s="76"/>
      <c r="AK1581" s="76"/>
      <c r="AL1581" s="77"/>
      <c r="AM1581" s="76"/>
      <c r="AN1581" s="76"/>
    </row>
    <row r="1582" spans="1:40" ht="15">
      <c r="A1582" s="83" t="e">
        <f>IF(#REF!&lt;&gt;#REF!,1,A1581+1)</f>
        <v>#REF!</v>
      </c>
      <c r="O1582" s="79"/>
      <c r="P1582" s="79"/>
      <c r="Q1582" s="76"/>
      <c r="R1582" s="77"/>
      <c r="S1582" s="76"/>
      <c r="T1582" s="77"/>
      <c r="U1582" s="76"/>
      <c r="V1582" s="77"/>
      <c r="W1582" s="76"/>
      <c r="X1582" s="77"/>
      <c r="Y1582" s="76"/>
      <c r="Z1582" s="76"/>
      <c r="AA1582" s="76"/>
      <c r="AB1582" s="76"/>
      <c r="AC1582" s="76"/>
      <c r="AD1582" s="76"/>
      <c r="AE1582" s="76"/>
      <c r="AF1582" s="76"/>
      <c r="AG1582" s="76"/>
      <c r="AH1582" s="76"/>
      <c r="AI1582" s="76"/>
      <c r="AJ1582" s="76"/>
      <c r="AK1582" s="76"/>
      <c r="AL1582" s="77"/>
      <c r="AM1582" s="76"/>
      <c r="AN1582" s="76"/>
    </row>
    <row r="1583" spans="1:40" ht="15">
      <c r="A1583" s="83" t="e">
        <f>IF(#REF!&lt;&gt;#REF!,1,A1582+1)</f>
        <v>#REF!</v>
      </c>
      <c r="O1583" s="79"/>
      <c r="P1583" s="79"/>
      <c r="Q1583" s="76"/>
      <c r="R1583" s="77"/>
      <c r="S1583" s="76"/>
      <c r="T1583" s="77"/>
      <c r="U1583" s="76"/>
      <c r="V1583" s="77"/>
      <c r="W1583" s="76"/>
      <c r="X1583" s="77"/>
      <c r="Y1583" s="76"/>
      <c r="Z1583" s="76"/>
      <c r="AA1583" s="76"/>
      <c r="AB1583" s="76"/>
      <c r="AC1583" s="76"/>
      <c r="AD1583" s="76"/>
      <c r="AE1583" s="76"/>
      <c r="AF1583" s="76"/>
      <c r="AG1583" s="76"/>
      <c r="AH1583" s="76"/>
      <c r="AI1583" s="76"/>
      <c r="AJ1583" s="76"/>
      <c r="AK1583" s="76"/>
      <c r="AL1583" s="77"/>
      <c r="AM1583" s="76"/>
      <c r="AN1583" s="76"/>
    </row>
    <row r="1584" spans="1:40" ht="15">
      <c r="A1584" s="83" t="e">
        <f>IF(#REF!&lt;&gt;#REF!,1,A1583+1)</f>
        <v>#REF!</v>
      </c>
      <c r="O1584" s="79"/>
      <c r="P1584" s="79"/>
      <c r="Q1584" s="76"/>
      <c r="R1584" s="77"/>
      <c r="S1584" s="76"/>
      <c r="T1584" s="77"/>
      <c r="U1584" s="76"/>
      <c r="V1584" s="77"/>
      <c r="W1584" s="76"/>
      <c r="X1584" s="77"/>
      <c r="Y1584" s="76"/>
      <c r="Z1584" s="76"/>
      <c r="AA1584" s="76"/>
      <c r="AB1584" s="76"/>
      <c r="AC1584" s="76"/>
      <c r="AD1584" s="76"/>
      <c r="AE1584" s="76"/>
      <c r="AF1584" s="76"/>
      <c r="AG1584" s="76"/>
      <c r="AH1584" s="76"/>
      <c r="AI1584" s="76"/>
      <c r="AJ1584" s="76"/>
      <c r="AK1584" s="76"/>
      <c r="AL1584" s="77"/>
      <c r="AM1584" s="76"/>
      <c r="AN1584" s="76"/>
    </row>
    <row r="1585" spans="1:40" ht="15">
      <c r="A1585" s="83" t="e">
        <f>IF(#REF!&lt;&gt;#REF!,1,A1584+1)</f>
        <v>#REF!</v>
      </c>
      <c r="O1585" s="79"/>
      <c r="P1585" s="79"/>
      <c r="Q1585" s="76"/>
      <c r="R1585" s="77"/>
      <c r="S1585" s="76"/>
      <c r="T1585" s="77"/>
      <c r="U1585" s="76"/>
      <c r="V1585" s="77"/>
      <c r="W1585" s="76"/>
      <c r="X1585" s="77"/>
      <c r="Y1585" s="76"/>
      <c r="Z1585" s="76"/>
      <c r="AA1585" s="76"/>
      <c r="AB1585" s="76"/>
      <c r="AC1585" s="76"/>
      <c r="AD1585" s="76"/>
      <c r="AE1585" s="76"/>
      <c r="AF1585" s="76"/>
      <c r="AG1585" s="76"/>
      <c r="AH1585" s="76"/>
      <c r="AI1585" s="76"/>
      <c r="AJ1585" s="76"/>
      <c r="AK1585" s="76"/>
      <c r="AL1585" s="77"/>
      <c r="AM1585" s="76"/>
      <c r="AN1585" s="76"/>
    </row>
    <row r="1586" spans="1:40" ht="15">
      <c r="A1586" s="83" t="e">
        <f>IF(#REF!&lt;&gt;#REF!,1,A1585+1)</f>
        <v>#REF!</v>
      </c>
      <c r="O1586" s="79"/>
      <c r="P1586" s="79"/>
      <c r="Q1586" s="76"/>
      <c r="R1586" s="77"/>
      <c r="S1586" s="76"/>
      <c r="T1586" s="77"/>
      <c r="U1586" s="76"/>
      <c r="V1586" s="77"/>
      <c r="W1586" s="76"/>
      <c r="X1586" s="77"/>
      <c r="Y1586" s="76"/>
      <c r="Z1586" s="76"/>
      <c r="AA1586" s="76"/>
      <c r="AB1586" s="76"/>
      <c r="AC1586" s="76"/>
      <c r="AD1586" s="76"/>
      <c r="AE1586" s="76"/>
      <c r="AF1586" s="76"/>
      <c r="AG1586" s="76"/>
      <c r="AH1586" s="76"/>
      <c r="AI1586" s="76"/>
      <c r="AJ1586" s="76"/>
      <c r="AK1586" s="76"/>
      <c r="AL1586" s="77"/>
      <c r="AM1586" s="76"/>
      <c r="AN1586" s="76"/>
    </row>
    <row r="1587" spans="1:40" ht="15">
      <c r="A1587" s="83" t="e">
        <f>IF(#REF!&lt;&gt;#REF!,1,A1586+1)</f>
        <v>#REF!</v>
      </c>
      <c r="O1587" s="79"/>
      <c r="P1587" s="79"/>
      <c r="Q1587" s="76"/>
      <c r="R1587" s="77"/>
      <c r="S1587" s="76"/>
      <c r="T1587" s="77"/>
      <c r="U1587" s="76"/>
      <c r="V1587" s="77"/>
      <c r="W1587" s="76"/>
      <c r="X1587" s="77"/>
      <c r="Y1587" s="76"/>
      <c r="Z1587" s="76"/>
      <c r="AA1587" s="76"/>
      <c r="AB1587" s="76"/>
      <c r="AC1587" s="76"/>
      <c r="AD1587" s="76"/>
      <c r="AE1587" s="76"/>
      <c r="AF1587" s="76"/>
      <c r="AG1587" s="76"/>
      <c r="AH1587" s="76"/>
      <c r="AI1587" s="76"/>
      <c r="AJ1587" s="76"/>
      <c r="AK1587" s="76"/>
      <c r="AL1587" s="77"/>
      <c r="AM1587" s="76"/>
      <c r="AN1587" s="76"/>
    </row>
    <row r="1588" spans="1:40" ht="15">
      <c r="A1588" s="83" t="e">
        <f>IF(#REF!&lt;&gt;#REF!,1,A1587+1)</f>
        <v>#REF!</v>
      </c>
      <c r="O1588" s="79"/>
      <c r="P1588" s="79"/>
      <c r="Q1588" s="76"/>
      <c r="R1588" s="77"/>
      <c r="S1588" s="76"/>
      <c r="T1588" s="77"/>
      <c r="U1588" s="76"/>
      <c r="V1588" s="77"/>
      <c r="W1588" s="76"/>
      <c r="X1588" s="77"/>
      <c r="Y1588" s="76"/>
      <c r="Z1588" s="76"/>
      <c r="AA1588" s="76"/>
      <c r="AB1588" s="76"/>
      <c r="AC1588" s="76"/>
      <c r="AD1588" s="76"/>
      <c r="AE1588" s="76"/>
      <c r="AF1588" s="76"/>
      <c r="AG1588" s="76"/>
      <c r="AH1588" s="76"/>
      <c r="AI1588" s="76"/>
      <c r="AJ1588" s="76"/>
      <c r="AK1588" s="76"/>
      <c r="AL1588" s="77"/>
      <c r="AM1588" s="76"/>
      <c r="AN1588" s="76"/>
    </row>
    <row r="1589" spans="1:40" ht="15">
      <c r="A1589" s="83" t="e">
        <f>IF(#REF!&lt;&gt;#REF!,1,A1588+1)</f>
        <v>#REF!</v>
      </c>
      <c r="O1589" s="79"/>
      <c r="P1589" s="79"/>
      <c r="Q1589" s="76"/>
      <c r="R1589" s="77"/>
      <c r="S1589" s="76"/>
      <c r="T1589" s="77"/>
      <c r="U1589" s="76"/>
      <c r="V1589" s="77"/>
      <c r="W1589" s="76"/>
      <c r="X1589" s="77"/>
      <c r="Y1589" s="76"/>
      <c r="Z1589" s="76"/>
      <c r="AA1589" s="76"/>
      <c r="AB1589" s="76"/>
      <c r="AC1589" s="76"/>
      <c r="AD1589" s="76"/>
      <c r="AE1589" s="76"/>
      <c r="AF1589" s="76"/>
      <c r="AG1589" s="76"/>
      <c r="AH1589" s="76"/>
      <c r="AI1589" s="76"/>
      <c r="AJ1589" s="76"/>
      <c r="AK1589" s="76"/>
      <c r="AL1589" s="77"/>
      <c r="AM1589" s="76"/>
      <c r="AN1589" s="76"/>
    </row>
    <row r="1590" spans="1:40" ht="15">
      <c r="A1590" s="83" t="e">
        <f>IF(#REF!&lt;&gt;#REF!,1,A1589+1)</f>
        <v>#REF!</v>
      </c>
      <c r="O1590" s="79"/>
      <c r="P1590" s="79"/>
      <c r="Q1590" s="76"/>
      <c r="R1590" s="77"/>
      <c r="S1590" s="76"/>
      <c r="T1590" s="77"/>
      <c r="U1590" s="76"/>
      <c r="V1590" s="77"/>
      <c r="W1590" s="76"/>
      <c r="X1590" s="77"/>
      <c r="Y1590" s="76"/>
      <c r="Z1590" s="76"/>
      <c r="AA1590" s="76"/>
      <c r="AB1590" s="76"/>
      <c r="AC1590" s="76"/>
      <c r="AD1590" s="76"/>
      <c r="AE1590" s="76"/>
      <c r="AF1590" s="76"/>
      <c r="AG1590" s="76"/>
      <c r="AH1590" s="76"/>
      <c r="AI1590" s="76"/>
      <c r="AJ1590" s="76"/>
      <c r="AK1590" s="76"/>
      <c r="AL1590" s="77"/>
      <c r="AM1590" s="76"/>
      <c r="AN1590" s="76"/>
    </row>
    <row r="1591" spans="1:40" ht="15">
      <c r="A1591" s="83" t="e">
        <f>IF(#REF!&lt;&gt;#REF!,1,A1590+1)</f>
        <v>#REF!</v>
      </c>
      <c r="O1591" s="79"/>
      <c r="P1591" s="79"/>
      <c r="Q1591" s="76"/>
      <c r="R1591" s="77"/>
      <c r="S1591" s="76"/>
      <c r="T1591" s="77"/>
      <c r="U1591" s="76"/>
      <c r="V1591" s="77"/>
      <c r="W1591" s="76"/>
      <c r="X1591" s="77"/>
      <c r="Y1591" s="76"/>
      <c r="Z1591" s="76"/>
      <c r="AA1591" s="76"/>
      <c r="AB1591" s="76"/>
      <c r="AC1591" s="76"/>
      <c r="AD1591" s="76"/>
      <c r="AE1591" s="76"/>
      <c r="AF1591" s="76"/>
      <c r="AG1591" s="76"/>
      <c r="AH1591" s="76"/>
      <c r="AI1591" s="76"/>
      <c r="AJ1591" s="76"/>
      <c r="AK1591" s="76"/>
      <c r="AL1591" s="77"/>
      <c r="AM1591" s="76"/>
      <c r="AN1591" s="76"/>
    </row>
    <row r="1592" spans="1:40" ht="15">
      <c r="A1592" s="83" t="e">
        <f>IF(#REF!&lt;&gt;#REF!,1,A1591+1)</f>
        <v>#REF!</v>
      </c>
      <c r="O1592" s="79"/>
      <c r="P1592" s="79"/>
      <c r="Q1592" s="76"/>
      <c r="R1592" s="77"/>
      <c r="S1592" s="76"/>
      <c r="T1592" s="77"/>
      <c r="U1592" s="76"/>
      <c r="V1592" s="77"/>
      <c r="W1592" s="76"/>
      <c r="X1592" s="77"/>
      <c r="Y1592" s="76"/>
      <c r="Z1592" s="76"/>
      <c r="AA1592" s="76"/>
      <c r="AB1592" s="76"/>
      <c r="AC1592" s="76"/>
      <c r="AD1592" s="76"/>
      <c r="AE1592" s="76"/>
      <c r="AF1592" s="76"/>
      <c r="AG1592" s="76"/>
      <c r="AH1592" s="76"/>
      <c r="AI1592" s="76"/>
      <c r="AJ1592" s="76"/>
      <c r="AK1592" s="76"/>
      <c r="AL1592" s="77"/>
      <c r="AM1592" s="76"/>
      <c r="AN1592" s="76"/>
    </row>
    <row r="1593" spans="1:40" ht="15">
      <c r="A1593" s="83" t="e">
        <f>IF(#REF!&lt;&gt;#REF!,1,A1592+1)</f>
        <v>#REF!</v>
      </c>
      <c r="O1593" s="79"/>
      <c r="P1593" s="79"/>
      <c r="Q1593" s="76"/>
      <c r="R1593" s="77"/>
      <c r="S1593" s="76"/>
      <c r="T1593" s="77"/>
      <c r="U1593" s="76"/>
      <c r="V1593" s="77"/>
      <c r="W1593" s="76"/>
      <c r="X1593" s="77"/>
      <c r="Y1593" s="76"/>
      <c r="Z1593" s="76"/>
      <c r="AA1593" s="76"/>
      <c r="AB1593" s="76"/>
      <c r="AC1593" s="76"/>
      <c r="AD1593" s="76"/>
      <c r="AE1593" s="76"/>
      <c r="AF1593" s="76"/>
      <c r="AG1593" s="76"/>
      <c r="AH1593" s="76"/>
      <c r="AI1593" s="76"/>
      <c r="AJ1593" s="76"/>
      <c r="AK1593" s="76"/>
      <c r="AL1593" s="77"/>
      <c r="AM1593" s="76"/>
      <c r="AN1593" s="76"/>
    </row>
    <row r="1594" spans="1:40" ht="15">
      <c r="A1594" s="83" t="e">
        <f>IF(#REF!&lt;&gt;#REF!,1,A1593+1)</f>
        <v>#REF!</v>
      </c>
      <c r="O1594" s="79"/>
      <c r="P1594" s="79"/>
      <c r="Q1594" s="76"/>
      <c r="R1594" s="77"/>
      <c r="S1594" s="76"/>
      <c r="T1594" s="77"/>
      <c r="U1594" s="76"/>
      <c r="V1594" s="77"/>
      <c r="W1594" s="76"/>
      <c r="X1594" s="77"/>
      <c r="Y1594" s="76"/>
      <c r="Z1594" s="76"/>
      <c r="AA1594" s="76"/>
      <c r="AB1594" s="76"/>
      <c r="AC1594" s="76"/>
      <c r="AD1594" s="76"/>
      <c r="AE1594" s="76"/>
      <c r="AF1594" s="76"/>
      <c r="AG1594" s="76"/>
      <c r="AH1594" s="76"/>
      <c r="AI1594" s="76"/>
      <c r="AJ1594" s="76"/>
      <c r="AK1594" s="76"/>
      <c r="AL1594" s="77"/>
      <c r="AM1594" s="76"/>
      <c r="AN1594" s="76"/>
    </row>
    <row r="1595" spans="1:40" ht="15">
      <c r="A1595" s="83" t="e">
        <f>IF(#REF!&lt;&gt;#REF!,1,A1594+1)</f>
        <v>#REF!</v>
      </c>
      <c r="O1595" s="79"/>
      <c r="P1595" s="79"/>
      <c r="Q1595" s="76"/>
      <c r="R1595" s="77"/>
      <c r="S1595" s="76"/>
      <c r="T1595" s="77"/>
      <c r="U1595" s="76"/>
      <c r="V1595" s="77"/>
      <c r="W1595" s="76"/>
      <c r="X1595" s="77"/>
      <c r="Y1595" s="76"/>
      <c r="Z1595" s="76"/>
      <c r="AA1595" s="76"/>
      <c r="AB1595" s="76"/>
      <c r="AC1595" s="76"/>
      <c r="AD1595" s="76"/>
      <c r="AE1595" s="76"/>
      <c r="AF1595" s="76"/>
      <c r="AG1595" s="76"/>
      <c r="AH1595" s="76"/>
      <c r="AI1595" s="76"/>
      <c r="AJ1595" s="76"/>
      <c r="AK1595" s="76"/>
      <c r="AL1595" s="77"/>
      <c r="AM1595" s="76"/>
      <c r="AN1595" s="76"/>
    </row>
    <row r="1596" spans="1:40" ht="15">
      <c r="A1596" s="83" t="e">
        <f>IF(#REF!&lt;&gt;#REF!,1,A1595+1)</f>
        <v>#REF!</v>
      </c>
      <c r="O1596" s="79"/>
      <c r="P1596" s="79"/>
      <c r="Q1596" s="76"/>
      <c r="R1596" s="77"/>
      <c r="S1596" s="76"/>
      <c r="T1596" s="77"/>
      <c r="U1596" s="76"/>
      <c r="V1596" s="77"/>
      <c r="W1596" s="76"/>
      <c r="X1596" s="77"/>
      <c r="Y1596" s="76"/>
      <c r="Z1596" s="76"/>
      <c r="AA1596" s="76"/>
      <c r="AB1596" s="76"/>
      <c r="AC1596" s="76"/>
      <c r="AD1596" s="76"/>
      <c r="AE1596" s="76"/>
      <c r="AF1596" s="76"/>
      <c r="AG1596" s="76"/>
      <c r="AH1596" s="76"/>
      <c r="AI1596" s="76"/>
      <c r="AJ1596" s="76"/>
      <c r="AK1596" s="76"/>
      <c r="AL1596" s="77"/>
      <c r="AM1596" s="76"/>
      <c r="AN1596" s="76"/>
    </row>
    <row r="1597" spans="1:40" ht="15">
      <c r="A1597" s="83" t="e">
        <f>IF(#REF!&lt;&gt;#REF!,1,A1596+1)</f>
        <v>#REF!</v>
      </c>
      <c r="O1597" s="79"/>
      <c r="P1597" s="79"/>
      <c r="Q1597" s="76"/>
      <c r="R1597" s="77"/>
      <c r="S1597" s="76"/>
      <c r="T1597" s="77"/>
      <c r="U1597" s="76"/>
      <c r="V1597" s="77"/>
      <c r="W1597" s="76"/>
      <c r="X1597" s="77"/>
      <c r="Y1597" s="76"/>
      <c r="Z1597" s="76"/>
      <c r="AA1597" s="76"/>
      <c r="AB1597" s="76"/>
      <c r="AC1597" s="76"/>
      <c r="AD1597" s="76"/>
      <c r="AE1597" s="76"/>
      <c r="AF1597" s="76"/>
      <c r="AG1597" s="76"/>
      <c r="AH1597" s="76"/>
      <c r="AI1597" s="76"/>
      <c r="AJ1597" s="76"/>
      <c r="AK1597" s="76"/>
      <c r="AL1597" s="77"/>
      <c r="AM1597" s="76"/>
      <c r="AN1597" s="76"/>
    </row>
    <row r="1598" spans="1:40" ht="15">
      <c r="A1598" s="83" t="e">
        <f>IF(#REF!&lt;&gt;#REF!,1,A1597+1)</f>
        <v>#REF!</v>
      </c>
      <c r="O1598" s="79"/>
      <c r="P1598" s="79"/>
      <c r="Q1598" s="76"/>
      <c r="R1598" s="77"/>
      <c r="S1598" s="76"/>
      <c r="T1598" s="77"/>
      <c r="U1598" s="76"/>
      <c r="V1598" s="77"/>
      <c r="W1598" s="76"/>
      <c r="X1598" s="77"/>
      <c r="Y1598" s="76"/>
      <c r="Z1598" s="76"/>
      <c r="AA1598" s="76"/>
      <c r="AB1598" s="76"/>
      <c r="AC1598" s="76"/>
      <c r="AD1598" s="76"/>
      <c r="AE1598" s="76"/>
      <c r="AF1598" s="76"/>
      <c r="AG1598" s="76"/>
      <c r="AH1598" s="76"/>
      <c r="AI1598" s="76"/>
      <c r="AJ1598" s="76"/>
      <c r="AK1598" s="76"/>
      <c r="AL1598" s="77"/>
      <c r="AM1598" s="76"/>
      <c r="AN1598" s="76"/>
    </row>
    <row r="1599" spans="1:40" ht="15">
      <c r="A1599" s="83" t="e">
        <f>IF(#REF!&lt;&gt;#REF!,1,A1598+1)</f>
        <v>#REF!</v>
      </c>
      <c r="O1599" s="79"/>
      <c r="P1599" s="79"/>
      <c r="Q1599" s="76"/>
      <c r="R1599" s="77"/>
      <c r="S1599" s="76"/>
      <c r="T1599" s="77"/>
      <c r="U1599" s="76"/>
      <c r="V1599" s="77"/>
      <c r="W1599" s="76"/>
      <c r="X1599" s="77"/>
      <c r="Y1599" s="76"/>
      <c r="Z1599" s="76"/>
      <c r="AA1599" s="76"/>
      <c r="AB1599" s="76"/>
      <c r="AC1599" s="76"/>
      <c r="AD1599" s="76"/>
      <c r="AE1599" s="76"/>
      <c r="AF1599" s="76"/>
      <c r="AG1599" s="76"/>
      <c r="AH1599" s="76"/>
      <c r="AI1599" s="76"/>
      <c r="AJ1599" s="76"/>
      <c r="AK1599" s="76"/>
      <c r="AL1599" s="77"/>
      <c r="AM1599" s="76"/>
      <c r="AN1599" s="76"/>
    </row>
    <row r="1600" spans="1:40" ht="15">
      <c r="A1600" s="83" t="e">
        <f>IF(#REF!&lt;&gt;#REF!,1,A1599+1)</f>
        <v>#REF!</v>
      </c>
      <c r="O1600" s="79"/>
      <c r="P1600" s="79"/>
      <c r="Q1600" s="76"/>
      <c r="R1600" s="77"/>
      <c r="S1600" s="76"/>
      <c r="T1600" s="77"/>
      <c r="U1600" s="76"/>
      <c r="V1600" s="77"/>
      <c r="W1600" s="76"/>
      <c r="X1600" s="77"/>
      <c r="Y1600" s="76"/>
      <c r="Z1600" s="76"/>
      <c r="AA1600" s="76"/>
      <c r="AB1600" s="76"/>
      <c r="AC1600" s="76"/>
      <c r="AD1600" s="76"/>
      <c r="AE1600" s="76"/>
      <c r="AF1600" s="76"/>
      <c r="AG1600" s="76"/>
      <c r="AH1600" s="76"/>
      <c r="AI1600" s="76"/>
      <c r="AJ1600" s="76"/>
      <c r="AK1600" s="76"/>
      <c r="AL1600" s="77"/>
      <c r="AM1600" s="76"/>
      <c r="AN1600" s="76"/>
    </row>
    <row r="1601" spans="1:40" ht="15">
      <c r="A1601" s="83" t="e">
        <f>IF(#REF!&lt;&gt;#REF!,1,A1600+1)</f>
        <v>#REF!</v>
      </c>
      <c r="O1601" s="79"/>
      <c r="P1601" s="79"/>
      <c r="Q1601" s="76"/>
      <c r="R1601" s="77"/>
      <c r="S1601" s="76"/>
      <c r="T1601" s="77"/>
      <c r="U1601" s="76"/>
      <c r="V1601" s="77"/>
      <c r="W1601" s="76"/>
      <c r="X1601" s="77"/>
      <c r="Y1601" s="76"/>
      <c r="Z1601" s="76"/>
      <c r="AA1601" s="76"/>
      <c r="AB1601" s="76"/>
      <c r="AC1601" s="76"/>
      <c r="AD1601" s="76"/>
      <c r="AE1601" s="76"/>
      <c r="AF1601" s="76"/>
      <c r="AG1601" s="76"/>
      <c r="AH1601" s="76"/>
      <c r="AI1601" s="76"/>
      <c r="AJ1601" s="76"/>
      <c r="AK1601" s="76"/>
      <c r="AL1601" s="77"/>
      <c r="AM1601" s="76"/>
      <c r="AN1601" s="76"/>
    </row>
    <row r="1602" spans="1:40" ht="15">
      <c r="A1602" s="83" t="e">
        <f>IF(#REF!&lt;&gt;#REF!,1,A1601+1)</f>
        <v>#REF!</v>
      </c>
      <c r="O1602" s="79"/>
      <c r="P1602" s="79"/>
      <c r="Q1602" s="76"/>
      <c r="R1602" s="77"/>
      <c r="S1602" s="76"/>
      <c r="T1602" s="77"/>
      <c r="U1602" s="76"/>
      <c r="V1602" s="77"/>
      <c r="W1602" s="76"/>
      <c r="X1602" s="77"/>
      <c r="Y1602" s="76"/>
      <c r="Z1602" s="76"/>
      <c r="AA1602" s="76"/>
      <c r="AB1602" s="76"/>
      <c r="AC1602" s="76"/>
      <c r="AD1602" s="76"/>
      <c r="AE1602" s="76"/>
      <c r="AF1602" s="76"/>
      <c r="AG1602" s="76"/>
      <c r="AH1602" s="76"/>
      <c r="AI1602" s="76"/>
      <c r="AJ1602" s="76"/>
      <c r="AK1602" s="76"/>
      <c r="AL1602" s="77"/>
      <c r="AM1602" s="76"/>
      <c r="AN1602" s="76"/>
    </row>
    <row r="1603" spans="1:40" ht="15">
      <c r="A1603" s="83" t="e">
        <f>IF(#REF!&lt;&gt;#REF!,1,A1602+1)</f>
        <v>#REF!</v>
      </c>
      <c r="O1603" s="79"/>
      <c r="P1603" s="79"/>
      <c r="Q1603" s="76"/>
      <c r="R1603" s="77"/>
      <c r="S1603" s="76"/>
      <c r="T1603" s="77"/>
      <c r="U1603" s="76"/>
      <c r="V1603" s="77"/>
      <c r="W1603" s="76"/>
      <c r="X1603" s="77"/>
      <c r="Y1603" s="76"/>
      <c r="Z1603" s="76"/>
      <c r="AA1603" s="76"/>
      <c r="AB1603" s="76"/>
      <c r="AC1603" s="76"/>
      <c r="AD1603" s="76"/>
      <c r="AE1603" s="76"/>
      <c r="AF1603" s="76"/>
      <c r="AG1603" s="76"/>
      <c r="AH1603" s="76"/>
      <c r="AI1603" s="76"/>
      <c r="AJ1603" s="76"/>
      <c r="AK1603" s="76"/>
      <c r="AL1603" s="77"/>
      <c r="AM1603" s="76"/>
      <c r="AN1603" s="76"/>
    </row>
    <row r="1604" spans="1:40" ht="15">
      <c r="A1604" s="83" t="e">
        <f>IF(#REF!&lt;&gt;#REF!,1,A1603+1)</f>
        <v>#REF!</v>
      </c>
      <c r="O1604" s="79"/>
      <c r="P1604" s="79"/>
      <c r="Q1604" s="76"/>
      <c r="R1604" s="77"/>
      <c r="S1604" s="76"/>
      <c r="T1604" s="77"/>
      <c r="U1604" s="76"/>
      <c r="V1604" s="77"/>
      <c r="W1604" s="76"/>
      <c r="X1604" s="77"/>
      <c r="Y1604" s="76"/>
      <c r="Z1604" s="76"/>
      <c r="AA1604" s="76"/>
      <c r="AB1604" s="76"/>
      <c r="AC1604" s="76"/>
      <c r="AD1604" s="76"/>
      <c r="AE1604" s="76"/>
      <c r="AF1604" s="76"/>
      <c r="AG1604" s="76"/>
      <c r="AH1604" s="76"/>
      <c r="AI1604" s="76"/>
      <c r="AJ1604" s="76"/>
      <c r="AK1604" s="76"/>
      <c r="AL1604" s="77"/>
      <c r="AM1604" s="76"/>
      <c r="AN1604" s="76"/>
    </row>
    <row r="1605" spans="1:40" ht="15">
      <c r="A1605" s="83" t="e">
        <f>IF(#REF!&lt;&gt;#REF!,1,A1604+1)</f>
        <v>#REF!</v>
      </c>
      <c r="O1605" s="79"/>
      <c r="P1605" s="79"/>
      <c r="Q1605" s="76"/>
      <c r="R1605" s="77"/>
      <c r="S1605" s="76"/>
      <c r="T1605" s="77"/>
      <c r="U1605" s="76"/>
      <c r="V1605" s="77"/>
      <c r="W1605" s="76"/>
      <c r="X1605" s="77"/>
      <c r="Y1605" s="76"/>
      <c r="Z1605" s="76"/>
      <c r="AA1605" s="76"/>
      <c r="AB1605" s="76"/>
      <c r="AC1605" s="76"/>
      <c r="AD1605" s="76"/>
      <c r="AE1605" s="76"/>
      <c r="AF1605" s="76"/>
      <c r="AG1605" s="76"/>
      <c r="AH1605" s="76"/>
      <c r="AI1605" s="76"/>
      <c r="AJ1605" s="76"/>
      <c r="AK1605" s="76"/>
      <c r="AL1605" s="77"/>
      <c r="AM1605" s="76"/>
      <c r="AN1605" s="76"/>
    </row>
    <row r="1606" spans="1:40" ht="15">
      <c r="A1606" s="83" t="e">
        <f>IF(#REF!&lt;&gt;#REF!,1,A1605+1)</f>
        <v>#REF!</v>
      </c>
      <c r="O1606" s="79"/>
      <c r="P1606" s="79"/>
      <c r="Q1606" s="76"/>
      <c r="R1606" s="77"/>
      <c r="S1606" s="76"/>
      <c r="T1606" s="77"/>
      <c r="U1606" s="76"/>
      <c r="V1606" s="77"/>
      <c r="W1606" s="76"/>
      <c r="X1606" s="77"/>
      <c r="Y1606" s="76"/>
      <c r="Z1606" s="76"/>
      <c r="AA1606" s="76"/>
      <c r="AB1606" s="76"/>
      <c r="AC1606" s="76"/>
      <c r="AD1606" s="76"/>
      <c r="AE1606" s="76"/>
      <c r="AF1606" s="76"/>
      <c r="AG1606" s="76"/>
      <c r="AH1606" s="76"/>
      <c r="AI1606" s="76"/>
      <c r="AJ1606" s="76"/>
      <c r="AK1606" s="76"/>
      <c r="AL1606" s="77"/>
      <c r="AM1606" s="76"/>
      <c r="AN1606" s="76"/>
    </row>
    <row r="1607" spans="1:40" ht="15">
      <c r="A1607" s="83" t="e">
        <f>IF(#REF!&lt;&gt;#REF!,1,A1606+1)</f>
        <v>#REF!</v>
      </c>
      <c r="O1607" s="79"/>
      <c r="P1607" s="79"/>
      <c r="Q1607" s="76"/>
      <c r="R1607" s="77"/>
      <c r="S1607" s="76"/>
      <c r="T1607" s="77"/>
      <c r="U1607" s="76"/>
      <c r="V1607" s="77"/>
      <c r="W1607" s="76"/>
      <c r="X1607" s="77"/>
      <c r="Y1607" s="76"/>
      <c r="Z1607" s="76"/>
      <c r="AA1607" s="76"/>
      <c r="AB1607" s="76"/>
      <c r="AC1607" s="76"/>
      <c r="AD1607" s="76"/>
      <c r="AE1607" s="76"/>
      <c r="AF1607" s="76"/>
      <c r="AG1607" s="76"/>
      <c r="AH1607" s="76"/>
      <c r="AI1607" s="76"/>
      <c r="AJ1607" s="76"/>
      <c r="AK1607" s="76"/>
      <c r="AL1607" s="77"/>
      <c r="AM1607" s="76"/>
      <c r="AN1607" s="76"/>
    </row>
    <row r="1608" spans="1:40" ht="15">
      <c r="A1608" s="83" t="e">
        <f>IF(#REF!&lt;&gt;#REF!,1,A1607+1)</f>
        <v>#REF!</v>
      </c>
      <c r="O1608" s="79"/>
      <c r="P1608" s="79"/>
      <c r="Q1608" s="76"/>
      <c r="R1608" s="77"/>
      <c r="S1608" s="76"/>
      <c r="T1608" s="77"/>
      <c r="U1608" s="76"/>
      <c r="V1608" s="77"/>
      <c r="W1608" s="76"/>
      <c r="X1608" s="77"/>
      <c r="Y1608" s="76"/>
      <c r="Z1608" s="76"/>
      <c r="AA1608" s="76"/>
      <c r="AB1608" s="76"/>
      <c r="AC1608" s="76"/>
      <c r="AD1608" s="76"/>
      <c r="AE1608" s="76"/>
      <c r="AF1608" s="76"/>
      <c r="AG1608" s="76"/>
      <c r="AH1608" s="76"/>
      <c r="AI1608" s="76"/>
      <c r="AJ1608" s="76"/>
      <c r="AK1608" s="76"/>
      <c r="AL1608" s="77"/>
      <c r="AM1608" s="76"/>
      <c r="AN1608" s="76"/>
    </row>
    <row r="1609" spans="1:40" ht="15">
      <c r="A1609" s="83" t="e">
        <f>IF(#REF!&lt;&gt;#REF!,1,A1608+1)</f>
        <v>#REF!</v>
      </c>
      <c r="O1609" s="79"/>
      <c r="P1609" s="79"/>
      <c r="Q1609" s="76"/>
      <c r="R1609" s="77"/>
      <c r="S1609" s="76"/>
      <c r="T1609" s="77"/>
      <c r="U1609" s="76"/>
      <c r="V1609" s="77"/>
      <c r="W1609" s="76"/>
      <c r="X1609" s="77"/>
      <c r="Y1609" s="76"/>
      <c r="Z1609" s="76"/>
      <c r="AA1609" s="76"/>
      <c r="AB1609" s="76"/>
      <c r="AC1609" s="76"/>
      <c r="AD1609" s="76"/>
      <c r="AE1609" s="76"/>
      <c r="AF1609" s="76"/>
      <c r="AG1609" s="76"/>
      <c r="AH1609" s="76"/>
      <c r="AI1609" s="76"/>
      <c r="AJ1609" s="76"/>
      <c r="AK1609" s="76"/>
      <c r="AL1609" s="77"/>
      <c r="AM1609" s="76"/>
      <c r="AN1609" s="76"/>
    </row>
    <row r="1610" spans="1:40" ht="15">
      <c r="A1610" s="83" t="e">
        <f>IF(#REF!&lt;&gt;#REF!,1,A1609+1)</f>
        <v>#REF!</v>
      </c>
      <c r="O1610" s="79"/>
      <c r="P1610" s="79"/>
      <c r="Q1610" s="76"/>
      <c r="R1610" s="77"/>
      <c r="S1610" s="76"/>
      <c r="T1610" s="77"/>
      <c r="U1610" s="76"/>
      <c r="V1610" s="77"/>
      <c r="W1610" s="76"/>
      <c r="X1610" s="77"/>
      <c r="Y1610" s="76"/>
      <c r="Z1610" s="76"/>
      <c r="AA1610" s="76"/>
      <c r="AB1610" s="76"/>
      <c r="AC1610" s="76"/>
      <c r="AD1610" s="76"/>
      <c r="AE1610" s="76"/>
      <c r="AF1610" s="76"/>
      <c r="AG1610" s="76"/>
      <c r="AH1610" s="76"/>
      <c r="AI1610" s="76"/>
      <c r="AJ1610" s="76"/>
      <c r="AK1610" s="76"/>
      <c r="AL1610" s="77"/>
      <c r="AM1610" s="76"/>
      <c r="AN1610" s="76"/>
    </row>
    <row r="1611" spans="1:40" ht="15">
      <c r="A1611" s="83" t="e">
        <f>IF(#REF!&lt;&gt;#REF!,1,A1610+1)</f>
        <v>#REF!</v>
      </c>
      <c r="O1611" s="79"/>
      <c r="P1611" s="79"/>
      <c r="Q1611" s="76"/>
      <c r="R1611" s="77"/>
      <c r="S1611" s="76"/>
      <c r="T1611" s="77"/>
      <c r="U1611" s="76"/>
      <c r="V1611" s="77"/>
      <c r="W1611" s="76"/>
      <c r="X1611" s="77"/>
      <c r="Y1611" s="76"/>
      <c r="Z1611" s="76"/>
      <c r="AA1611" s="76"/>
      <c r="AB1611" s="76"/>
      <c r="AC1611" s="76"/>
      <c r="AD1611" s="76"/>
      <c r="AE1611" s="76"/>
      <c r="AF1611" s="76"/>
      <c r="AG1611" s="76"/>
      <c r="AH1611" s="76"/>
      <c r="AI1611" s="76"/>
      <c r="AJ1611" s="76"/>
      <c r="AK1611" s="76"/>
      <c r="AL1611" s="77"/>
      <c r="AM1611" s="76"/>
      <c r="AN1611" s="76"/>
    </row>
    <row r="1612" spans="1:40" ht="15">
      <c r="A1612" s="83" t="e">
        <f>IF(#REF!&lt;&gt;#REF!,1,A1611+1)</f>
        <v>#REF!</v>
      </c>
      <c r="O1612" s="79"/>
      <c r="P1612" s="79"/>
      <c r="Q1612" s="76"/>
      <c r="R1612" s="77"/>
      <c r="S1612" s="76"/>
      <c r="T1612" s="77"/>
      <c r="U1612" s="76"/>
      <c r="V1612" s="77"/>
      <c r="W1612" s="76"/>
      <c r="X1612" s="77"/>
      <c r="Y1612" s="76"/>
      <c r="Z1612" s="76"/>
      <c r="AA1612" s="76"/>
      <c r="AB1612" s="76"/>
      <c r="AC1612" s="76"/>
      <c r="AD1612" s="76"/>
      <c r="AE1612" s="76"/>
      <c r="AF1612" s="76"/>
      <c r="AG1612" s="76"/>
      <c r="AH1612" s="76"/>
      <c r="AI1612" s="76"/>
      <c r="AJ1612" s="76"/>
      <c r="AK1612" s="76"/>
      <c r="AL1612" s="77"/>
      <c r="AM1612" s="76"/>
      <c r="AN1612" s="76"/>
    </row>
    <row r="1613" spans="1:40" ht="15">
      <c r="A1613" s="83" t="e">
        <f>IF(#REF!&lt;&gt;#REF!,1,A1612+1)</f>
        <v>#REF!</v>
      </c>
      <c r="O1613" s="79"/>
      <c r="P1613" s="79"/>
      <c r="Q1613" s="76"/>
      <c r="R1613" s="77"/>
      <c r="S1613" s="76"/>
      <c r="T1613" s="77"/>
      <c r="U1613" s="76"/>
      <c r="V1613" s="77"/>
      <c r="W1613" s="76"/>
      <c r="X1613" s="77"/>
      <c r="Y1613" s="76"/>
      <c r="Z1613" s="76"/>
      <c r="AA1613" s="76"/>
      <c r="AB1613" s="76"/>
      <c r="AC1613" s="76"/>
      <c r="AD1613" s="76"/>
      <c r="AE1613" s="76"/>
      <c r="AF1613" s="76"/>
      <c r="AG1613" s="76"/>
      <c r="AH1613" s="76"/>
      <c r="AI1613" s="76"/>
      <c r="AJ1613" s="76"/>
      <c r="AK1613" s="76"/>
      <c r="AL1613" s="77"/>
      <c r="AM1613" s="76"/>
      <c r="AN1613" s="76"/>
    </row>
    <row r="1614" spans="1:40" ht="15">
      <c r="A1614" s="83" t="e">
        <f>IF(#REF!&lt;&gt;#REF!,1,A1613+1)</f>
        <v>#REF!</v>
      </c>
      <c r="O1614" s="79"/>
      <c r="P1614" s="79"/>
      <c r="Q1614" s="76"/>
      <c r="R1614" s="77"/>
      <c r="S1614" s="76"/>
      <c r="T1614" s="77"/>
      <c r="U1614" s="76"/>
      <c r="V1614" s="77"/>
      <c r="W1614" s="76"/>
      <c r="X1614" s="77"/>
      <c r="Y1614" s="76"/>
      <c r="Z1614" s="76"/>
      <c r="AA1614" s="76"/>
      <c r="AB1614" s="76"/>
      <c r="AC1614" s="76"/>
      <c r="AD1614" s="76"/>
      <c r="AE1614" s="76"/>
      <c r="AF1614" s="76"/>
      <c r="AG1614" s="76"/>
      <c r="AH1614" s="76"/>
      <c r="AI1614" s="76"/>
      <c r="AJ1614" s="76"/>
      <c r="AK1614" s="76"/>
      <c r="AL1614" s="77"/>
      <c r="AM1614" s="76"/>
      <c r="AN1614" s="76"/>
    </row>
    <row r="1615" spans="1:40" ht="15">
      <c r="A1615" s="83" t="e">
        <f>IF(#REF!&lt;&gt;#REF!,1,A1614+1)</f>
        <v>#REF!</v>
      </c>
      <c r="O1615" s="79"/>
      <c r="P1615" s="79"/>
      <c r="Q1615" s="76"/>
      <c r="R1615" s="77"/>
      <c r="S1615" s="76"/>
      <c r="T1615" s="77"/>
      <c r="U1615" s="76"/>
      <c r="V1615" s="77"/>
      <c r="W1615" s="76"/>
      <c r="X1615" s="77"/>
      <c r="Y1615" s="76"/>
      <c r="Z1615" s="76"/>
      <c r="AA1615" s="76"/>
      <c r="AB1615" s="76"/>
      <c r="AC1615" s="76"/>
      <c r="AD1615" s="76"/>
      <c r="AE1615" s="76"/>
      <c r="AF1615" s="76"/>
      <c r="AG1615" s="76"/>
      <c r="AH1615" s="76"/>
      <c r="AI1615" s="76"/>
      <c r="AJ1615" s="76"/>
      <c r="AK1615" s="76"/>
      <c r="AL1615" s="77"/>
      <c r="AM1615" s="76"/>
      <c r="AN1615" s="76"/>
    </row>
    <row r="1616" spans="1:40" ht="15">
      <c r="A1616" s="83" t="e">
        <f>IF(#REF!&lt;&gt;#REF!,1,A1615+1)</f>
        <v>#REF!</v>
      </c>
      <c r="O1616" s="79"/>
      <c r="P1616" s="79"/>
      <c r="Q1616" s="76"/>
      <c r="R1616" s="77"/>
      <c r="S1616" s="76"/>
      <c r="T1616" s="77"/>
      <c r="U1616" s="76"/>
      <c r="V1616" s="77"/>
      <c r="W1616" s="76"/>
      <c r="X1616" s="77"/>
      <c r="Y1616" s="76"/>
      <c r="Z1616" s="76"/>
      <c r="AA1616" s="76"/>
      <c r="AB1616" s="76"/>
      <c r="AC1616" s="76"/>
      <c r="AD1616" s="76"/>
      <c r="AE1616" s="76"/>
      <c r="AF1616" s="76"/>
      <c r="AG1616" s="76"/>
      <c r="AH1616" s="76"/>
      <c r="AI1616" s="76"/>
      <c r="AJ1616" s="76"/>
      <c r="AK1616" s="76"/>
      <c r="AL1616" s="77"/>
      <c r="AM1616" s="76"/>
      <c r="AN1616" s="76"/>
    </row>
    <row r="1617" spans="1:40" ht="15">
      <c r="A1617" s="83" t="e">
        <f>IF(#REF!&lt;&gt;#REF!,1,A1616+1)</f>
        <v>#REF!</v>
      </c>
      <c r="O1617" s="79"/>
      <c r="P1617" s="79"/>
      <c r="Q1617" s="76"/>
      <c r="R1617" s="77"/>
      <c r="S1617" s="76"/>
      <c r="T1617" s="77"/>
      <c r="U1617" s="76"/>
      <c r="V1617" s="77"/>
      <c r="W1617" s="76"/>
      <c r="X1617" s="77"/>
      <c r="Y1617" s="76"/>
      <c r="Z1617" s="76"/>
      <c r="AA1617" s="76"/>
      <c r="AB1617" s="76"/>
      <c r="AC1617" s="76"/>
      <c r="AD1617" s="76"/>
      <c r="AE1617" s="76"/>
      <c r="AF1617" s="76"/>
      <c r="AG1617" s="76"/>
      <c r="AH1617" s="76"/>
      <c r="AI1617" s="76"/>
      <c r="AJ1617" s="76"/>
      <c r="AK1617" s="76"/>
      <c r="AL1617" s="77"/>
      <c r="AM1617" s="76"/>
      <c r="AN1617" s="76"/>
    </row>
    <row r="1618" spans="1:40" ht="15">
      <c r="A1618" s="83" t="e">
        <f>IF(#REF!&lt;&gt;#REF!,1,A1617+1)</f>
        <v>#REF!</v>
      </c>
      <c r="O1618" s="79"/>
      <c r="P1618" s="79"/>
      <c r="Q1618" s="76"/>
      <c r="R1618" s="77"/>
      <c r="S1618" s="76"/>
      <c r="T1618" s="77"/>
      <c r="U1618" s="76"/>
      <c r="V1618" s="77"/>
      <c r="W1618" s="76"/>
      <c r="X1618" s="77"/>
      <c r="Y1618" s="76"/>
      <c r="Z1618" s="76"/>
      <c r="AA1618" s="76"/>
      <c r="AB1618" s="76"/>
      <c r="AC1618" s="76"/>
      <c r="AD1618" s="76"/>
      <c r="AE1618" s="76"/>
      <c r="AF1618" s="76"/>
      <c r="AG1618" s="76"/>
      <c r="AH1618" s="76"/>
      <c r="AI1618" s="76"/>
      <c r="AJ1618" s="76"/>
      <c r="AK1618" s="76"/>
      <c r="AL1618" s="77"/>
      <c r="AM1618" s="76"/>
      <c r="AN1618" s="76"/>
    </row>
    <row r="1619" spans="1:40" ht="15">
      <c r="A1619" s="83" t="e">
        <f>IF(#REF!&lt;&gt;#REF!,1,A1618+1)</f>
        <v>#REF!</v>
      </c>
      <c r="O1619" s="79"/>
      <c r="P1619" s="79"/>
      <c r="Q1619" s="76"/>
      <c r="R1619" s="77"/>
      <c r="S1619" s="76"/>
      <c r="T1619" s="77"/>
      <c r="U1619" s="76"/>
      <c r="V1619" s="77"/>
      <c r="W1619" s="76"/>
      <c r="X1619" s="77"/>
      <c r="Y1619" s="76"/>
      <c r="Z1619" s="76"/>
      <c r="AA1619" s="76"/>
      <c r="AB1619" s="76"/>
      <c r="AC1619" s="76"/>
      <c r="AD1619" s="76"/>
      <c r="AE1619" s="76"/>
      <c r="AF1619" s="76"/>
      <c r="AG1619" s="76"/>
      <c r="AH1619" s="76"/>
      <c r="AI1619" s="76"/>
      <c r="AJ1619" s="76"/>
      <c r="AK1619" s="76"/>
      <c r="AL1619" s="77"/>
      <c r="AM1619" s="76"/>
      <c r="AN1619" s="76"/>
    </row>
    <row r="1620" spans="1:40" ht="15">
      <c r="A1620" s="83" t="e">
        <f>IF(#REF!&lt;&gt;#REF!,1,A1619+1)</f>
        <v>#REF!</v>
      </c>
      <c r="O1620" s="79"/>
      <c r="P1620" s="79"/>
      <c r="Q1620" s="76"/>
      <c r="R1620" s="77"/>
      <c r="S1620" s="76"/>
      <c r="T1620" s="77"/>
      <c r="U1620" s="76"/>
      <c r="V1620" s="77"/>
      <c r="W1620" s="76"/>
      <c r="X1620" s="77"/>
      <c r="Y1620" s="76"/>
      <c r="Z1620" s="76"/>
      <c r="AA1620" s="76"/>
      <c r="AB1620" s="76"/>
      <c r="AC1620" s="76"/>
      <c r="AD1620" s="76"/>
      <c r="AE1620" s="76"/>
      <c r="AF1620" s="76"/>
      <c r="AG1620" s="76"/>
      <c r="AH1620" s="76"/>
      <c r="AI1620" s="76"/>
      <c r="AJ1620" s="76"/>
      <c r="AK1620" s="76"/>
      <c r="AL1620" s="77"/>
      <c r="AM1620" s="76"/>
      <c r="AN1620" s="76"/>
    </row>
    <row r="1621" spans="1:40" ht="15">
      <c r="A1621" s="83" t="e">
        <f>IF(#REF!&lt;&gt;#REF!,1,A1620+1)</f>
        <v>#REF!</v>
      </c>
      <c r="O1621" s="79"/>
      <c r="P1621" s="79"/>
      <c r="Q1621" s="76"/>
      <c r="R1621" s="77"/>
      <c r="S1621" s="76"/>
      <c r="T1621" s="77"/>
      <c r="U1621" s="76"/>
      <c r="V1621" s="77"/>
      <c r="W1621" s="76"/>
      <c r="X1621" s="77"/>
      <c r="Y1621" s="76"/>
      <c r="Z1621" s="76"/>
      <c r="AA1621" s="76"/>
      <c r="AB1621" s="76"/>
      <c r="AC1621" s="76"/>
      <c r="AD1621" s="76"/>
      <c r="AE1621" s="76"/>
      <c r="AF1621" s="76"/>
      <c r="AG1621" s="76"/>
      <c r="AH1621" s="76"/>
      <c r="AI1621" s="76"/>
      <c r="AJ1621" s="76"/>
      <c r="AK1621" s="76"/>
      <c r="AL1621" s="77"/>
      <c r="AM1621" s="76"/>
      <c r="AN1621" s="76"/>
    </row>
    <row r="1622" spans="1:40" ht="15">
      <c r="A1622" s="83" t="e">
        <f>IF(#REF!&lt;&gt;#REF!,1,A1621+1)</f>
        <v>#REF!</v>
      </c>
      <c r="O1622" s="79"/>
      <c r="P1622" s="79"/>
      <c r="Q1622" s="76"/>
      <c r="R1622" s="77"/>
      <c r="S1622" s="76"/>
      <c r="T1622" s="77"/>
      <c r="U1622" s="76"/>
      <c r="V1622" s="77"/>
      <c r="W1622" s="76"/>
      <c r="X1622" s="77"/>
      <c r="Y1622" s="76"/>
      <c r="Z1622" s="76"/>
      <c r="AA1622" s="76"/>
      <c r="AB1622" s="76"/>
      <c r="AC1622" s="76"/>
      <c r="AD1622" s="76"/>
      <c r="AE1622" s="76"/>
      <c r="AF1622" s="76"/>
      <c r="AG1622" s="76"/>
      <c r="AH1622" s="76"/>
      <c r="AI1622" s="76"/>
      <c r="AJ1622" s="76"/>
      <c r="AK1622" s="76"/>
      <c r="AL1622" s="77"/>
      <c r="AM1622" s="76"/>
      <c r="AN1622" s="76"/>
    </row>
    <row r="1623" spans="1:40" ht="15">
      <c r="A1623" s="83" t="e">
        <f>IF(#REF!&lt;&gt;#REF!,1,A1622+1)</f>
        <v>#REF!</v>
      </c>
      <c r="O1623" s="79"/>
      <c r="P1623" s="79"/>
      <c r="Q1623" s="76"/>
      <c r="R1623" s="77"/>
      <c r="S1623" s="76"/>
      <c r="T1623" s="77"/>
      <c r="U1623" s="76"/>
      <c r="V1623" s="77"/>
      <c r="W1623" s="76"/>
      <c r="X1623" s="77"/>
      <c r="Y1623" s="76"/>
      <c r="Z1623" s="76"/>
      <c r="AA1623" s="76"/>
      <c r="AB1623" s="76"/>
      <c r="AC1623" s="76"/>
      <c r="AD1623" s="76"/>
      <c r="AE1623" s="76"/>
      <c r="AF1623" s="76"/>
      <c r="AG1623" s="76"/>
      <c r="AH1623" s="76"/>
      <c r="AI1623" s="76"/>
      <c r="AJ1623" s="76"/>
      <c r="AK1623" s="76"/>
      <c r="AL1623" s="77"/>
      <c r="AM1623" s="76"/>
      <c r="AN1623" s="76"/>
    </row>
    <row r="1624" spans="1:40" ht="15">
      <c r="A1624" s="83" t="e">
        <f>IF(#REF!&lt;&gt;#REF!,1,A1623+1)</f>
        <v>#REF!</v>
      </c>
      <c r="O1624" s="79"/>
      <c r="P1624" s="79"/>
      <c r="Q1624" s="76"/>
      <c r="R1624" s="77"/>
      <c r="S1624" s="76"/>
      <c r="T1624" s="77"/>
      <c r="U1624" s="76"/>
      <c r="V1624" s="77"/>
      <c r="W1624" s="76"/>
      <c r="X1624" s="77"/>
      <c r="Y1624" s="76"/>
      <c r="Z1624" s="76"/>
      <c r="AA1624" s="76"/>
      <c r="AB1624" s="76"/>
      <c r="AC1624" s="76"/>
      <c r="AD1624" s="76"/>
      <c r="AE1624" s="76"/>
      <c r="AF1624" s="76"/>
      <c r="AG1624" s="76"/>
      <c r="AH1624" s="76"/>
      <c r="AI1624" s="76"/>
      <c r="AJ1624" s="76"/>
      <c r="AK1624" s="76"/>
      <c r="AL1624" s="77"/>
      <c r="AM1624" s="76"/>
      <c r="AN1624" s="76"/>
    </row>
    <row r="1625" spans="1:40" ht="15">
      <c r="A1625" s="83" t="e">
        <f>IF(#REF!&lt;&gt;#REF!,1,A1624+1)</f>
        <v>#REF!</v>
      </c>
      <c r="O1625" s="79"/>
      <c r="P1625" s="79"/>
      <c r="Q1625" s="76"/>
      <c r="R1625" s="77"/>
      <c r="S1625" s="76"/>
      <c r="T1625" s="77"/>
      <c r="U1625" s="76"/>
      <c r="V1625" s="77"/>
      <c r="W1625" s="76"/>
      <c r="X1625" s="77"/>
      <c r="Y1625" s="76"/>
      <c r="Z1625" s="76"/>
      <c r="AA1625" s="76"/>
      <c r="AB1625" s="76"/>
      <c r="AC1625" s="76"/>
      <c r="AD1625" s="76"/>
      <c r="AE1625" s="76"/>
      <c r="AF1625" s="76"/>
      <c r="AG1625" s="76"/>
      <c r="AH1625" s="76"/>
      <c r="AI1625" s="76"/>
      <c r="AJ1625" s="76"/>
      <c r="AK1625" s="76"/>
      <c r="AL1625" s="77"/>
      <c r="AM1625" s="76"/>
      <c r="AN1625" s="76"/>
    </row>
    <row r="1626" spans="1:40" ht="15">
      <c r="A1626" s="83" t="e">
        <f>IF(#REF!&lt;&gt;#REF!,1,A1625+1)</f>
        <v>#REF!</v>
      </c>
      <c r="O1626" s="79"/>
      <c r="P1626" s="79"/>
      <c r="Q1626" s="76"/>
      <c r="R1626" s="77"/>
      <c r="S1626" s="76"/>
      <c r="T1626" s="77"/>
      <c r="U1626" s="76"/>
      <c r="V1626" s="77"/>
      <c r="W1626" s="76"/>
      <c r="X1626" s="77"/>
      <c r="Y1626" s="76"/>
      <c r="Z1626" s="76"/>
      <c r="AA1626" s="76"/>
      <c r="AB1626" s="76"/>
      <c r="AC1626" s="76"/>
      <c r="AD1626" s="76"/>
      <c r="AE1626" s="76"/>
      <c r="AF1626" s="76"/>
      <c r="AG1626" s="76"/>
      <c r="AH1626" s="76"/>
      <c r="AI1626" s="76"/>
      <c r="AJ1626" s="76"/>
      <c r="AK1626" s="76"/>
      <c r="AL1626" s="77"/>
      <c r="AM1626" s="76"/>
      <c r="AN1626" s="76"/>
    </row>
    <row r="1627" spans="1:40" ht="15">
      <c r="A1627" s="83" t="e">
        <f>IF(#REF!&lt;&gt;#REF!,1,A1626+1)</f>
        <v>#REF!</v>
      </c>
      <c r="O1627" s="79"/>
      <c r="P1627" s="79"/>
      <c r="Q1627" s="76"/>
      <c r="R1627" s="77"/>
      <c r="S1627" s="76"/>
      <c r="T1627" s="77"/>
      <c r="U1627" s="76"/>
      <c r="V1627" s="77"/>
      <c r="W1627" s="76"/>
      <c r="X1627" s="77"/>
      <c r="Y1627" s="76"/>
      <c r="Z1627" s="76"/>
      <c r="AA1627" s="76"/>
      <c r="AB1627" s="76"/>
      <c r="AC1627" s="76"/>
      <c r="AD1627" s="76"/>
      <c r="AE1627" s="76"/>
      <c r="AF1627" s="76"/>
      <c r="AG1627" s="76"/>
      <c r="AH1627" s="76"/>
      <c r="AI1627" s="76"/>
      <c r="AJ1627" s="76"/>
      <c r="AK1627" s="76"/>
      <c r="AL1627" s="77"/>
      <c r="AM1627" s="76"/>
      <c r="AN1627" s="76"/>
    </row>
    <row r="1628" spans="1:40" ht="15">
      <c r="A1628" s="83" t="e">
        <f>IF(#REF!&lt;&gt;#REF!,1,A1627+1)</f>
        <v>#REF!</v>
      </c>
      <c r="O1628" s="79"/>
      <c r="P1628" s="79"/>
      <c r="Q1628" s="76"/>
      <c r="R1628" s="77"/>
      <c r="S1628" s="76"/>
      <c r="T1628" s="77"/>
      <c r="U1628" s="76"/>
      <c r="V1628" s="77"/>
      <c r="W1628" s="76"/>
      <c r="X1628" s="77"/>
      <c r="Y1628" s="76"/>
      <c r="Z1628" s="76"/>
      <c r="AA1628" s="76"/>
      <c r="AB1628" s="76"/>
      <c r="AC1628" s="76"/>
      <c r="AD1628" s="76"/>
      <c r="AE1628" s="76"/>
      <c r="AF1628" s="76"/>
      <c r="AG1628" s="76"/>
      <c r="AH1628" s="76"/>
      <c r="AI1628" s="76"/>
      <c r="AJ1628" s="76"/>
      <c r="AK1628" s="76"/>
      <c r="AL1628" s="77"/>
      <c r="AM1628" s="76"/>
      <c r="AN1628" s="76"/>
    </row>
    <row r="1629" spans="1:40" ht="15">
      <c r="A1629" s="83" t="e">
        <f>IF(#REF!&lt;&gt;#REF!,1,A1628+1)</f>
        <v>#REF!</v>
      </c>
      <c r="O1629" s="79"/>
      <c r="P1629" s="79"/>
      <c r="Q1629" s="76"/>
      <c r="R1629" s="77"/>
      <c r="S1629" s="76"/>
      <c r="T1629" s="77"/>
      <c r="U1629" s="76"/>
      <c r="V1629" s="77"/>
      <c r="W1629" s="76"/>
      <c r="X1629" s="77"/>
      <c r="Y1629" s="76"/>
      <c r="Z1629" s="76"/>
      <c r="AA1629" s="76"/>
      <c r="AB1629" s="76"/>
      <c r="AC1629" s="76"/>
      <c r="AD1629" s="76"/>
      <c r="AE1629" s="76"/>
      <c r="AF1629" s="76"/>
      <c r="AG1629" s="76"/>
      <c r="AH1629" s="76"/>
      <c r="AI1629" s="76"/>
      <c r="AJ1629" s="76"/>
      <c r="AK1629" s="76"/>
      <c r="AL1629" s="77"/>
      <c r="AM1629" s="76"/>
      <c r="AN1629" s="76"/>
    </row>
    <row r="1630" spans="1:40" ht="15">
      <c r="A1630" s="83" t="e">
        <f>IF(#REF!&lt;&gt;#REF!,1,A1629+1)</f>
        <v>#REF!</v>
      </c>
      <c r="O1630" s="79"/>
      <c r="P1630" s="79"/>
      <c r="Q1630" s="76"/>
      <c r="R1630" s="77"/>
      <c r="S1630" s="76"/>
      <c r="T1630" s="77"/>
      <c r="U1630" s="76"/>
      <c r="V1630" s="77"/>
      <c r="W1630" s="76"/>
      <c r="X1630" s="77"/>
      <c r="Y1630" s="76"/>
      <c r="Z1630" s="76"/>
      <c r="AA1630" s="76"/>
      <c r="AB1630" s="76"/>
      <c r="AC1630" s="76"/>
      <c r="AD1630" s="76"/>
      <c r="AE1630" s="76"/>
      <c r="AF1630" s="76"/>
      <c r="AG1630" s="76"/>
      <c r="AH1630" s="76"/>
      <c r="AI1630" s="76"/>
      <c r="AJ1630" s="76"/>
      <c r="AK1630" s="76"/>
      <c r="AL1630" s="77"/>
      <c r="AM1630" s="76"/>
      <c r="AN1630" s="76"/>
    </row>
    <row r="1631" spans="1:40" ht="15">
      <c r="A1631" s="83" t="e">
        <f>IF(#REF!&lt;&gt;#REF!,1,A1630+1)</f>
        <v>#REF!</v>
      </c>
      <c r="O1631" s="79"/>
      <c r="P1631" s="79"/>
      <c r="Q1631" s="76"/>
      <c r="R1631" s="77"/>
      <c r="S1631" s="76"/>
      <c r="T1631" s="77"/>
      <c r="U1631" s="76"/>
      <c r="V1631" s="77"/>
      <c r="W1631" s="76"/>
      <c r="X1631" s="77"/>
      <c r="Y1631" s="76"/>
      <c r="Z1631" s="76"/>
      <c r="AA1631" s="76"/>
      <c r="AB1631" s="76"/>
      <c r="AC1631" s="76"/>
      <c r="AD1631" s="76"/>
      <c r="AE1631" s="76"/>
      <c r="AF1631" s="76"/>
      <c r="AG1631" s="76"/>
      <c r="AH1631" s="76"/>
      <c r="AI1631" s="76"/>
      <c r="AJ1631" s="76"/>
      <c r="AK1631" s="76"/>
      <c r="AL1631" s="77"/>
      <c r="AM1631" s="76"/>
      <c r="AN1631" s="76"/>
    </row>
    <row r="1632" spans="1:40" ht="15">
      <c r="A1632" s="83" t="e">
        <f>IF(#REF!&lt;&gt;#REF!,1,A1631+1)</f>
        <v>#REF!</v>
      </c>
      <c r="O1632" s="79"/>
      <c r="P1632" s="79"/>
      <c r="Q1632" s="76"/>
      <c r="R1632" s="77"/>
      <c r="S1632" s="76"/>
      <c r="T1632" s="77"/>
      <c r="U1632" s="76"/>
      <c r="V1632" s="77"/>
      <c r="W1632" s="76"/>
      <c r="X1632" s="77"/>
      <c r="Y1632" s="76"/>
      <c r="Z1632" s="76"/>
      <c r="AA1632" s="76"/>
      <c r="AB1632" s="76"/>
      <c r="AC1632" s="76"/>
      <c r="AD1632" s="76"/>
      <c r="AE1632" s="76"/>
      <c r="AF1632" s="76"/>
      <c r="AG1632" s="76"/>
      <c r="AH1632" s="76"/>
      <c r="AI1632" s="76"/>
      <c r="AJ1632" s="76"/>
      <c r="AK1632" s="76"/>
      <c r="AL1632" s="77"/>
      <c r="AM1632" s="76"/>
      <c r="AN1632" s="76"/>
    </row>
    <row r="1633" spans="1:40" ht="15">
      <c r="A1633" s="83" t="e">
        <f>IF(#REF!&lt;&gt;#REF!,1,A1632+1)</f>
        <v>#REF!</v>
      </c>
      <c r="O1633" s="79"/>
      <c r="P1633" s="79"/>
      <c r="Q1633" s="76"/>
      <c r="R1633" s="77"/>
      <c r="S1633" s="76"/>
      <c r="T1633" s="77"/>
      <c r="U1633" s="76"/>
      <c r="V1633" s="77"/>
      <c r="W1633" s="76"/>
      <c r="X1633" s="77"/>
      <c r="Y1633" s="76"/>
      <c r="Z1633" s="76"/>
      <c r="AA1633" s="76"/>
      <c r="AB1633" s="76"/>
      <c r="AC1633" s="76"/>
      <c r="AD1633" s="76"/>
      <c r="AE1633" s="76"/>
      <c r="AF1633" s="76"/>
      <c r="AG1633" s="76"/>
      <c r="AH1633" s="76"/>
      <c r="AI1633" s="76"/>
      <c r="AJ1633" s="76"/>
      <c r="AK1633" s="76"/>
      <c r="AL1633" s="77"/>
      <c r="AM1633" s="76"/>
      <c r="AN1633" s="76"/>
    </row>
    <row r="1634" spans="1:40" ht="15">
      <c r="A1634" s="83" t="e">
        <f>IF(#REF!&lt;&gt;#REF!,1,A1633+1)</f>
        <v>#REF!</v>
      </c>
      <c r="O1634" s="79"/>
      <c r="P1634" s="79"/>
      <c r="Q1634" s="76"/>
      <c r="R1634" s="77"/>
      <c r="S1634" s="76"/>
      <c r="T1634" s="77"/>
      <c r="U1634" s="76"/>
      <c r="V1634" s="77"/>
      <c r="W1634" s="76"/>
      <c r="X1634" s="77"/>
      <c r="Y1634" s="76"/>
      <c r="Z1634" s="76"/>
      <c r="AA1634" s="76"/>
      <c r="AB1634" s="76"/>
      <c r="AC1634" s="76"/>
      <c r="AD1634" s="76"/>
      <c r="AE1634" s="76"/>
      <c r="AF1634" s="76"/>
      <c r="AG1634" s="76"/>
      <c r="AH1634" s="76"/>
      <c r="AI1634" s="76"/>
      <c r="AJ1634" s="76"/>
      <c r="AK1634" s="76"/>
      <c r="AL1634" s="77"/>
      <c r="AM1634" s="76"/>
      <c r="AN1634" s="76"/>
    </row>
    <row r="1635" spans="1:40" ht="15">
      <c r="A1635" s="83" t="e">
        <f>IF(#REF!&lt;&gt;#REF!,1,A1634+1)</f>
        <v>#REF!</v>
      </c>
      <c r="O1635" s="79"/>
      <c r="P1635" s="79"/>
      <c r="Q1635" s="76"/>
      <c r="R1635" s="77"/>
      <c r="S1635" s="76"/>
      <c r="T1635" s="77"/>
      <c r="U1635" s="76"/>
      <c r="V1635" s="77"/>
      <c r="W1635" s="76"/>
      <c r="X1635" s="77"/>
      <c r="Y1635" s="76"/>
      <c r="Z1635" s="76"/>
      <c r="AA1635" s="76"/>
      <c r="AB1635" s="76"/>
      <c r="AC1635" s="76"/>
      <c r="AD1635" s="76"/>
      <c r="AE1635" s="76"/>
      <c r="AF1635" s="76"/>
      <c r="AG1635" s="76"/>
      <c r="AH1635" s="76"/>
      <c r="AI1635" s="76"/>
      <c r="AJ1635" s="76"/>
      <c r="AK1635" s="76"/>
      <c r="AL1635" s="77"/>
      <c r="AM1635" s="76"/>
      <c r="AN1635" s="76"/>
    </row>
    <row r="1636" spans="1:40" ht="15">
      <c r="A1636" s="83" t="e">
        <f>IF(#REF!&lt;&gt;#REF!,1,A1635+1)</f>
        <v>#REF!</v>
      </c>
      <c r="O1636" s="79"/>
      <c r="P1636" s="79"/>
      <c r="Q1636" s="76"/>
      <c r="R1636" s="77"/>
      <c r="S1636" s="76"/>
      <c r="T1636" s="77"/>
      <c r="U1636" s="76"/>
      <c r="V1636" s="77"/>
      <c r="W1636" s="76"/>
      <c r="X1636" s="77"/>
      <c r="Y1636" s="76"/>
      <c r="Z1636" s="76"/>
      <c r="AA1636" s="76"/>
      <c r="AB1636" s="76"/>
      <c r="AC1636" s="76"/>
      <c r="AD1636" s="76"/>
      <c r="AE1636" s="76"/>
      <c r="AF1636" s="76"/>
      <c r="AG1636" s="76"/>
      <c r="AH1636" s="76"/>
      <c r="AI1636" s="76"/>
      <c r="AJ1636" s="76"/>
      <c r="AK1636" s="76"/>
      <c r="AL1636" s="77"/>
      <c r="AM1636" s="76"/>
      <c r="AN1636" s="76"/>
    </row>
    <row r="1637" spans="1:40" ht="15">
      <c r="A1637" s="83" t="e">
        <f>IF(#REF!&lt;&gt;#REF!,1,A1636+1)</f>
        <v>#REF!</v>
      </c>
      <c r="O1637" s="79"/>
      <c r="P1637" s="79"/>
      <c r="Q1637" s="76"/>
      <c r="R1637" s="77"/>
      <c r="S1637" s="76"/>
      <c r="T1637" s="77"/>
      <c r="U1637" s="76"/>
      <c r="V1637" s="77"/>
      <c r="W1637" s="76"/>
      <c r="X1637" s="77"/>
      <c r="Y1637" s="76"/>
      <c r="Z1637" s="76"/>
      <c r="AA1637" s="76"/>
      <c r="AB1637" s="76"/>
      <c r="AC1637" s="76"/>
      <c r="AD1637" s="76"/>
      <c r="AE1637" s="76"/>
      <c r="AF1637" s="76"/>
      <c r="AG1637" s="76"/>
      <c r="AH1637" s="76"/>
      <c r="AI1637" s="76"/>
      <c r="AJ1637" s="76"/>
      <c r="AK1637" s="76"/>
      <c r="AL1637" s="77"/>
      <c r="AM1637" s="76"/>
      <c r="AN1637" s="76"/>
    </row>
    <row r="1638" spans="1:40" ht="15">
      <c r="A1638" s="83" t="e">
        <f>IF(#REF!&lt;&gt;#REF!,1,A1637+1)</f>
        <v>#REF!</v>
      </c>
      <c r="O1638" s="79"/>
      <c r="P1638" s="79"/>
      <c r="Q1638" s="76"/>
      <c r="R1638" s="77"/>
      <c r="S1638" s="76"/>
      <c r="T1638" s="77"/>
      <c r="U1638" s="76"/>
      <c r="V1638" s="77"/>
      <c r="W1638" s="76"/>
      <c r="X1638" s="77"/>
      <c r="Y1638" s="76"/>
      <c r="Z1638" s="76"/>
      <c r="AA1638" s="76"/>
      <c r="AB1638" s="76"/>
      <c r="AC1638" s="76"/>
      <c r="AD1638" s="76"/>
      <c r="AE1638" s="76"/>
      <c r="AF1638" s="76"/>
      <c r="AG1638" s="76"/>
      <c r="AH1638" s="76"/>
      <c r="AI1638" s="76"/>
      <c r="AJ1638" s="76"/>
      <c r="AK1638" s="76"/>
      <c r="AL1638" s="77"/>
      <c r="AM1638" s="76"/>
      <c r="AN1638" s="76"/>
    </row>
    <row r="1639" spans="1:40" ht="15">
      <c r="A1639" s="83" t="e">
        <f>IF(#REF!&lt;&gt;#REF!,1,A1638+1)</f>
        <v>#REF!</v>
      </c>
      <c r="O1639" s="79"/>
      <c r="P1639" s="79"/>
      <c r="Q1639" s="76"/>
      <c r="R1639" s="77"/>
      <c r="S1639" s="76"/>
      <c r="T1639" s="77"/>
      <c r="U1639" s="76"/>
      <c r="V1639" s="77"/>
      <c r="W1639" s="76"/>
      <c r="X1639" s="77"/>
      <c r="Y1639" s="76"/>
      <c r="Z1639" s="76"/>
      <c r="AA1639" s="76"/>
      <c r="AB1639" s="76"/>
      <c r="AC1639" s="76"/>
      <c r="AD1639" s="76"/>
      <c r="AE1639" s="76"/>
      <c r="AF1639" s="76"/>
      <c r="AG1639" s="76"/>
      <c r="AH1639" s="76"/>
      <c r="AI1639" s="76"/>
      <c r="AJ1639" s="76"/>
      <c r="AK1639" s="76"/>
      <c r="AL1639" s="77"/>
      <c r="AM1639" s="76"/>
      <c r="AN1639" s="76"/>
    </row>
    <row r="1640" spans="1:40" ht="15">
      <c r="A1640" s="83" t="e">
        <f>IF(#REF!&lt;&gt;#REF!,1,A1639+1)</f>
        <v>#REF!</v>
      </c>
      <c r="O1640" s="79"/>
      <c r="P1640" s="79"/>
      <c r="Q1640" s="76"/>
      <c r="R1640" s="77"/>
      <c r="S1640" s="76"/>
      <c r="T1640" s="77"/>
      <c r="U1640" s="76"/>
      <c r="V1640" s="77"/>
      <c r="W1640" s="76"/>
      <c r="X1640" s="77"/>
      <c r="Y1640" s="76"/>
      <c r="Z1640" s="76"/>
      <c r="AA1640" s="76"/>
      <c r="AB1640" s="76"/>
      <c r="AC1640" s="76"/>
      <c r="AD1640" s="76"/>
      <c r="AE1640" s="76"/>
      <c r="AF1640" s="76"/>
      <c r="AG1640" s="76"/>
      <c r="AH1640" s="76"/>
      <c r="AI1640" s="76"/>
      <c r="AJ1640" s="76"/>
      <c r="AK1640" s="76"/>
      <c r="AL1640" s="77"/>
      <c r="AM1640" s="76"/>
      <c r="AN1640" s="76"/>
    </row>
    <row r="1641" spans="1:40" ht="15">
      <c r="A1641" s="83" t="e">
        <f>IF(#REF!&lt;&gt;#REF!,1,A1640+1)</f>
        <v>#REF!</v>
      </c>
      <c r="O1641" s="79"/>
      <c r="P1641" s="79"/>
      <c r="Q1641" s="76"/>
      <c r="R1641" s="77"/>
      <c r="S1641" s="76"/>
      <c r="T1641" s="77"/>
      <c r="U1641" s="76"/>
      <c r="V1641" s="77"/>
      <c r="W1641" s="76"/>
      <c r="X1641" s="77"/>
      <c r="Y1641" s="76"/>
      <c r="Z1641" s="76"/>
      <c r="AA1641" s="76"/>
      <c r="AB1641" s="76"/>
      <c r="AC1641" s="76"/>
      <c r="AD1641" s="76"/>
      <c r="AE1641" s="76"/>
      <c r="AF1641" s="76"/>
      <c r="AG1641" s="76"/>
      <c r="AH1641" s="76"/>
      <c r="AI1641" s="76"/>
      <c r="AJ1641" s="76"/>
      <c r="AK1641" s="76"/>
      <c r="AL1641" s="77"/>
      <c r="AM1641" s="76"/>
      <c r="AN1641" s="76"/>
    </row>
    <row r="1642" spans="1:40" ht="15">
      <c r="A1642" s="83" t="e">
        <f>IF(#REF!&lt;&gt;#REF!,1,A1641+1)</f>
        <v>#REF!</v>
      </c>
      <c r="O1642" s="79"/>
      <c r="P1642" s="79"/>
      <c r="Q1642" s="76"/>
      <c r="R1642" s="77"/>
      <c r="S1642" s="76"/>
      <c r="T1642" s="77"/>
      <c r="U1642" s="76"/>
      <c r="V1642" s="77"/>
      <c r="W1642" s="76"/>
      <c r="X1642" s="77"/>
      <c r="Y1642" s="76"/>
      <c r="Z1642" s="76"/>
      <c r="AA1642" s="76"/>
      <c r="AB1642" s="76"/>
      <c r="AC1642" s="76"/>
      <c r="AD1642" s="76"/>
      <c r="AE1642" s="76"/>
      <c r="AF1642" s="76"/>
      <c r="AG1642" s="76"/>
      <c r="AH1642" s="76"/>
      <c r="AI1642" s="76"/>
      <c r="AJ1642" s="76"/>
      <c r="AK1642" s="76"/>
      <c r="AL1642" s="77"/>
      <c r="AM1642" s="76"/>
      <c r="AN1642" s="76"/>
    </row>
    <row r="1643" spans="1:40" ht="15">
      <c r="A1643" s="83" t="e">
        <f>IF(#REF!&lt;&gt;#REF!,1,A1642+1)</f>
        <v>#REF!</v>
      </c>
      <c r="O1643" s="79"/>
      <c r="P1643" s="79"/>
      <c r="Q1643" s="76"/>
      <c r="R1643" s="77"/>
      <c r="S1643" s="76"/>
      <c r="T1643" s="77"/>
      <c r="U1643" s="76"/>
      <c r="V1643" s="77"/>
      <c r="W1643" s="76"/>
      <c r="X1643" s="77"/>
      <c r="Y1643" s="76"/>
      <c r="Z1643" s="76"/>
      <c r="AA1643" s="76"/>
      <c r="AB1643" s="76"/>
      <c r="AC1643" s="76"/>
      <c r="AD1643" s="76"/>
      <c r="AE1643" s="76"/>
      <c r="AF1643" s="76"/>
      <c r="AG1643" s="76"/>
      <c r="AH1643" s="76"/>
      <c r="AI1643" s="76"/>
      <c r="AJ1643" s="76"/>
      <c r="AK1643" s="76"/>
      <c r="AL1643" s="77"/>
      <c r="AM1643" s="76"/>
      <c r="AN1643" s="76"/>
    </row>
    <row r="1644" spans="1:40" ht="15">
      <c r="A1644" s="83" t="e">
        <f>IF(#REF!&lt;&gt;#REF!,1,A1643+1)</f>
        <v>#REF!</v>
      </c>
      <c r="O1644" s="79"/>
      <c r="P1644" s="79"/>
      <c r="Q1644" s="76"/>
      <c r="R1644" s="77"/>
      <c r="S1644" s="76"/>
      <c r="T1644" s="77"/>
      <c r="U1644" s="76"/>
      <c r="V1644" s="77"/>
      <c r="W1644" s="76"/>
      <c r="X1644" s="77"/>
      <c r="Y1644" s="76"/>
      <c r="Z1644" s="76"/>
      <c r="AA1644" s="76"/>
      <c r="AB1644" s="76"/>
      <c r="AC1644" s="76"/>
      <c r="AD1644" s="76"/>
      <c r="AE1644" s="76"/>
      <c r="AF1644" s="76"/>
      <c r="AG1644" s="76"/>
      <c r="AH1644" s="76"/>
      <c r="AI1644" s="76"/>
      <c r="AJ1644" s="76"/>
      <c r="AK1644" s="76"/>
      <c r="AL1644" s="77"/>
      <c r="AM1644" s="76"/>
      <c r="AN1644" s="76"/>
    </row>
    <row r="1645" spans="1:40" ht="15">
      <c r="A1645" s="83" t="e">
        <f>IF(#REF!&lt;&gt;#REF!,1,A1644+1)</f>
        <v>#REF!</v>
      </c>
      <c r="O1645" s="79"/>
      <c r="P1645" s="79"/>
      <c r="Q1645" s="76"/>
      <c r="R1645" s="77"/>
      <c r="S1645" s="76"/>
      <c r="T1645" s="77"/>
      <c r="U1645" s="76"/>
      <c r="V1645" s="77"/>
      <c r="W1645" s="76"/>
      <c r="X1645" s="77"/>
      <c r="Y1645" s="76"/>
      <c r="Z1645" s="76"/>
      <c r="AA1645" s="76"/>
      <c r="AB1645" s="76"/>
      <c r="AC1645" s="76"/>
      <c r="AD1645" s="76"/>
      <c r="AE1645" s="76"/>
      <c r="AF1645" s="76"/>
      <c r="AG1645" s="76"/>
      <c r="AH1645" s="76"/>
      <c r="AI1645" s="76"/>
      <c r="AJ1645" s="76"/>
      <c r="AK1645" s="76"/>
      <c r="AL1645" s="77"/>
      <c r="AM1645" s="76"/>
      <c r="AN1645" s="76"/>
    </row>
    <row r="1646" spans="1:40" ht="15">
      <c r="A1646" s="83" t="e">
        <f>IF(#REF!&lt;&gt;#REF!,1,A1645+1)</f>
        <v>#REF!</v>
      </c>
      <c r="O1646" s="79"/>
      <c r="P1646" s="79"/>
      <c r="Q1646" s="76"/>
      <c r="R1646" s="77"/>
      <c r="S1646" s="76"/>
      <c r="T1646" s="77"/>
      <c r="U1646" s="76"/>
      <c r="V1646" s="77"/>
      <c r="W1646" s="76"/>
      <c r="X1646" s="77"/>
      <c r="Y1646" s="76"/>
      <c r="Z1646" s="76"/>
      <c r="AA1646" s="76"/>
      <c r="AB1646" s="76"/>
      <c r="AC1646" s="76"/>
      <c r="AD1646" s="76"/>
      <c r="AE1646" s="76"/>
      <c r="AF1646" s="76"/>
      <c r="AG1646" s="76"/>
      <c r="AH1646" s="76"/>
      <c r="AI1646" s="76"/>
      <c r="AJ1646" s="76"/>
      <c r="AK1646" s="76"/>
      <c r="AL1646" s="77"/>
      <c r="AM1646" s="76"/>
      <c r="AN1646" s="76"/>
    </row>
    <row r="1647" spans="1:40" ht="15">
      <c r="A1647" s="83" t="e">
        <f>IF(#REF!&lt;&gt;#REF!,1,A1646+1)</f>
        <v>#REF!</v>
      </c>
      <c r="O1647" s="79"/>
      <c r="P1647" s="79"/>
      <c r="Q1647" s="76"/>
      <c r="R1647" s="77"/>
      <c r="S1647" s="76"/>
      <c r="T1647" s="77"/>
      <c r="U1647" s="76"/>
      <c r="V1647" s="77"/>
      <c r="W1647" s="76"/>
      <c r="X1647" s="77"/>
      <c r="Y1647" s="76"/>
      <c r="Z1647" s="76"/>
      <c r="AA1647" s="76"/>
      <c r="AB1647" s="76"/>
      <c r="AC1647" s="76"/>
      <c r="AD1647" s="76"/>
      <c r="AE1647" s="76"/>
      <c r="AF1647" s="76"/>
      <c r="AG1647" s="76"/>
      <c r="AH1647" s="76"/>
      <c r="AI1647" s="76"/>
      <c r="AJ1647" s="76"/>
      <c r="AK1647" s="76"/>
      <c r="AL1647" s="77"/>
      <c r="AM1647" s="76"/>
      <c r="AN1647" s="76"/>
    </row>
    <row r="1648" spans="1:40" ht="15">
      <c r="A1648" s="83" t="e">
        <f>IF(#REF!&lt;&gt;#REF!,1,A1647+1)</f>
        <v>#REF!</v>
      </c>
      <c r="O1648" s="79"/>
      <c r="P1648" s="79"/>
      <c r="Q1648" s="76"/>
      <c r="R1648" s="77"/>
      <c r="S1648" s="76"/>
      <c r="T1648" s="77"/>
      <c r="U1648" s="76"/>
      <c r="V1648" s="77"/>
      <c r="W1648" s="76"/>
      <c r="X1648" s="77"/>
      <c r="Y1648" s="76"/>
      <c r="Z1648" s="76"/>
      <c r="AA1648" s="76"/>
      <c r="AB1648" s="76"/>
      <c r="AC1648" s="76"/>
      <c r="AD1648" s="76"/>
      <c r="AE1648" s="76"/>
      <c r="AF1648" s="76"/>
      <c r="AG1648" s="76"/>
      <c r="AH1648" s="76"/>
      <c r="AI1648" s="76"/>
      <c r="AJ1648" s="76"/>
      <c r="AK1648" s="76"/>
      <c r="AL1648" s="77"/>
      <c r="AM1648" s="76"/>
      <c r="AN1648" s="76"/>
    </row>
    <row r="1649" spans="1:40" ht="15">
      <c r="A1649" s="83" t="e">
        <f>IF(#REF!&lt;&gt;#REF!,1,A1648+1)</f>
        <v>#REF!</v>
      </c>
      <c r="O1649" s="79"/>
      <c r="P1649" s="79"/>
      <c r="Q1649" s="76"/>
      <c r="R1649" s="77"/>
      <c r="S1649" s="76"/>
      <c r="T1649" s="77"/>
      <c r="U1649" s="76"/>
      <c r="V1649" s="77"/>
      <c r="W1649" s="76"/>
      <c r="X1649" s="77"/>
      <c r="Y1649" s="76"/>
      <c r="Z1649" s="76"/>
      <c r="AA1649" s="76"/>
      <c r="AB1649" s="76"/>
      <c r="AC1649" s="76"/>
      <c r="AD1649" s="76"/>
      <c r="AE1649" s="76"/>
      <c r="AF1649" s="76"/>
      <c r="AG1649" s="76"/>
      <c r="AH1649" s="76"/>
      <c r="AI1649" s="76"/>
      <c r="AJ1649" s="76"/>
      <c r="AK1649" s="76"/>
      <c r="AL1649" s="77"/>
      <c r="AM1649" s="76"/>
      <c r="AN1649" s="76"/>
    </row>
    <row r="1650" spans="1:40" ht="15">
      <c r="A1650" s="83" t="e">
        <f>IF(#REF!&lt;&gt;#REF!,1,A1649+1)</f>
        <v>#REF!</v>
      </c>
      <c r="O1650" s="79"/>
      <c r="P1650" s="79"/>
      <c r="Q1650" s="76"/>
      <c r="R1650" s="77"/>
      <c r="S1650" s="76"/>
      <c r="T1650" s="77"/>
      <c r="U1650" s="76"/>
      <c r="V1650" s="77"/>
      <c r="W1650" s="76"/>
      <c r="X1650" s="77"/>
      <c r="Y1650" s="76"/>
      <c r="Z1650" s="76"/>
      <c r="AA1650" s="76"/>
      <c r="AB1650" s="76"/>
      <c r="AC1650" s="76"/>
      <c r="AD1650" s="76"/>
      <c r="AE1650" s="76"/>
      <c r="AF1650" s="76"/>
      <c r="AG1650" s="76"/>
      <c r="AH1650" s="76"/>
      <c r="AI1650" s="76"/>
      <c r="AJ1650" s="76"/>
      <c r="AK1650" s="76"/>
      <c r="AL1650" s="77"/>
      <c r="AM1650" s="76"/>
      <c r="AN1650" s="76"/>
    </row>
    <row r="1651" spans="1:40" ht="15">
      <c r="A1651" s="83" t="e">
        <f>IF(#REF!&lt;&gt;#REF!,1,A1650+1)</f>
        <v>#REF!</v>
      </c>
      <c r="O1651" s="79"/>
      <c r="P1651" s="79"/>
      <c r="Q1651" s="76"/>
      <c r="R1651" s="77"/>
      <c r="S1651" s="76"/>
      <c r="T1651" s="77"/>
      <c r="U1651" s="76"/>
      <c r="V1651" s="77"/>
      <c r="W1651" s="76"/>
      <c r="X1651" s="77"/>
      <c r="Y1651" s="76"/>
      <c r="Z1651" s="76"/>
      <c r="AA1651" s="76"/>
      <c r="AB1651" s="76"/>
      <c r="AC1651" s="76"/>
      <c r="AD1651" s="76"/>
      <c r="AE1651" s="76"/>
      <c r="AF1651" s="76"/>
      <c r="AG1651" s="76"/>
      <c r="AH1651" s="76"/>
      <c r="AI1651" s="76"/>
      <c r="AJ1651" s="76"/>
      <c r="AK1651" s="76"/>
      <c r="AL1651" s="77"/>
      <c r="AM1651" s="76"/>
      <c r="AN1651" s="76"/>
    </row>
    <row r="1652" spans="1:40" ht="15">
      <c r="A1652" s="83" t="e">
        <f>IF(#REF!&lt;&gt;#REF!,1,A1651+1)</f>
        <v>#REF!</v>
      </c>
      <c r="O1652" s="79"/>
      <c r="P1652" s="79"/>
      <c r="Q1652" s="76"/>
      <c r="R1652" s="77"/>
      <c r="S1652" s="76"/>
      <c r="T1652" s="77"/>
      <c r="U1652" s="76"/>
      <c r="V1652" s="77"/>
      <c r="W1652" s="76"/>
      <c r="X1652" s="77"/>
      <c r="Y1652" s="76"/>
      <c r="Z1652" s="76"/>
      <c r="AA1652" s="76"/>
      <c r="AB1652" s="76"/>
      <c r="AC1652" s="76"/>
      <c r="AD1652" s="76"/>
      <c r="AE1652" s="76"/>
      <c r="AF1652" s="76"/>
      <c r="AG1652" s="76"/>
      <c r="AH1652" s="76"/>
      <c r="AI1652" s="76"/>
      <c r="AJ1652" s="76"/>
      <c r="AK1652" s="76"/>
      <c r="AL1652" s="77"/>
      <c r="AM1652" s="76"/>
      <c r="AN1652" s="76"/>
    </row>
    <row r="1653" spans="1:40" ht="15">
      <c r="A1653" s="83" t="e">
        <f>IF(#REF!&lt;&gt;#REF!,1,A1652+1)</f>
        <v>#REF!</v>
      </c>
      <c r="O1653" s="79"/>
      <c r="P1653" s="79"/>
      <c r="Q1653" s="76"/>
      <c r="R1653" s="77"/>
      <c r="S1653" s="76"/>
      <c r="T1653" s="77"/>
      <c r="U1653" s="76"/>
      <c r="V1653" s="77"/>
      <c r="W1653" s="76"/>
      <c r="X1653" s="77"/>
      <c r="Y1653" s="76"/>
      <c r="Z1653" s="76"/>
      <c r="AA1653" s="76"/>
      <c r="AB1653" s="76"/>
      <c r="AC1653" s="76"/>
      <c r="AD1653" s="76"/>
      <c r="AE1653" s="76"/>
      <c r="AF1653" s="76"/>
      <c r="AG1653" s="76"/>
      <c r="AH1653" s="76"/>
      <c r="AI1653" s="76"/>
      <c r="AJ1653" s="76"/>
      <c r="AK1653" s="76"/>
      <c r="AL1653" s="77"/>
      <c r="AM1653" s="76"/>
      <c r="AN1653" s="76"/>
    </row>
    <row r="1654" spans="1:40" ht="15">
      <c r="A1654" s="83" t="e">
        <f>IF(#REF!&lt;&gt;#REF!,1,A1653+1)</f>
        <v>#REF!</v>
      </c>
      <c r="O1654" s="79"/>
      <c r="P1654" s="79"/>
      <c r="Q1654" s="76"/>
      <c r="R1654" s="77"/>
      <c r="S1654" s="76"/>
      <c r="T1654" s="77"/>
      <c r="U1654" s="76"/>
      <c r="V1654" s="77"/>
      <c r="W1654" s="76"/>
      <c r="X1654" s="77"/>
      <c r="Y1654" s="76"/>
      <c r="Z1654" s="76"/>
      <c r="AA1654" s="76"/>
      <c r="AB1654" s="76"/>
      <c r="AC1654" s="76"/>
      <c r="AD1654" s="76"/>
      <c r="AE1654" s="76"/>
      <c r="AF1654" s="76"/>
      <c r="AG1654" s="76"/>
      <c r="AH1654" s="76"/>
      <c r="AI1654" s="76"/>
      <c r="AJ1654" s="76"/>
      <c r="AK1654" s="76"/>
      <c r="AL1654" s="77"/>
      <c r="AM1654" s="76"/>
      <c r="AN1654" s="76"/>
    </row>
    <row r="1655" spans="1:40" ht="15">
      <c r="A1655" s="83" t="e">
        <f>IF(#REF!&lt;&gt;#REF!,1,A1654+1)</f>
        <v>#REF!</v>
      </c>
      <c r="O1655" s="79"/>
      <c r="P1655" s="79"/>
      <c r="Q1655" s="76"/>
      <c r="R1655" s="77"/>
      <c r="S1655" s="76"/>
      <c r="T1655" s="77"/>
      <c r="U1655" s="76"/>
      <c r="V1655" s="77"/>
      <c r="W1655" s="76"/>
      <c r="X1655" s="77"/>
      <c r="Y1655" s="76"/>
      <c r="Z1655" s="76"/>
      <c r="AA1655" s="76"/>
      <c r="AB1655" s="76"/>
      <c r="AC1655" s="76"/>
      <c r="AD1655" s="76"/>
      <c r="AE1655" s="76"/>
      <c r="AF1655" s="76"/>
      <c r="AG1655" s="76"/>
      <c r="AH1655" s="76"/>
      <c r="AI1655" s="76"/>
      <c r="AJ1655" s="76"/>
      <c r="AK1655" s="76"/>
      <c r="AL1655" s="77"/>
      <c r="AM1655" s="76"/>
      <c r="AN1655" s="76"/>
    </row>
    <row r="1656" spans="1:40" ht="15">
      <c r="A1656" s="83" t="e">
        <f>IF(#REF!&lt;&gt;#REF!,1,A1655+1)</f>
        <v>#REF!</v>
      </c>
      <c r="O1656" s="79"/>
      <c r="P1656" s="79"/>
      <c r="Q1656" s="76"/>
      <c r="R1656" s="77"/>
      <c r="S1656" s="76"/>
      <c r="T1656" s="77"/>
      <c r="U1656" s="76"/>
      <c r="V1656" s="77"/>
      <c r="W1656" s="76"/>
      <c r="X1656" s="77"/>
      <c r="Y1656" s="76"/>
      <c r="Z1656" s="76"/>
      <c r="AA1656" s="76"/>
      <c r="AB1656" s="76"/>
      <c r="AC1656" s="76"/>
      <c r="AD1656" s="76"/>
      <c r="AE1656" s="76"/>
      <c r="AF1656" s="76"/>
      <c r="AG1656" s="76"/>
      <c r="AH1656" s="76"/>
      <c r="AI1656" s="76"/>
      <c r="AJ1656" s="76"/>
      <c r="AK1656" s="76"/>
      <c r="AL1656" s="77"/>
      <c r="AM1656" s="76"/>
      <c r="AN1656" s="76"/>
    </row>
    <row r="1657" spans="1:40" ht="15">
      <c r="A1657" s="83" t="e">
        <f>IF(#REF!&lt;&gt;#REF!,1,A1656+1)</f>
        <v>#REF!</v>
      </c>
      <c r="O1657" s="79"/>
      <c r="P1657" s="79"/>
      <c r="Q1657" s="76"/>
      <c r="R1657" s="77"/>
      <c r="S1657" s="76"/>
      <c r="T1657" s="77"/>
      <c r="U1657" s="76"/>
      <c r="V1657" s="77"/>
      <c r="W1657" s="76"/>
      <c r="X1657" s="77"/>
      <c r="Y1657" s="76"/>
      <c r="Z1657" s="76"/>
      <c r="AA1657" s="76"/>
      <c r="AB1657" s="76"/>
      <c r="AC1657" s="76"/>
      <c r="AD1657" s="76"/>
      <c r="AE1657" s="76"/>
      <c r="AF1657" s="76"/>
      <c r="AG1657" s="76"/>
      <c r="AH1657" s="76"/>
      <c r="AI1657" s="76"/>
      <c r="AJ1657" s="76"/>
      <c r="AK1657" s="76"/>
      <c r="AL1657" s="77"/>
      <c r="AM1657" s="76"/>
      <c r="AN1657" s="76"/>
    </row>
    <row r="1658" spans="1:40" ht="15">
      <c r="A1658" s="83" t="e">
        <f>IF(#REF!&lt;&gt;#REF!,1,A1657+1)</f>
        <v>#REF!</v>
      </c>
      <c r="O1658" s="79"/>
      <c r="P1658" s="79"/>
      <c r="Q1658" s="76"/>
      <c r="R1658" s="77"/>
      <c r="S1658" s="76"/>
      <c r="T1658" s="77"/>
      <c r="U1658" s="76"/>
      <c r="V1658" s="77"/>
      <c r="W1658" s="76"/>
      <c r="X1658" s="77"/>
      <c r="Y1658" s="76"/>
      <c r="Z1658" s="76"/>
      <c r="AA1658" s="76"/>
      <c r="AB1658" s="76"/>
      <c r="AC1658" s="76"/>
      <c r="AD1658" s="76"/>
      <c r="AE1658" s="76"/>
      <c r="AF1658" s="76"/>
      <c r="AG1658" s="76"/>
      <c r="AH1658" s="76"/>
      <c r="AI1658" s="76"/>
      <c r="AJ1658" s="76"/>
      <c r="AK1658" s="76"/>
      <c r="AL1658" s="77"/>
      <c r="AM1658" s="76"/>
      <c r="AN1658" s="76"/>
    </row>
    <row r="1659" spans="1:40" ht="15">
      <c r="A1659" s="83" t="e">
        <f>IF(#REF!&lt;&gt;#REF!,1,A1658+1)</f>
        <v>#REF!</v>
      </c>
      <c r="O1659" s="79"/>
      <c r="P1659" s="79"/>
      <c r="Q1659" s="76"/>
      <c r="R1659" s="77"/>
      <c r="S1659" s="76"/>
      <c r="T1659" s="77"/>
      <c r="U1659" s="76"/>
      <c r="V1659" s="77"/>
      <c r="W1659" s="76"/>
      <c r="X1659" s="77"/>
      <c r="Y1659" s="76"/>
      <c r="Z1659" s="76"/>
      <c r="AA1659" s="76"/>
      <c r="AB1659" s="76"/>
      <c r="AC1659" s="76"/>
      <c r="AD1659" s="76"/>
      <c r="AE1659" s="76"/>
      <c r="AF1659" s="76"/>
      <c r="AG1659" s="76"/>
      <c r="AH1659" s="76"/>
      <c r="AI1659" s="76"/>
      <c r="AJ1659" s="76"/>
      <c r="AK1659" s="76"/>
      <c r="AL1659" s="77"/>
      <c r="AM1659" s="76"/>
      <c r="AN1659" s="76"/>
    </row>
    <row r="1660" spans="1:40" ht="15">
      <c r="A1660" s="83" t="e">
        <f>IF(#REF!&lt;&gt;#REF!,1,A1659+1)</f>
        <v>#REF!</v>
      </c>
      <c r="O1660" s="79"/>
      <c r="P1660" s="79"/>
      <c r="Q1660" s="76"/>
      <c r="R1660" s="77"/>
      <c r="S1660" s="76"/>
      <c r="T1660" s="77"/>
      <c r="U1660" s="76"/>
      <c r="V1660" s="77"/>
      <c r="W1660" s="76"/>
      <c r="X1660" s="77"/>
      <c r="Y1660" s="76"/>
      <c r="Z1660" s="76"/>
      <c r="AA1660" s="76"/>
      <c r="AB1660" s="76"/>
      <c r="AC1660" s="76"/>
      <c r="AD1660" s="76"/>
      <c r="AE1660" s="76"/>
      <c r="AF1660" s="76"/>
      <c r="AG1660" s="76"/>
      <c r="AH1660" s="76"/>
      <c r="AI1660" s="76"/>
      <c r="AJ1660" s="76"/>
      <c r="AK1660" s="76"/>
      <c r="AL1660" s="77"/>
      <c r="AM1660" s="76"/>
      <c r="AN1660" s="76"/>
    </row>
    <row r="1661" spans="1:40" ht="15">
      <c r="A1661" s="83" t="e">
        <f>IF(#REF!&lt;&gt;#REF!,1,A1660+1)</f>
        <v>#REF!</v>
      </c>
      <c r="O1661" s="79"/>
      <c r="P1661" s="79"/>
      <c r="Q1661" s="76"/>
      <c r="R1661" s="77"/>
      <c r="S1661" s="76"/>
      <c r="T1661" s="77"/>
      <c r="U1661" s="76"/>
      <c r="V1661" s="77"/>
      <c r="W1661" s="76"/>
      <c r="X1661" s="77"/>
      <c r="Y1661" s="76"/>
      <c r="Z1661" s="76"/>
      <c r="AA1661" s="76"/>
      <c r="AB1661" s="76"/>
      <c r="AC1661" s="76"/>
      <c r="AD1661" s="76"/>
      <c r="AE1661" s="76"/>
      <c r="AF1661" s="76"/>
      <c r="AG1661" s="76"/>
      <c r="AH1661" s="76"/>
      <c r="AI1661" s="76"/>
      <c r="AJ1661" s="76"/>
      <c r="AK1661" s="76"/>
      <c r="AL1661" s="77"/>
      <c r="AM1661" s="76"/>
      <c r="AN1661" s="76"/>
    </row>
    <row r="1662" spans="1:40" ht="15">
      <c r="A1662" s="83" t="e">
        <f>IF(#REF!&lt;&gt;#REF!,1,A1661+1)</f>
        <v>#REF!</v>
      </c>
      <c r="O1662" s="79"/>
      <c r="P1662" s="79"/>
      <c r="Q1662" s="76"/>
      <c r="R1662" s="77"/>
      <c r="S1662" s="76"/>
      <c r="T1662" s="77"/>
      <c r="U1662" s="76"/>
      <c r="V1662" s="77"/>
      <c r="W1662" s="76"/>
      <c r="X1662" s="77"/>
      <c r="Y1662" s="76"/>
      <c r="Z1662" s="76"/>
      <c r="AA1662" s="76"/>
      <c r="AB1662" s="76"/>
      <c r="AC1662" s="76"/>
      <c r="AD1662" s="76"/>
      <c r="AE1662" s="76"/>
      <c r="AF1662" s="76"/>
      <c r="AG1662" s="76"/>
      <c r="AH1662" s="76"/>
      <c r="AI1662" s="76"/>
      <c r="AJ1662" s="76"/>
      <c r="AK1662" s="76"/>
      <c r="AL1662" s="77"/>
      <c r="AM1662" s="76"/>
      <c r="AN1662" s="76"/>
    </row>
    <row r="1663" spans="1:40" ht="15">
      <c r="A1663" s="83" t="e">
        <f>IF(#REF!&lt;&gt;#REF!,1,A1662+1)</f>
        <v>#REF!</v>
      </c>
      <c r="O1663" s="79"/>
      <c r="P1663" s="79"/>
      <c r="Q1663" s="76"/>
      <c r="R1663" s="77"/>
      <c r="S1663" s="76"/>
      <c r="T1663" s="77"/>
      <c r="U1663" s="76"/>
      <c r="V1663" s="77"/>
      <c r="W1663" s="76"/>
      <c r="X1663" s="77"/>
      <c r="Y1663" s="76"/>
      <c r="Z1663" s="76"/>
      <c r="AA1663" s="76"/>
      <c r="AB1663" s="76"/>
      <c r="AC1663" s="76"/>
      <c r="AD1663" s="76"/>
      <c r="AE1663" s="76"/>
      <c r="AF1663" s="76"/>
      <c r="AG1663" s="76"/>
      <c r="AH1663" s="76"/>
      <c r="AI1663" s="76"/>
      <c r="AJ1663" s="76"/>
      <c r="AK1663" s="76"/>
      <c r="AL1663" s="77"/>
      <c r="AM1663" s="76"/>
      <c r="AN1663" s="76"/>
    </row>
    <row r="1664" spans="1:40" ht="15">
      <c r="A1664" s="83" t="e">
        <f>IF(#REF!&lt;&gt;#REF!,1,A1663+1)</f>
        <v>#REF!</v>
      </c>
      <c r="O1664" s="79"/>
      <c r="P1664" s="79"/>
      <c r="Q1664" s="76"/>
      <c r="R1664" s="77"/>
      <c r="S1664" s="76"/>
      <c r="T1664" s="77"/>
      <c r="U1664" s="76"/>
      <c r="V1664" s="77"/>
      <c r="W1664" s="76"/>
      <c r="X1664" s="77"/>
      <c r="Y1664" s="76"/>
      <c r="Z1664" s="76"/>
      <c r="AA1664" s="76"/>
      <c r="AB1664" s="76"/>
      <c r="AC1664" s="76"/>
      <c r="AD1664" s="76"/>
      <c r="AE1664" s="76"/>
      <c r="AF1664" s="76"/>
      <c r="AG1664" s="76"/>
      <c r="AH1664" s="76"/>
      <c r="AI1664" s="76"/>
      <c r="AJ1664" s="76"/>
      <c r="AK1664" s="76"/>
      <c r="AL1664" s="77"/>
      <c r="AM1664" s="76"/>
      <c r="AN1664" s="76"/>
    </row>
    <row r="1665" spans="1:40" ht="15">
      <c r="A1665" s="83" t="e">
        <f>IF(#REF!&lt;&gt;#REF!,1,A1664+1)</f>
        <v>#REF!</v>
      </c>
      <c r="O1665" s="79"/>
      <c r="P1665" s="79"/>
      <c r="Q1665" s="76"/>
      <c r="R1665" s="77"/>
      <c r="S1665" s="76"/>
      <c r="T1665" s="77"/>
      <c r="U1665" s="76"/>
      <c r="V1665" s="77"/>
      <c r="W1665" s="76"/>
      <c r="X1665" s="77"/>
      <c r="Y1665" s="76"/>
      <c r="Z1665" s="76"/>
      <c r="AA1665" s="76"/>
      <c r="AB1665" s="76"/>
      <c r="AC1665" s="76"/>
      <c r="AD1665" s="76"/>
      <c r="AE1665" s="76"/>
      <c r="AF1665" s="76"/>
      <c r="AG1665" s="76"/>
      <c r="AH1665" s="76"/>
      <c r="AI1665" s="76"/>
      <c r="AJ1665" s="76"/>
      <c r="AK1665" s="76"/>
      <c r="AL1665" s="77"/>
      <c r="AM1665" s="76"/>
      <c r="AN1665" s="76"/>
    </row>
    <row r="1666" spans="1:40" ht="15">
      <c r="A1666" s="83" t="e">
        <f>IF(#REF!&lt;&gt;#REF!,1,A1665+1)</f>
        <v>#REF!</v>
      </c>
      <c r="O1666" s="79"/>
      <c r="P1666" s="79"/>
      <c r="Q1666" s="76"/>
      <c r="R1666" s="77"/>
      <c r="S1666" s="76"/>
      <c r="T1666" s="77"/>
      <c r="U1666" s="76"/>
      <c r="V1666" s="77"/>
      <c r="W1666" s="76"/>
      <c r="X1666" s="77"/>
      <c r="Y1666" s="76"/>
      <c r="Z1666" s="76"/>
      <c r="AA1666" s="76"/>
      <c r="AB1666" s="76"/>
      <c r="AC1666" s="76"/>
      <c r="AD1666" s="76"/>
      <c r="AE1666" s="76"/>
      <c r="AF1666" s="76"/>
      <c r="AG1666" s="76"/>
      <c r="AH1666" s="76"/>
      <c r="AI1666" s="76"/>
      <c r="AJ1666" s="76"/>
      <c r="AK1666" s="76"/>
      <c r="AL1666" s="77"/>
      <c r="AM1666" s="76"/>
      <c r="AN1666" s="76"/>
    </row>
    <row r="1667" spans="1:40" ht="15">
      <c r="A1667" s="83" t="e">
        <f>IF(#REF!&lt;&gt;#REF!,1,A1666+1)</f>
        <v>#REF!</v>
      </c>
      <c r="O1667" s="79"/>
      <c r="P1667" s="79"/>
      <c r="Q1667" s="76"/>
      <c r="R1667" s="77"/>
      <c r="S1667" s="76"/>
      <c r="T1667" s="77"/>
      <c r="U1667" s="76"/>
      <c r="V1667" s="77"/>
      <c r="W1667" s="76"/>
      <c r="X1667" s="77"/>
      <c r="Y1667" s="76"/>
      <c r="Z1667" s="76"/>
      <c r="AA1667" s="76"/>
      <c r="AB1667" s="76"/>
      <c r="AC1667" s="76"/>
      <c r="AD1667" s="76"/>
      <c r="AE1667" s="76"/>
      <c r="AF1667" s="76"/>
      <c r="AG1667" s="76"/>
      <c r="AH1667" s="76"/>
      <c r="AI1667" s="76"/>
      <c r="AJ1667" s="76"/>
      <c r="AK1667" s="76"/>
      <c r="AL1667" s="77"/>
      <c r="AM1667" s="76"/>
      <c r="AN1667" s="76"/>
    </row>
    <row r="1668" spans="1:40" ht="15">
      <c r="A1668" s="83" t="e">
        <f>IF(#REF!&lt;&gt;#REF!,1,A1667+1)</f>
        <v>#REF!</v>
      </c>
      <c r="O1668" s="79"/>
      <c r="P1668" s="79"/>
      <c r="Q1668" s="76"/>
      <c r="R1668" s="77"/>
      <c r="S1668" s="76"/>
      <c r="T1668" s="77"/>
      <c r="U1668" s="76"/>
      <c r="V1668" s="77"/>
      <c r="W1668" s="76"/>
      <c r="X1668" s="77"/>
      <c r="Y1668" s="76"/>
      <c r="Z1668" s="76"/>
      <c r="AA1668" s="76"/>
      <c r="AB1668" s="76"/>
      <c r="AC1668" s="76"/>
      <c r="AD1668" s="76"/>
      <c r="AE1668" s="76"/>
      <c r="AF1668" s="76"/>
      <c r="AG1668" s="76"/>
      <c r="AH1668" s="76"/>
      <c r="AI1668" s="76"/>
      <c r="AJ1668" s="76"/>
      <c r="AK1668" s="76"/>
      <c r="AL1668" s="77"/>
      <c r="AM1668" s="76"/>
      <c r="AN1668" s="76"/>
    </row>
    <row r="1669" spans="1:40" ht="15">
      <c r="A1669" s="83" t="e">
        <f>IF(#REF!&lt;&gt;#REF!,1,A1668+1)</f>
        <v>#REF!</v>
      </c>
      <c r="O1669" s="79"/>
      <c r="P1669" s="79"/>
      <c r="Q1669" s="76"/>
      <c r="R1669" s="77"/>
      <c r="S1669" s="76"/>
      <c r="T1669" s="77"/>
      <c r="U1669" s="76"/>
      <c r="V1669" s="77"/>
      <c r="W1669" s="76"/>
      <c r="X1669" s="77"/>
      <c r="Y1669" s="76"/>
      <c r="Z1669" s="76"/>
      <c r="AA1669" s="76"/>
      <c r="AB1669" s="76"/>
      <c r="AC1669" s="76"/>
      <c r="AD1669" s="76"/>
      <c r="AE1669" s="76"/>
      <c r="AF1669" s="76"/>
      <c r="AG1669" s="76"/>
      <c r="AH1669" s="76"/>
      <c r="AI1669" s="76"/>
      <c r="AJ1669" s="76"/>
      <c r="AK1669" s="76"/>
      <c r="AL1669" s="77"/>
      <c r="AM1669" s="76"/>
      <c r="AN1669" s="76"/>
    </row>
    <row r="1670" spans="1:40" ht="15">
      <c r="A1670" s="83" t="e">
        <f>IF(#REF!&lt;&gt;#REF!,1,A1669+1)</f>
        <v>#REF!</v>
      </c>
      <c r="O1670" s="79"/>
      <c r="P1670" s="79"/>
      <c r="Q1670" s="76"/>
      <c r="R1670" s="77"/>
      <c r="S1670" s="76"/>
      <c r="T1670" s="77"/>
      <c r="U1670" s="76"/>
      <c r="V1670" s="77"/>
      <c r="W1670" s="76"/>
      <c r="X1670" s="77"/>
      <c r="Y1670" s="76"/>
      <c r="Z1670" s="76"/>
      <c r="AA1670" s="76"/>
      <c r="AB1670" s="76"/>
      <c r="AC1670" s="76"/>
      <c r="AD1670" s="76"/>
      <c r="AE1670" s="76"/>
      <c r="AF1670" s="76"/>
      <c r="AG1670" s="76"/>
      <c r="AH1670" s="76"/>
      <c r="AI1670" s="76"/>
      <c r="AJ1670" s="76"/>
      <c r="AK1670" s="76"/>
      <c r="AL1670" s="77"/>
      <c r="AM1670" s="76"/>
      <c r="AN1670" s="76"/>
    </row>
    <row r="1671" spans="1:40" ht="15">
      <c r="A1671" s="83" t="e">
        <f>IF(#REF!&lt;&gt;#REF!,1,A1670+1)</f>
        <v>#REF!</v>
      </c>
      <c r="O1671" s="79"/>
      <c r="P1671" s="79"/>
      <c r="Q1671" s="76"/>
      <c r="R1671" s="77"/>
      <c r="S1671" s="76"/>
      <c r="T1671" s="77"/>
      <c r="U1671" s="76"/>
      <c r="V1671" s="77"/>
      <c r="W1671" s="76"/>
      <c r="X1671" s="77"/>
      <c r="Y1671" s="76"/>
      <c r="Z1671" s="76"/>
      <c r="AA1671" s="76"/>
      <c r="AB1671" s="76"/>
      <c r="AC1671" s="76"/>
      <c r="AD1671" s="76"/>
      <c r="AE1671" s="76"/>
      <c r="AF1671" s="76"/>
      <c r="AG1671" s="76"/>
      <c r="AH1671" s="76"/>
      <c r="AI1671" s="76"/>
      <c r="AJ1671" s="76"/>
      <c r="AK1671" s="76"/>
      <c r="AL1671" s="77"/>
      <c r="AM1671" s="76"/>
      <c r="AN1671" s="76"/>
    </row>
    <row r="1672" spans="1:40" ht="15">
      <c r="A1672" s="83" t="e">
        <f>IF(#REF!&lt;&gt;#REF!,1,A1671+1)</f>
        <v>#REF!</v>
      </c>
      <c r="O1672" s="79"/>
      <c r="P1672" s="79"/>
      <c r="Q1672" s="76"/>
      <c r="R1672" s="77"/>
      <c r="S1672" s="76"/>
      <c r="T1672" s="77"/>
      <c r="U1672" s="76"/>
      <c r="V1672" s="77"/>
      <c r="W1672" s="76"/>
      <c r="X1672" s="77"/>
      <c r="Y1672" s="76"/>
      <c r="Z1672" s="76"/>
      <c r="AA1672" s="76"/>
      <c r="AB1672" s="76"/>
      <c r="AC1672" s="76"/>
      <c r="AD1672" s="76"/>
      <c r="AE1672" s="76"/>
      <c r="AF1672" s="76"/>
      <c r="AG1672" s="76"/>
      <c r="AH1672" s="76"/>
      <c r="AI1672" s="76"/>
      <c r="AJ1672" s="76"/>
      <c r="AK1672" s="76"/>
      <c r="AL1672" s="77"/>
      <c r="AM1672" s="76"/>
      <c r="AN1672" s="76"/>
    </row>
    <row r="1673" spans="1:40" ht="15">
      <c r="A1673" s="83" t="e">
        <f>IF(#REF!&lt;&gt;#REF!,1,A1672+1)</f>
        <v>#REF!</v>
      </c>
      <c r="O1673" s="79"/>
      <c r="P1673" s="79"/>
      <c r="Q1673" s="76"/>
      <c r="R1673" s="77"/>
      <c r="S1673" s="76"/>
      <c r="T1673" s="77"/>
      <c r="U1673" s="76"/>
      <c r="V1673" s="77"/>
      <c r="W1673" s="76"/>
      <c r="X1673" s="77"/>
      <c r="Y1673" s="76"/>
      <c r="Z1673" s="76"/>
      <c r="AA1673" s="76"/>
      <c r="AB1673" s="76"/>
      <c r="AC1673" s="76"/>
      <c r="AD1673" s="76"/>
      <c r="AE1673" s="76"/>
      <c r="AF1673" s="76"/>
      <c r="AG1673" s="76"/>
      <c r="AH1673" s="76"/>
      <c r="AI1673" s="76"/>
      <c r="AJ1673" s="76"/>
      <c r="AK1673" s="76"/>
      <c r="AL1673" s="77"/>
      <c r="AM1673" s="76"/>
      <c r="AN1673" s="76"/>
    </row>
    <row r="1674" spans="1:40" ht="15">
      <c r="A1674" s="83" t="e">
        <f>IF(#REF!&lt;&gt;#REF!,1,A1673+1)</f>
        <v>#REF!</v>
      </c>
      <c r="O1674" s="79"/>
      <c r="P1674" s="79"/>
      <c r="Q1674" s="76"/>
      <c r="R1674" s="77"/>
      <c r="S1674" s="76"/>
      <c r="T1674" s="77"/>
      <c r="U1674" s="76"/>
      <c r="V1674" s="77"/>
      <c r="W1674" s="76"/>
      <c r="X1674" s="77"/>
      <c r="Y1674" s="76"/>
      <c r="Z1674" s="76"/>
      <c r="AA1674" s="76"/>
      <c r="AB1674" s="76"/>
      <c r="AC1674" s="76"/>
      <c r="AD1674" s="76"/>
      <c r="AE1674" s="76"/>
      <c r="AF1674" s="76"/>
      <c r="AG1674" s="76"/>
      <c r="AH1674" s="76"/>
      <c r="AI1674" s="76"/>
      <c r="AJ1674" s="76"/>
      <c r="AK1674" s="76"/>
      <c r="AL1674" s="77"/>
      <c r="AM1674" s="76"/>
      <c r="AN1674" s="76"/>
    </row>
    <row r="1675" spans="1:40" ht="15">
      <c r="A1675" s="83" t="e">
        <f>IF(#REF!&lt;&gt;#REF!,1,A1674+1)</f>
        <v>#REF!</v>
      </c>
      <c r="O1675" s="79"/>
      <c r="P1675" s="79"/>
      <c r="Q1675" s="76"/>
      <c r="R1675" s="77"/>
      <c r="S1675" s="76"/>
      <c r="T1675" s="77"/>
      <c r="U1675" s="76"/>
      <c r="V1675" s="77"/>
      <c r="W1675" s="76"/>
      <c r="X1675" s="77"/>
      <c r="Y1675" s="76"/>
      <c r="Z1675" s="76"/>
      <c r="AA1675" s="76"/>
      <c r="AB1675" s="76"/>
      <c r="AC1675" s="76"/>
      <c r="AD1675" s="76"/>
      <c r="AE1675" s="76"/>
      <c r="AF1675" s="76"/>
      <c r="AG1675" s="76"/>
      <c r="AH1675" s="76"/>
      <c r="AI1675" s="76"/>
      <c r="AJ1675" s="76"/>
      <c r="AK1675" s="76"/>
      <c r="AL1675" s="77"/>
      <c r="AM1675" s="76"/>
      <c r="AN1675" s="76"/>
    </row>
    <row r="1676" spans="1:40" ht="15">
      <c r="A1676" s="83" t="e">
        <f>IF(#REF!&lt;&gt;#REF!,1,A1675+1)</f>
        <v>#REF!</v>
      </c>
      <c r="O1676" s="79"/>
      <c r="P1676" s="79"/>
      <c r="Q1676" s="76"/>
      <c r="R1676" s="77"/>
      <c r="S1676" s="76"/>
      <c r="T1676" s="77"/>
      <c r="U1676" s="76"/>
      <c r="V1676" s="77"/>
      <c r="W1676" s="76"/>
      <c r="X1676" s="77"/>
      <c r="Y1676" s="76"/>
      <c r="Z1676" s="76"/>
      <c r="AA1676" s="76"/>
      <c r="AB1676" s="76"/>
      <c r="AC1676" s="76"/>
      <c r="AD1676" s="76"/>
      <c r="AE1676" s="76"/>
      <c r="AF1676" s="76"/>
      <c r="AG1676" s="76"/>
      <c r="AH1676" s="76"/>
      <c r="AI1676" s="76"/>
      <c r="AJ1676" s="76"/>
      <c r="AK1676" s="76"/>
      <c r="AL1676" s="77"/>
      <c r="AM1676" s="76"/>
      <c r="AN1676" s="76"/>
    </row>
    <row r="1677" spans="1:40" ht="15">
      <c r="A1677" s="83" t="e">
        <f>IF(#REF!&lt;&gt;#REF!,1,A1676+1)</f>
        <v>#REF!</v>
      </c>
      <c r="O1677" s="79"/>
      <c r="P1677" s="79"/>
      <c r="Q1677" s="76"/>
      <c r="R1677" s="77"/>
      <c r="S1677" s="76"/>
      <c r="T1677" s="77"/>
      <c r="U1677" s="76"/>
      <c r="V1677" s="77"/>
      <c r="W1677" s="76"/>
      <c r="X1677" s="77"/>
      <c r="Y1677" s="76"/>
      <c r="Z1677" s="76"/>
      <c r="AA1677" s="76"/>
      <c r="AB1677" s="76"/>
      <c r="AC1677" s="76"/>
      <c r="AD1677" s="76"/>
      <c r="AE1677" s="76"/>
      <c r="AF1677" s="76"/>
      <c r="AG1677" s="76"/>
      <c r="AH1677" s="76"/>
      <c r="AI1677" s="76"/>
      <c r="AJ1677" s="76"/>
      <c r="AK1677" s="76"/>
      <c r="AL1677" s="77"/>
      <c r="AM1677" s="76"/>
      <c r="AN1677" s="76"/>
    </row>
    <row r="1678" spans="1:40" ht="15">
      <c r="A1678" s="83" t="e">
        <f>IF(#REF!&lt;&gt;#REF!,1,A1677+1)</f>
        <v>#REF!</v>
      </c>
      <c r="O1678" s="79"/>
      <c r="P1678" s="79"/>
      <c r="Q1678" s="76"/>
      <c r="R1678" s="77"/>
      <c r="S1678" s="76"/>
      <c r="T1678" s="77"/>
      <c r="U1678" s="76"/>
      <c r="V1678" s="77"/>
      <c r="W1678" s="76"/>
      <c r="X1678" s="77"/>
      <c r="Y1678" s="76"/>
      <c r="Z1678" s="76"/>
      <c r="AA1678" s="76"/>
      <c r="AB1678" s="76"/>
      <c r="AC1678" s="76"/>
      <c r="AD1678" s="76"/>
      <c r="AE1678" s="76"/>
      <c r="AF1678" s="76"/>
      <c r="AG1678" s="76"/>
      <c r="AH1678" s="76"/>
      <c r="AI1678" s="76"/>
      <c r="AJ1678" s="76"/>
      <c r="AK1678" s="76"/>
      <c r="AL1678" s="77"/>
      <c r="AM1678" s="76"/>
      <c r="AN1678" s="76"/>
    </row>
    <row r="1679" spans="1:40" ht="15">
      <c r="A1679" s="83" t="e">
        <f>IF(#REF!&lt;&gt;#REF!,1,A1678+1)</f>
        <v>#REF!</v>
      </c>
      <c r="O1679" s="79"/>
      <c r="P1679" s="79"/>
      <c r="Q1679" s="76"/>
      <c r="R1679" s="77"/>
      <c r="S1679" s="76"/>
      <c r="T1679" s="77"/>
      <c r="U1679" s="76"/>
      <c r="V1679" s="77"/>
      <c r="W1679" s="76"/>
      <c r="X1679" s="77"/>
      <c r="Y1679" s="76"/>
      <c r="Z1679" s="76"/>
      <c r="AA1679" s="76"/>
      <c r="AB1679" s="76"/>
      <c r="AC1679" s="76"/>
      <c r="AD1679" s="76"/>
      <c r="AE1679" s="76"/>
      <c r="AF1679" s="76"/>
      <c r="AG1679" s="76"/>
      <c r="AH1679" s="76"/>
      <c r="AI1679" s="76"/>
      <c r="AJ1679" s="76"/>
      <c r="AK1679" s="76"/>
      <c r="AL1679" s="77"/>
      <c r="AM1679" s="76"/>
      <c r="AN1679" s="76"/>
    </row>
    <row r="1680" spans="1:40" ht="15">
      <c r="A1680" s="83" t="e">
        <f>IF(#REF!&lt;&gt;#REF!,1,A1679+1)</f>
        <v>#REF!</v>
      </c>
      <c r="O1680" s="79"/>
      <c r="P1680" s="79"/>
      <c r="Q1680" s="76"/>
      <c r="R1680" s="77"/>
      <c r="S1680" s="76"/>
      <c r="T1680" s="77"/>
      <c r="U1680" s="76"/>
      <c r="V1680" s="77"/>
      <c r="W1680" s="76"/>
      <c r="X1680" s="77"/>
      <c r="Y1680" s="76"/>
      <c r="Z1680" s="76"/>
      <c r="AA1680" s="76"/>
      <c r="AB1680" s="76"/>
      <c r="AC1680" s="76"/>
      <c r="AD1680" s="76"/>
      <c r="AE1680" s="76"/>
      <c r="AF1680" s="76"/>
      <c r="AG1680" s="76"/>
      <c r="AH1680" s="76"/>
      <c r="AI1680" s="76"/>
      <c r="AJ1680" s="76"/>
      <c r="AK1680" s="76"/>
      <c r="AL1680" s="77"/>
      <c r="AM1680" s="76"/>
      <c r="AN1680" s="76"/>
    </row>
    <row r="1681" spans="1:40" ht="15">
      <c r="A1681" s="83" t="e">
        <f>IF(#REF!&lt;&gt;#REF!,1,A1680+1)</f>
        <v>#REF!</v>
      </c>
      <c r="O1681" s="79"/>
      <c r="P1681" s="79"/>
      <c r="Q1681" s="76"/>
      <c r="R1681" s="77"/>
      <c r="S1681" s="76"/>
      <c r="T1681" s="77"/>
      <c r="U1681" s="76"/>
      <c r="V1681" s="77"/>
      <c r="W1681" s="76"/>
      <c r="X1681" s="77"/>
      <c r="Y1681" s="76"/>
      <c r="Z1681" s="76"/>
      <c r="AA1681" s="76"/>
      <c r="AB1681" s="76"/>
      <c r="AC1681" s="76"/>
      <c r="AD1681" s="76"/>
      <c r="AE1681" s="76"/>
      <c r="AF1681" s="76"/>
      <c r="AG1681" s="76"/>
      <c r="AH1681" s="76"/>
      <c r="AI1681" s="76"/>
      <c r="AJ1681" s="76"/>
      <c r="AK1681" s="76"/>
      <c r="AL1681" s="77"/>
      <c r="AM1681" s="76"/>
      <c r="AN1681" s="76"/>
    </row>
    <row r="1682" spans="1:40" ht="15">
      <c r="A1682" s="83" t="e">
        <f>IF(#REF!&lt;&gt;#REF!,1,A1681+1)</f>
        <v>#REF!</v>
      </c>
      <c r="O1682" s="79"/>
      <c r="P1682" s="79"/>
      <c r="Q1682" s="76"/>
      <c r="R1682" s="77"/>
      <c r="S1682" s="76"/>
      <c r="T1682" s="77"/>
      <c r="U1682" s="76"/>
      <c r="V1682" s="77"/>
      <c r="W1682" s="76"/>
      <c r="X1682" s="77"/>
      <c r="Y1682" s="76"/>
      <c r="Z1682" s="76"/>
      <c r="AA1682" s="76"/>
      <c r="AB1682" s="76"/>
      <c r="AC1682" s="76"/>
      <c r="AD1682" s="76"/>
      <c r="AE1682" s="76"/>
      <c r="AF1682" s="76"/>
      <c r="AG1682" s="76"/>
      <c r="AH1682" s="76"/>
      <c r="AI1682" s="76"/>
      <c r="AJ1682" s="76"/>
      <c r="AK1682" s="76"/>
      <c r="AL1682" s="77"/>
      <c r="AM1682" s="76"/>
      <c r="AN1682" s="76"/>
    </row>
    <row r="1683" spans="1:40" ht="15">
      <c r="A1683" s="83" t="e">
        <f>IF(#REF!&lt;&gt;#REF!,1,A1682+1)</f>
        <v>#REF!</v>
      </c>
      <c r="O1683" s="79"/>
      <c r="P1683" s="79"/>
      <c r="Q1683" s="76"/>
      <c r="R1683" s="77"/>
      <c r="S1683" s="76"/>
      <c r="T1683" s="77"/>
      <c r="U1683" s="76"/>
      <c r="V1683" s="77"/>
      <c r="W1683" s="76"/>
      <c r="X1683" s="77"/>
      <c r="Y1683" s="76"/>
      <c r="Z1683" s="76"/>
      <c r="AA1683" s="76"/>
      <c r="AB1683" s="76"/>
      <c r="AC1683" s="76"/>
      <c r="AD1683" s="76"/>
      <c r="AE1683" s="76"/>
      <c r="AF1683" s="76"/>
      <c r="AG1683" s="76"/>
      <c r="AH1683" s="76"/>
      <c r="AI1683" s="76"/>
      <c r="AJ1683" s="76"/>
      <c r="AK1683" s="76"/>
      <c r="AL1683" s="77"/>
      <c r="AM1683" s="76"/>
      <c r="AN1683" s="76"/>
    </row>
    <row r="1684" spans="1:40" ht="15">
      <c r="A1684" s="83" t="e">
        <f>IF(#REF!&lt;&gt;#REF!,1,A1683+1)</f>
        <v>#REF!</v>
      </c>
      <c r="O1684" s="79"/>
      <c r="P1684" s="79"/>
      <c r="Q1684" s="76"/>
      <c r="R1684" s="77"/>
      <c r="S1684" s="76"/>
      <c r="T1684" s="77"/>
      <c r="U1684" s="76"/>
      <c r="V1684" s="77"/>
      <c r="W1684" s="76"/>
      <c r="X1684" s="77"/>
      <c r="Y1684" s="76"/>
      <c r="Z1684" s="76"/>
      <c r="AA1684" s="76"/>
      <c r="AB1684" s="76"/>
      <c r="AC1684" s="76"/>
      <c r="AD1684" s="76"/>
      <c r="AE1684" s="76"/>
      <c r="AF1684" s="76"/>
      <c r="AG1684" s="76"/>
      <c r="AH1684" s="76"/>
      <c r="AI1684" s="76"/>
      <c r="AJ1684" s="76"/>
      <c r="AK1684" s="76"/>
      <c r="AL1684" s="77"/>
      <c r="AM1684" s="76"/>
      <c r="AN1684" s="76"/>
    </row>
    <row r="1685" spans="1:40" ht="15">
      <c r="A1685" s="83" t="e">
        <f>IF(#REF!&lt;&gt;#REF!,1,A1684+1)</f>
        <v>#REF!</v>
      </c>
      <c r="O1685" s="79"/>
      <c r="P1685" s="79"/>
      <c r="Q1685" s="76"/>
      <c r="R1685" s="77"/>
      <c r="S1685" s="76"/>
      <c r="T1685" s="77"/>
      <c r="U1685" s="76"/>
      <c r="V1685" s="77"/>
      <c r="W1685" s="76"/>
      <c r="X1685" s="77"/>
      <c r="Y1685" s="76"/>
      <c r="Z1685" s="76"/>
      <c r="AA1685" s="76"/>
      <c r="AB1685" s="76"/>
      <c r="AC1685" s="76"/>
      <c r="AD1685" s="76"/>
      <c r="AE1685" s="76"/>
      <c r="AF1685" s="76"/>
      <c r="AG1685" s="76"/>
      <c r="AH1685" s="76"/>
      <c r="AI1685" s="76"/>
      <c r="AJ1685" s="76"/>
      <c r="AK1685" s="76"/>
      <c r="AL1685" s="77"/>
      <c r="AM1685" s="76"/>
      <c r="AN1685" s="76"/>
    </row>
    <row r="1686" spans="1:40" ht="15">
      <c r="A1686" s="83" t="e">
        <f>IF(#REF!&lt;&gt;#REF!,1,A1685+1)</f>
        <v>#REF!</v>
      </c>
      <c r="O1686" s="79"/>
      <c r="P1686" s="79"/>
      <c r="Q1686" s="76"/>
      <c r="R1686" s="77"/>
      <c r="S1686" s="76"/>
      <c r="T1686" s="77"/>
      <c r="U1686" s="76"/>
      <c r="V1686" s="77"/>
      <c r="W1686" s="76"/>
      <c r="X1686" s="77"/>
      <c r="Y1686" s="76"/>
      <c r="Z1686" s="76"/>
      <c r="AA1686" s="76"/>
      <c r="AB1686" s="76"/>
      <c r="AC1686" s="76"/>
      <c r="AD1686" s="76"/>
      <c r="AE1686" s="76"/>
      <c r="AF1686" s="76"/>
      <c r="AG1686" s="76"/>
      <c r="AH1686" s="76"/>
      <c r="AI1686" s="76"/>
      <c r="AJ1686" s="76"/>
      <c r="AK1686" s="76"/>
      <c r="AL1686" s="77"/>
      <c r="AM1686" s="76"/>
      <c r="AN1686" s="76"/>
    </row>
    <row r="1687" spans="1:40" ht="15">
      <c r="A1687" s="83" t="e">
        <f>IF(#REF!&lt;&gt;#REF!,1,A1686+1)</f>
        <v>#REF!</v>
      </c>
      <c r="O1687" s="79"/>
      <c r="P1687" s="79"/>
      <c r="Q1687" s="76"/>
      <c r="R1687" s="77"/>
      <c r="S1687" s="76"/>
      <c r="T1687" s="77"/>
      <c r="U1687" s="76"/>
      <c r="V1687" s="77"/>
      <c r="W1687" s="76"/>
      <c r="X1687" s="77"/>
      <c r="Y1687" s="76"/>
      <c r="Z1687" s="76"/>
      <c r="AA1687" s="76"/>
      <c r="AB1687" s="76"/>
      <c r="AC1687" s="76"/>
      <c r="AD1687" s="76"/>
      <c r="AE1687" s="76"/>
      <c r="AF1687" s="76"/>
      <c r="AG1687" s="76"/>
      <c r="AH1687" s="76"/>
      <c r="AI1687" s="76"/>
      <c r="AJ1687" s="76"/>
      <c r="AK1687" s="76"/>
      <c r="AL1687" s="77"/>
      <c r="AM1687" s="76"/>
      <c r="AN1687" s="76"/>
    </row>
    <row r="1688" spans="1:40" ht="15">
      <c r="A1688" s="83" t="e">
        <f>IF(#REF!&lt;&gt;#REF!,1,A1687+1)</f>
        <v>#REF!</v>
      </c>
      <c r="O1688" s="79"/>
      <c r="P1688" s="79"/>
      <c r="Q1688" s="76"/>
      <c r="R1688" s="77"/>
      <c r="S1688" s="76"/>
      <c r="T1688" s="77"/>
      <c r="U1688" s="76"/>
      <c r="V1688" s="77"/>
      <c r="W1688" s="76"/>
      <c r="X1688" s="77"/>
      <c r="Y1688" s="76"/>
      <c r="Z1688" s="76"/>
      <c r="AA1688" s="76"/>
      <c r="AB1688" s="76"/>
      <c r="AC1688" s="76"/>
      <c r="AD1688" s="76"/>
      <c r="AE1688" s="76"/>
      <c r="AF1688" s="76"/>
      <c r="AG1688" s="76"/>
      <c r="AH1688" s="76"/>
      <c r="AI1688" s="76"/>
      <c r="AJ1688" s="76"/>
      <c r="AK1688" s="76"/>
      <c r="AL1688" s="77"/>
      <c r="AM1688" s="76"/>
      <c r="AN1688" s="76"/>
    </row>
    <row r="1689" spans="1:40" ht="15">
      <c r="A1689" s="83" t="e">
        <f>IF(#REF!&lt;&gt;#REF!,1,A1688+1)</f>
        <v>#REF!</v>
      </c>
      <c r="O1689" s="79"/>
      <c r="P1689" s="79"/>
      <c r="Q1689" s="76"/>
      <c r="R1689" s="77"/>
      <c r="S1689" s="76"/>
      <c r="T1689" s="77"/>
      <c r="U1689" s="76"/>
      <c r="V1689" s="77"/>
      <c r="W1689" s="76"/>
      <c r="X1689" s="77"/>
      <c r="Y1689" s="76"/>
      <c r="Z1689" s="76"/>
      <c r="AA1689" s="76"/>
      <c r="AB1689" s="76"/>
      <c r="AC1689" s="76"/>
      <c r="AD1689" s="76"/>
      <c r="AE1689" s="76"/>
      <c r="AF1689" s="76"/>
      <c r="AG1689" s="76"/>
      <c r="AH1689" s="76"/>
      <c r="AI1689" s="76"/>
      <c r="AJ1689" s="76"/>
      <c r="AK1689" s="76"/>
      <c r="AL1689" s="77"/>
      <c r="AM1689" s="76"/>
      <c r="AN1689" s="76"/>
    </row>
    <row r="1690" spans="1:40" ht="15">
      <c r="A1690" s="83" t="e">
        <f>IF(#REF!&lt;&gt;#REF!,1,A1689+1)</f>
        <v>#REF!</v>
      </c>
      <c r="O1690" s="79"/>
      <c r="P1690" s="79"/>
      <c r="Q1690" s="76"/>
      <c r="R1690" s="77"/>
      <c r="S1690" s="76"/>
      <c r="T1690" s="77"/>
      <c r="U1690" s="76"/>
      <c r="V1690" s="77"/>
      <c r="W1690" s="76"/>
      <c r="X1690" s="77"/>
      <c r="Y1690" s="76"/>
      <c r="Z1690" s="76"/>
      <c r="AA1690" s="76"/>
      <c r="AB1690" s="76"/>
      <c r="AC1690" s="76"/>
      <c r="AD1690" s="76"/>
      <c r="AE1690" s="76"/>
      <c r="AF1690" s="76"/>
      <c r="AG1690" s="76"/>
      <c r="AH1690" s="76"/>
      <c r="AI1690" s="76"/>
      <c r="AJ1690" s="76"/>
      <c r="AK1690" s="76"/>
      <c r="AL1690" s="77"/>
      <c r="AM1690" s="76"/>
      <c r="AN1690" s="76"/>
    </row>
    <row r="1691" spans="1:40" ht="15">
      <c r="A1691" s="83" t="e">
        <f>IF(#REF!&lt;&gt;#REF!,1,A1690+1)</f>
        <v>#REF!</v>
      </c>
      <c r="O1691" s="79"/>
      <c r="P1691" s="79"/>
      <c r="Q1691" s="76"/>
      <c r="R1691" s="77"/>
      <c r="S1691" s="76"/>
      <c r="T1691" s="77"/>
      <c r="U1691" s="76"/>
      <c r="V1691" s="77"/>
      <c r="W1691" s="76"/>
      <c r="X1691" s="77"/>
      <c r="Y1691" s="76"/>
      <c r="Z1691" s="76"/>
      <c r="AA1691" s="76"/>
      <c r="AB1691" s="76"/>
      <c r="AC1691" s="76"/>
      <c r="AD1691" s="76"/>
      <c r="AE1691" s="76"/>
      <c r="AF1691" s="76"/>
      <c r="AG1691" s="76"/>
      <c r="AH1691" s="76"/>
      <c r="AI1691" s="76"/>
      <c r="AJ1691" s="76"/>
      <c r="AK1691" s="76"/>
      <c r="AL1691" s="77"/>
      <c r="AM1691" s="76"/>
      <c r="AN1691" s="76"/>
    </row>
    <row r="1692" spans="1:40" ht="15">
      <c r="A1692" s="83" t="e">
        <f>IF(#REF!&lt;&gt;#REF!,1,A1691+1)</f>
        <v>#REF!</v>
      </c>
      <c r="O1692" s="79"/>
      <c r="P1692" s="79"/>
      <c r="Q1692" s="76"/>
      <c r="R1692" s="77"/>
      <c r="S1692" s="76"/>
      <c r="T1692" s="77"/>
      <c r="U1692" s="76"/>
      <c r="V1692" s="77"/>
      <c r="W1692" s="76"/>
      <c r="X1692" s="77"/>
      <c r="Y1692" s="76"/>
      <c r="Z1692" s="76"/>
      <c r="AA1692" s="76"/>
      <c r="AB1692" s="76"/>
      <c r="AC1692" s="76"/>
      <c r="AD1692" s="76"/>
      <c r="AE1692" s="76"/>
      <c r="AF1692" s="76"/>
      <c r="AG1692" s="76"/>
      <c r="AH1692" s="76"/>
      <c r="AI1692" s="76"/>
      <c r="AJ1692" s="76"/>
      <c r="AK1692" s="76"/>
      <c r="AL1692" s="77"/>
      <c r="AM1692" s="76"/>
      <c r="AN1692" s="76"/>
    </row>
    <row r="1693" spans="1:40" ht="15">
      <c r="A1693" s="83" t="e">
        <f>IF(#REF!&lt;&gt;#REF!,1,A1692+1)</f>
        <v>#REF!</v>
      </c>
      <c r="O1693" s="79"/>
      <c r="P1693" s="79"/>
      <c r="Q1693" s="76"/>
      <c r="R1693" s="77"/>
      <c r="S1693" s="76"/>
      <c r="T1693" s="77"/>
      <c r="U1693" s="76"/>
      <c r="V1693" s="77"/>
      <c r="W1693" s="76"/>
      <c r="X1693" s="77"/>
      <c r="Y1693" s="76"/>
      <c r="Z1693" s="76"/>
      <c r="AA1693" s="76"/>
      <c r="AB1693" s="76"/>
      <c r="AC1693" s="76"/>
      <c r="AD1693" s="76"/>
      <c r="AE1693" s="76"/>
      <c r="AF1693" s="76"/>
      <c r="AG1693" s="76"/>
      <c r="AH1693" s="76"/>
      <c r="AI1693" s="76"/>
      <c r="AJ1693" s="76"/>
      <c r="AK1693" s="76"/>
      <c r="AL1693" s="77"/>
      <c r="AM1693" s="76"/>
      <c r="AN1693" s="76"/>
    </row>
    <row r="1694" spans="1:40" ht="15">
      <c r="A1694" s="83" t="e">
        <f>IF(#REF!&lt;&gt;#REF!,1,A1693+1)</f>
        <v>#REF!</v>
      </c>
      <c r="O1694" s="79"/>
      <c r="P1694" s="79"/>
      <c r="Q1694" s="76"/>
      <c r="R1694" s="77"/>
      <c r="S1694" s="76"/>
      <c r="T1694" s="77"/>
      <c r="U1694" s="76"/>
      <c r="V1694" s="77"/>
      <c r="W1694" s="76"/>
      <c r="X1694" s="77"/>
      <c r="Y1694" s="76"/>
      <c r="Z1694" s="76"/>
      <c r="AA1694" s="76"/>
      <c r="AB1694" s="76"/>
      <c r="AC1694" s="76"/>
      <c r="AD1694" s="76"/>
      <c r="AE1694" s="76"/>
      <c r="AF1694" s="76"/>
      <c r="AG1694" s="76"/>
      <c r="AH1694" s="76"/>
      <c r="AI1694" s="76"/>
      <c r="AJ1694" s="76"/>
      <c r="AK1694" s="76"/>
      <c r="AL1694" s="77"/>
      <c r="AM1694" s="76"/>
      <c r="AN1694" s="76"/>
    </row>
    <row r="1695" spans="1:40" ht="15">
      <c r="A1695" s="83" t="e">
        <f>IF(#REF!&lt;&gt;#REF!,1,A1694+1)</f>
        <v>#REF!</v>
      </c>
      <c r="O1695" s="79"/>
      <c r="P1695" s="79"/>
      <c r="Q1695" s="76"/>
      <c r="R1695" s="77"/>
      <c r="S1695" s="76"/>
      <c r="T1695" s="77"/>
      <c r="U1695" s="76"/>
      <c r="V1695" s="77"/>
      <c r="W1695" s="76"/>
      <c r="X1695" s="77"/>
      <c r="Y1695" s="76"/>
      <c r="Z1695" s="76"/>
      <c r="AA1695" s="76"/>
      <c r="AB1695" s="76"/>
      <c r="AC1695" s="76"/>
      <c r="AD1695" s="76"/>
      <c r="AE1695" s="76"/>
      <c r="AF1695" s="76"/>
      <c r="AG1695" s="76"/>
      <c r="AH1695" s="76"/>
      <c r="AI1695" s="76"/>
      <c r="AJ1695" s="76"/>
      <c r="AK1695" s="76"/>
      <c r="AL1695" s="77"/>
      <c r="AM1695" s="76"/>
      <c r="AN1695" s="76"/>
    </row>
    <row r="1696" spans="1:40" ht="15">
      <c r="A1696" s="83" t="e">
        <f>IF(#REF!&lt;&gt;#REF!,1,A1695+1)</f>
        <v>#REF!</v>
      </c>
      <c r="O1696" s="79"/>
      <c r="P1696" s="79"/>
      <c r="Q1696" s="76"/>
      <c r="R1696" s="77"/>
      <c r="S1696" s="76"/>
      <c r="T1696" s="77"/>
      <c r="U1696" s="76"/>
      <c r="V1696" s="77"/>
      <c r="W1696" s="76"/>
      <c r="X1696" s="77"/>
      <c r="Y1696" s="76"/>
      <c r="Z1696" s="76"/>
      <c r="AA1696" s="76"/>
      <c r="AB1696" s="76"/>
      <c r="AC1696" s="76"/>
      <c r="AD1696" s="76"/>
      <c r="AE1696" s="76"/>
      <c r="AF1696" s="76"/>
      <c r="AG1696" s="76"/>
      <c r="AH1696" s="76"/>
      <c r="AI1696" s="76"/>
      <c r="AJ1696" s="76"/>
      <c r="AK1696" s="76"/>
      <c r="AL1696" s="77"/>
      <c r="AM1696" s="76"/>
      <c r="AN1696" s="76"/>
    </row>
    <row r="1697" spans="1:40" ht="15">
      <c r="A1697" s="83" t="e">
        <f>IF(#REF!&lt;&gt;#REF!,1,A1696+1)</f>
        <v>#REF!</v>
      </c>
      <c r="O1697" s="79"/>
      <c r="P1697" s="79"/>
      <c r="Q1697" s="76"/>
      <c r="R1697" s="77"/>
      <c r="S1697" s="76"/>
      <c r="T1697" s="77"/>
      <c r="U1697" s="76"/>
      <c r="V1697" s="77"/>
      <c r="W1697" s="76"/>
      <c r="X1697" s="77"/>
      <c r="Y1697" s="76"/>
      <c r="Z1697" s="76"/>
      <c r="AA1697" s="76"/>
      <c r="AB1697" s="76"/>
      <c r="AC1697" s="76"/>
      <c r="AD1697" s="76"/>
      <c r="AE1697" s="76"/>
      <c r="AF1697" s="76"/>
      <c r="AG1697" s="76"/>
      <c r="AH1697" s="76"/>
      <c r="AI1697" s="76"/>
      <c r="AJ1697" s="76"/>
      <c r="AK1697" s="76"/>
      <c r="AL1697" s="77"/>
      <c r="AM1697" s="76"/>
      <c r="AN1697" s="76"/>
    </row>
    <row r="1698" spans="1:40" ht="15">
      <c r="A1698" s="83" t="e">
        <f>IF(#REF!&lt;&gt;#REF!,1,A1697+1)</f>
        <v>#REF!</v>
      </c>
      <c r="O1698" s="79"/>
      <c r="P1698" s="79"/>
      <c r="Q1698" s="76"/>
      <c r="R1698" s="77"/>
      <c r="S1698" s="76"/>
      <c r="T1698" s="77"/>
      <c r="U1698" s="76"/>
      <c r="V1698" s="77"/>
      <c r="W1698" s="76"/>
      <c r="X1698" s="77"/>
      <c r="Y1698" s="76"/>
      <c r="Z1698" s="76"/>
      <c r="AA1698" s="76"/>
      <c r="AB1698" s="76"/>
      <c r="AC1698" s="76"/>
      <c r="AD1698" s="76"/>
      <c r="AE1698" s="76"/>
      <c r="AF1698" s="76"/>
      <c r="AG1698" s="76"/>
      <c r="AH1698" s="76"/>
      <c r="AI1698" s="76"/>
      <c r="AJ1698" s="76"/>
      <c r="AK1698" s="76"/>
      <c r="AL1698" s="77"/>
      <c r="AM1698" s="76"/>
      <c r="AN1698" s="76"/>
    </row>
    <row r="1699" spans="1:40" ht="15">
      <c r="A1699" s="83" t="e">
        <f>IF(#REF!&lt;&gt;#REF!,1,A1698+1)</f>
        <v>#REF!</v>
      </c>
      <c r="O1699" s="79"/>
      <c r="P1699" s="79"/>
      <c r="Q1699" s="76"/>
      <c r="R1699" s="77"/>
      <c r="S1699" s="76"/>
      <c r="T1699" s="77"/>
      <c r="U1699" s="76"/>
      <c r="V1699" s="77"/>
      <c r="W1699" s="76"/>
      <c r="X1699" s="77"/>
      <c r="Y1699" s="76"/>
      <c r="Z1699" s="76"/>
      <c r="AA1699" s="76"/>
      <c r="AB1699" s="76"/>
      <c r="AC1699" s="76"/>
      <c r="AD1699" s="76"/>
      <c r="AE1699" s="76"/>
      <c r="AF1699" s="76"/>
      <c r="AG1699" s="76"/>
      <c r="AH1699" s="76"/>
      <c r="AI1699" s="76"/>
      <c r="AJ1699" s="76"/>
      <c r="AK1699" s="76"/>
      <c r="AL1699" s="77"/>
      <c r="AM1699" s="76"/>
      <c r="AN1699" s="76"/>
    </row>
    <row r="1700" spans="1:40" ht="15">
      <c r="A1700" s="83" t="e">
        <f>IF(#REF!&lt;&gt;#REF!,1,A1699+1)</f>
        <v>#REF!</v>
      </c>
      <c r="O1700" s="79"/>
      <c r="P1700" s="79"/>
      <c r="Q1700" s="76"/>
      <c r="R1700" s="77"/>
      <c r="S1700" s="76"/>
      <c r="T1700" s="77"/>
      <c r="U1700" s="76"/>
      <c r="V1700" s="77"/>
      <c r="W1700" s="76"/>
      <c r="X1700" s="77"/>
      <c r="Y1700" s="76"/>
      <c r="Z1700" s="76"/>
      <c r="AA1700" s="76"/>
      <c r="AB1700" s="76"/>
      <c r="AC1700" s="76"/>
      <c r="AD1700" s="76"/>
      <c r="AE1700" s="76"/>
      <c r="AF1700" s="76"/>
      <c r="AG1700" s="76"/>
      <c r="AH1700" s="76"/>
      <c r="AI1700" s="76"/>
      <c r="AJ1700" s="76"/>
      <c r="AK1700" s="76"/>
      <c r="AL1700" s="77"/>
      <c r="AM1700" s="76"/>
      <c r="AN1700" s="76"/>
    </row>
    <row r="1701" spans="1:40" ht="15">
      <c r="A1701" s="83" t="e">
        <f>IF(#REF!&lt;&gt;#REF!,1,A1700+1)</f>
        <v>#REF!</v>
      </c>
      <c r="O1701" s="79"/>
      <c r="P1701" s="79"/>
      <c r="Q1701" s="76"/>
      <c r="R1701" s="77"/>
      <c r="S1701" s="76"/>
      <c r="T1701" s="77"/>
      <c r="U1701" s="76"/>
      <c r="V1701" s="77"/>
      <c r="W1701" s="76"/>
      <c r="X1701" s="77"/>
      <c r="Y1701" s="76"/>
      <c r="Z1701" s="76"/>
      <c r="AA1701" s="76"/>
      <c r="AB1701" s="76"/>
      <c r="AC1701" s="76"/>
      <c r="AD1701" s="76"/>
      <c r="AE1701" s="76"/>
      <c r="AF1701" s="76"/>
      <c r="AG1701" s="76"/>
      <c r="AH1701" s="76"/>
      <c r="AI1701" s="76"/>
      <c r="AJ1701" s="76"/>
      <c r="AK1701" s="76"/>
      <c r="AL1701" s="77"/>
      <c r="AM1701" s="76"/>
      <c r="AN1701" s="76"/>
    </row>
    <row r="1702" spans="1:40" ht="15">
      <c r="A1702" s="83" t="e">
        <f>IF(#REF!&lt;&gt;#REF!,1,A1701+1)</f>
        <v>#REF!</v>
      </c>
      <c r="O1702" s="79"/>
      <c r="P1702" s="79"/>
      <c r="Q1702" s="76"/>
      <c r="R1702" s="77"/>
      <c r="S1702" s="76"/>
      <c r="T1702" s="77"/>
      <c r="U1702" s="76"/>
      <c r="V1702" s="77"/>
      <c r="W1702" s="76"/>
      <c r="X1702" s="77"/>
      <c r="Y1702" s="76"/>
      <c r="Z1702" s="76"/>
      <c r="AA1702" s="76"/>
      <c r="AB1702" s="76"/>
      <c r="AC1702" s="76"/>
      <c r="AD1702" s="76"/>
      <c r="AE1702" s="76"/>
      <c r="AF1702" s="76"/>
      <c r="AG1702" s="76"/>
      <c r="AH1702" s="76"/>
      <c r="AI1702" s="76"/>
      <c r="AJ1702" s="76"/>
      <c r="AK1702" s="76"/>
      <c r="AL1702" s="77"/>
      <c r="AM1702" s="76"/>
      <c r="AN1702" s="76"/>
    </row>
    <row r="1703" spans="1:40" ht="15">
      <c r="A1703" s="83" t="e">
        <f>IF(#REF!&lt;&gt;#REF!,1,A1702+1)</f>
        <v>#REF!</v>
      </c>
      <c r="O1703" s="79"/>
      <c r="P1703" s="79"/>
      <c r="Q1703" s="76"/>
      <c r="R1703" s="77"/>
      <c r="S1703" s="76"/>
      <c r="T1703" s="77"/>
      <c r="U1703" s="76"/>
      <c r="V1703" s="77"/>
      <c r="W1703" s="76"/>
      <c r="X1703" s="77"/>
      <c r="Y1703" s="76"/>
      <c r="Z1703" s="76"/>
      <c r="AA1703" s="76"/>
      <c r="AB1703" s="76"/>
      <c r="AC1703" s="76"/>
      <c r="AD1703" s="76"/>
      <c r="AE1703" s="76"/>
      <c r="AF1703" s="76"/>
      <c r="AG1703" s="76"/>
      <c r="AH1703" s="76"/>
      <c r="AI1703" s="76"/>
      <c r="AJ1703" s="76"/>
      <c r="AK1703" s="76"/>
      <c r="AL1703" s="77"/>
      <c r="AM1703" s="76"/>
      <c r="AN1703" s="76"/>
    </row>
    <row r="1704" spans="1:40" ht="15">
      <c r="A1704" s="83" t="e">
        <f>IF(#REF!&lt;&gt;#REF!,1,A1703+1)</f>
        <v>#REF!</v>
      </c>
      <c r="O1704" s="79"/>
      <c r="P1704" s="79"/>
      <c r="Q1704" s="76"/>
      <c r="R1704" s="77"/>
      <c r="S1704" s="76"/>
      <c r="T1704" s="77"/>
      <c r="U1704" s="76"/>
      <c r="V1704" s="77"/>
      <c r="W1704" s="76"/>
      <c r="X1704" s="77"/>
      <c r="Y1704" s="76"/>
      <c r="Z1704" s="76"/>
      <c r="AA1704" s="76"/>
      <c r="AB1704" s="76"/>
      <c r="AC1704" s="76"/>
      <c r="AD1704" s="76"/>
      <c r="AE1704" s="76"/>
      <c r="AF1704" s="76"/>
      <c r="AG1704" s="76"/>
      <c r="AH1704" s="76"/>
      <c r="AI1704" s="76"/>
      <c r="AJ1704" s="76"/>
      <c r="AK1704" s="76"/>
      <c r="AL1704" s="77"/>
      <c r="AM1704" s="76"/>
      <c r="AN1704" s="76"/>
    </row>
    <row r="1705" spans="1:40" ht="15">
      <c r="A1705" s="83" t="e">
        <f>IF(#REF!&lt;&gt;#REF!,1,A1704+1)</f>
        <v>#REF!</v>
      </c>
      <c r="O1705" s="79"/>
      <c r="P1705" s="79"/>
      <c r="Q1705" s="76"/>
      <c r="R1705" s="77"/>
      <c r="S1705" s="76"/>
      <c r="T1705" s="77"/>
      <c r="U1705" s="76"/>
      <c r="V1705" s="77"/>
      <c r="W1705" s="76"/>
      <c r="X1705" s="77"/>
      <c r="Y1705" s="76"/>
      <c r="Z1705" s="76"/>
      <c r="AA1705" s="76"/>
      <c r="AB1705" s="76"/>
      <c r="AC1705" s="76"/>
      <c r="AD1705" s="76"/>
      <c r="AE1705" s="76"/>
      <c r="AF1705" s="76"/>
      <c r="AG1705" s="76"/>
      <c r="AH1705" s="76"/>
      <c r="AI1705" s="76"/>
      <c r="AJ1705" s="76"/>
      <c r="AK1705" s="76"/>
      <c r="AL1705" s="77"/>
      <c r="AM1705" s="76"/>
      <c r="AN1705" s="76"/>
    </row>
    <row r="1706" spans="1:40" ht="15">
      <c r="A1706" s="83" t="e">
        <f>IF(#REF!&lt;&gt;#REF!,1,A1705+1)</f>
        <v>#REF!</v>
      </c>
      <c r="O1706" s="79"/>
      <c r="P1706" s="79"/>
      <c r="Q1706" s="76"/>
      <c r="R1706" s="77"/>
      <c r="S1706" s="76"/>
      <c r="T1706" s="77"/>
      <c r="U1706" s="76"/>
      <c r="V1706" s="77"/>
      <c r="W1706" s="76"/>
      <c r="X1706" s="77"/>
      <c r="Y1706" s="76"/>
      <c r="Z1706" s="76"/>
      <c r="AA1706" s="76"/>
      <c r="AB1706" s="76"/>
      <c r="AC1706" s="76"/>
      <c r="AD1706" s="76"/>
      <c r="AE1706" s="76"/>
      <c r="AF1706" s="76"/>
      <c r="AG1706" s="76"/>
      <c r="AH1706" s="76"/>
      <c r="AI1706" s="76"/>
      <c r="AJ1706" s="76"/>
      <c r="AK1706" s="76"/>
      <c r="AL1706" s="77"/>
      <c r="AM1706" s="76"/>
      <c r="AN1706" s="76"/>
    </row>
    <row r="1707" spans="1:40" ht="15">
      <c r="A1707" s="83" t="e">
        <f>IF(#REF!&lt;&gt;#REF!,1,A1706+1)</f>
        <v>#REF!</v>
      </c>
      <c r="O1707" s="79"/>
      <c r="P1707" s="79"/>
      <c r="Q1707" s="76"/>
      <c r="R1707" s="77"/>
      <c r="S1707" s="76"/>
      <c r="T1707" s="77"/>
      <c r="U1707" s="76"/>
      <c r="V1707" s="77"/>
      <c r="W1707" s="76"/>
      <c r="X1707" s="77"/>
      <c r="Y1707" s="76"/>
      <c r="Z1707" s="76"/>
      <c r="AA1707" s="76"/>
      <c r="AB1707" s="76"/>
      <c r="AC1707" s="76"/>
      <c r="AD1707" s="76"/>
      <c r="AE1707" s="76"/>
      <c r="AF1707" s="76"/>
      <c r="AG1707" s="76"/>
      <c r="AH1707" s="76"/>
      <c r="AI1707" s="76"/>
      <c r="AJ1707" s="76"/>
      <c r="AK1707" s="76"/>
      <c r="AL1707" s="77"/>
      <c r="AM1707" s="76"/>
      <c r="AN1707" s="76"/>
    </row>
    <row r="1708" spans="1:40" ht="15">
      <c r="A1708" s="83" t="e">
        <f>IF(#REF!&lt;&gt;#REF!,1,A1707+1)</f>
        <v>#REF!</v>
      </c>
      <c r="O1708" s="79"/>
      <c r="P1708" s="79"/>
      <c r="Q1708" s="76"/>
      <c r="R1708" s="77"/>
      <c r="S1708" s="76"/>
      <c r="T1708" s="77"/>
      <c r="U1708" s="76"/>
      <c r="V1708" s="77"/>
      <c r="W1708" s="76"/>
      <c r="X1708" s="77"/>
      <c r="Y1708" s="76"/>
      <c r="Z1708" s="76"/>
      <c r="AA1708" s="76"/>
      <c r="AB1708" s="76"/>
      <c r="AC1708" s="76"/>
      <c r="AD1708" s="76"/>
      <c r="AE1708" s="76"/>
      <c r="AF1708" s="76"/>
      <c r="AG1708" s="76"/>
      <c r="AH1708" s="76"/>
      <c r="AI1708" s="76"/>
      <c r="AJ1708" s="76"/>
      <c r="AK1708" s="76"/>
      <c r="AL1708" s="77"/>
      <c r="AM1708" s="76"/>
      <c r="AN1708" s="76"/>
    </row>
    <row r="1709" spans="1:40" ht="15">
      <c r="A1709" s="83" t="e">
        <f>IF(#REF!&lt;&gt;#REF!,1,A1708+1)</f>
        <v>#REF!</v>
      </c>
      <c r="O1709" s="79"/>
      <c r="P1709" s="79"/>
      <c r="Q1709" s="76"/>
      <c r="R1709" s="77"/>
      <c r="S1709" s="76"/>
      <c r="T1709" s="77"/>
      <c r="U1709" s="76"/>
      <c r="V1709" s="77"/>
      <c r="W1709" s="76"/>
      <c r="X1709" s="77"/>
      <c r="Y1709" s="76"/>
      <c r="Z1709" s="76"/>
      <c r="AA1709" s="76"/>
      <c r="AB1709" s="76"/>
      <c r="AC1709" s="76"/>
      <c r="AD1709" s="76"/>
      <c r="AE1709" s="76"/>
      <c r="AF1709" s="76"/>
      <c r="AG1709" s="76"/>
      <c r="AH1709" s="76"/>
      <c r="AI1709" s="76"/>
      <c r="AJ1709" s="76"/>
      <c r="AK1709" s="76"/>
      <c r="AL1709" s="77"/>
      <c r="AM1709" s="76"/>
      <c r="AN1709" s="76"/>
    </row>
    <row r="1710" spans="1:40" ht="15">
      <c r="A1710" s="83" t="e">
        <f>IF(#REF!&lt;&gt;#REF!,1,A1709+1)</f>
        <v>#REF!</v>
      </c>
      <c r="O1710" s="79"/>
      <c r="P1710" s="79"/>
      <c r="Q1710" s="76"/>
      <c r="R1710" s="77"/>
      <c r="S1710" s="76"/>
      <c r="T1710" s="77"/>
      <c r="U1710" s="76"/>
      <c r="V1710" s="77"/>
      <c r="W1710" s="76"/>
      <c r="X1710" s="77"/>
      <c r="Y1710" s="76"/>
      <c r="Z1710" s="76"/>
      <c r="AA1710" s="76"/>
      <c r="AB1710" s="76"/>
      <c r="AC1710" s="76"/>
      <c r="AD1710" s="76"/>
      <c r="AE1710" s="76"/>
      <c r="AF1710" s="76"/>
      <c r="AG1710" s="76"/>
      <c r="AH1710" s="76"/>
      <c r="AI1710" s="76"/>
      <c r="AJ1710" s="76"/>
      <c r="AK1710" s="76"/>
      <c r="AL1710" s="77"/>
      <c r="AM1710" s="76"/>
      <c r="AN1710" s="76"/>
    </row>
    <row r="1711" spans="1:40" ht="15">
      <c r="A1711" s="83" t="e">
        <f>IF(#REF!&lt;&gt;#REF!,1,A1710+1)</f>
        <v>#REF!</v>
      </c>
      <c r="O1711" s="79"/>
      <c r="P1711" s="79"/>
      <c r="Q1711" s="76"/>
      <c r="R1711" s="77"/>
      <c r="S1711" s="76"/>
      <c r="T1711" s="77"/>
      <c r="U1711" s="76"/>
      <c r="V1711" s="77"/>
      <c r="W1711" s="76"/>
      <c r="X1711" s="77"/>
      <c r="Y1711" s="76"/>
      <c r="Z1711" s="76"/>
      <c r="AA1711" s="76"/>
      <c r="AB1711" s="76"/>
      <c r="AC1711" s="76"/>
      <c r="AD1711" s="76"/>
      <c r="AE1711" s="76"/>
      <c r="AF1711" s="76"/>
      <c r="AG1711" s="76"/>
      <c r="AH1711" s="76"/>
      <c r="AI1711" s="76"/>
      <c r="AJ1711" s="76"/>
      <c r="AK1711" s="76"/>
      <c r="AL1711" s="77"/>
      <c r="AM1711" s="76"/>
      <c r="AN1711" s="76"/>
    </row>
    <row r="1712" spans="1:40" ht="15">
      <c r="A1712" s="83" t="e">
        <f>IF(#REF!&lt;&gt;#REF!,1,A1711+1)</f>
        <v>#REF!</v>
      </c>
      <c r="O1712" s="79"/>
      <c r="P1712" s="79"/>
      <c r="Q1712" s="76"/>
      <c r="R1712" s="77"/>
      <c r="S1712" s="76"/>
      <c r="T1712" s="77"/>
      <c r="U1712" s="76"/>
      <c r="V1712" s="77"/>
      <c r="W1712" s="76"/>
      <c r="X1712" s="77"/>
      <c r="Y1712" s="76"/>
      <c r="Z1712" s="76"/>
      <c r="AA1712" s="76"/>
      <c r="AB1712" s="76"/>
      <c r="AC1712" s="76"/>
      <c r="AD1712" s="76"/>
      <c r="AE1712" s="76"/>
      <c r="AF1712" s="76"/>
      <c r="AG1712" s="76"/>
      <c r="AH1712" s="76"/>
      <c r="AI1712" s="76"/>
      <c r="AJ1712" s="76"/>
      <c r="AK1712" s="76"/>
      <c r="AL1712" s="77"/>
      <c r="AM1712" s="76"/>
      <c r="AN1712" s="76"/>
    </row>
    <row r="1713" spans="1:40" ht="15">
      <c r="A1713" s="83" t="e">
        <f>IF(#REF!&lt;&gt;#REF!,1,A1712+1)</f>
        <v>#REF!</v>
      </c>
      <c r="O1713" s="79"/>
      <c r="P1713" s="79"/>
      <c r="Q1713" s="76"/>
      <c r="R1713" s="77"/>
      <c r="S1713" s="76"/>
      <c r="T1713" s="77"/>
      <c r="U1713" s="76"/>
      <c r="V1713" s="77"/>
      <c r="W1713" s="76"/>
      <c r="X1713" s="77"/>
      <c r="Y1713" s="76"/>
      <c r="Z1713" s="76"/>
      <c r="AA1713" s="76"/>
      <c r="AB1713" s="76"/>
      <c r="AC1713" s="76"/>
      <c r="AD1713" s="76"/>
      <c r="AE1713" s="76"/>
      <c r="AF1713" s="76"/>
      <c r="AG1713" s="76"/>
      <c r="AH1713" s="76"/>
      <c r="AI1713" s="76"/>
      <c r="AJ1713" s="76"/>
      <c r="AK1713" s="76"/>
      <c r="AL1713" s="77"/>
      <c r="AM1713" s="76"/>
      <c r="AN1713" s="76"/>
    </row>
    <row r="1714" spans="1:40" ht="15">
      <c r="A1714" s="83" t="e">
        <f>IF(#REF!&lt;&gt;#REF!,1,A1713+1)</f>
        <v>#REF!</v>
      </c>
      <c r="O1714" s="79"/>
      <c r="P1714" s="79"/>
      <c r="Q1714" s="76"/>
      <c r="R1714" s="77"/>
      <c r="S1714" s="76"/>
      <c r="T1714" s="77"/>
      <c r="U1714" s="76"/>
      <c r="V1714" s="77"/>
      <c r="W1714" s="76"/>
      <c r="X1714" s="77"/>
      <c r="Y1714" s="76"/>
      <c r="Z1714" s="76"/>
      <c r="AA1714" s="76"/>
      <c r="AB1714" s="76"/>
      <c r="AC1714" s="76"/>
      <c r="AD1714" s="76"/>
      <c r="AE1714" s="76"/>
      <c r="AF1714" s="76"/>
      <c r="AG1714" s="76"/>
      <c r="AH1714" s="76"/>
      <c r="AI1714" s="76"/>
      <c r="AJ1714" s="76"/>
      <c r="AK1714" s="76"/>
      <c r="AL1714" s="77"/>
      <c r="AM1714" s="76"/>
      <c r="AN1714" s="76"/>
    </row>
    <row r="1715" spans="1:40" ht="15">
      <c r="A1715" s="83" t="e">
        <f>IF(#REF!&lt;&gt;#REF!,1,A1714+1)</f>
        <v>#REF!</v>
      </c>
      <c r="O1715" s="79"/>
      <c r="P1715" s="79"/>
      <c r="Q1715" s="76"/>
      <c r="R1715" s="77"/>
      <c r="S1715" s="76"/>
      <c r="T1715" s="77"/>
      <c r="U1715" s="76"/>
      <c r="V1715" s="77"/>
      <c r="W1715" s="76"/>
      <c r="X1715" s="77"/>
      <c r="Y1715" s="76"/>
      <c r="Z1715" s="76"/>
      <c r="AA1715" s="76"/>
      <c r="AB1715" s="76"/>
      <c r="AC1715" s="76"/>
      <c r="AD1715" s="76"/>
      <c r="AE1715" s="76"/>
      <c r="AF1715" s="76"/>
      <c r="AG1715" s="76"/>
      <c r="AH1715" s="76"/>
      <c r="AI1715" s="76"/>
      <c r="AJ1715" s="76"/>
      <c r="AK1715" s="76"/>
      <c r="AL1715" s="77"/>
      <c r="AM1715" s="76"/>
      <c r="AN1715" s="76"/>
    </row>
    <row r="1716" spans="1:40" ht="15">
      <c r="A1716" s="83" t="e">
        <f>IF(#REF!&lt;&gt;#REF!,1,A1715+1)</f>
        <v>#REF!</v>
      </c>
      <c r="O1716" s="79"/>
      <c r="P1716" s="79"/>
      <c r="Q1716" s="76"/>
      <c r="R1716" s="77"/>
      <c r="S1716" s="76"/>
      <c r="T1716" s="77"/>
      <c r="U1716" s="76"/>
      <c r="V1716" s="77"/>
      <c r="W1716" s="76"/>
      <c r="X1716" s="77"/>
      <c r="Y1716" s="76"/>
      <c r="Z1716" s="76"/>
      <c r="AA1716" s="76"/>
      <c r="AB1716" s="76"/>
      <c r="AC1716" s="76"/>
      <c r="AD1716" s="76"/>
      <c r="AE1716" s="76"/>
      <c r="AF1716" s="76"/>
      <c r="AG1716" s="76"/>
      <c r="AH1716" s="76"/>
      <c r="AI1716" s="76"/>
      <c r="AJ1716" s="76"/>
      <c r="AK1716" s="76"/>
      <c r="AL1716" s="77"/>
      <c r="AM1716" s="76"/>
      <c r="AN1716" s="76"/>
    </row>
    <row r="1717" spans="1:40" ht="15">
      <c r="A1717" s="83" t="e">
        <f>IF(#REF!&lt;&gt;#REF!,1,A1716+1)</f>
        <v>#REF!</v>
      </c>
      <c r="O1717" s="79"/>
      <c r="P1717" s="79"/>
      <c r="Q1717" s="76"/>
      <c r="R1717" s="77"/>
      <c r="S1717" s="76"/>
      <c r="T1717" s="77"/>
      <c r="U1717" s="76"/>
      <c r="V1717" s="77"/>
      <c r="W1717" s="76"/>
      <c r="X1717" s="77"/>
      <c r="Y1717" s="76"/>
      <c r="Z1717" s="76"/>
      <c r="AA1717" s="76"/>
      <c r="AB1717" s="76"/>
      <c r="AC1717" s="76"/>
      <c r="AD1717" s="76"/>
      <c r="AE1717" s="76"/>
      <c r="AF1717" s="76"/>
      <c r="AG1717" s="76"/>
      <c r="AH1717" s="76"/>
      <c r="AI1717" s="76"/>
      <c r="AJ1717" s="76"/>
      <c r="AK1717" s="76"/>
      <c r="AL1717" s="77"/>
      <c r="AM1717" s="76"/>
      <c r="AN1717" s="76"/>
    </row>
    <row r="1718" spans="1:40" ht="15">
      <c r="A1718" s="83" t="e">
        <f>IF(#REF!&lt;&gt;#REF!,1,A1717+1)</f>
        <v>#REF!</v>
      </c>
      <c r="O1718" s="79"/>
      <c r="P1718" s="79"/>
      <c r="Q1718" s="76"/>
      <c r="R1718" s="77"/>
      <c r="S1718" s="76"/>
      <c r="T1718" s="77"/>
      <c r="U1718" s="76"/>
      <c r="V1718" s="77"/>
      <c r="W1718" s="76"/>
      <c r="X1718" s="77"/>
      <c r="Y1718" s="76"/>
      <c r="Z1718" s="76"/>
      <c r="AA1718" s="76"/>
      <c r="AB1718" s="76"/>
      <c r="AC1718" s="76"/>
      <c r="AD1718" s="76"/>
      <c r="AE1718" s="76"/>
      <c r="AF1718" s="76"/>
      <c r="AG1718" s="76"/>
      <c r="AH1718" s="76"/>
      <c r="AI1718" s="76"/>
      <c r="AJ1718" s="76"/>
      <c r="AK1718" s="76"/>
      <c r="AL1718" s="77"/>
      <c r="AM1718" s="76"/>
      <c r="AN1718" s="76"/>
    </row>
    <row r="1719" spans="1:40" ht="15">
      <c r="A1719" s="83" t="e">
        <f>IF(#REF!&lt;&gt;#REF!,1,A1718+1)</f>
        <v>#REF!</v>
      </c>
      <c r="O1719" s="79"/>
      <c r="P1719" s="79"/>
      <c r="Q1719" s="76"/>
      <c r="R1719" s="77"/>
      <c r="S1719" s="76"/>
      <c r="T1719" s="77"/>
      <c r="U1719" s="76"/>
      <c r="V1719" s="77"/>
      <c r="W1719" s="76"/>
      <c r="X1719" s="77"/>
      <c r="Y1719" s="76"/>
      <c r="Z1719" s="76"/>
      <c r="AA1719" s="76"/>
      <c r="AB1719" s="76"/>
      <c r="AC1719" s="76"/>
      <c r="AD1719" s="76"/>
      <c r="AE1719" s="76"/>
      <c r="AF1719" s="76"/>
      <c r="AG1719" s="76"/>
      <c r="AH1719" s="76"/>
      <c r="AI1719" s="76"/>
      <c r="AJ1719" s="76"/>
      <c r="AK1719" s="76"/>
      <c r="AL1719" s="77"/>
      <c r="AM1719" s="76"/>
      <c r="AN1719" s="76"/>
    </row>
    <row r="1720" spans="1:40" ht="15">
      <c r="A1720" s="83" t="e">
        <f>IF(#REF!&lt;&gt;#REF!,1,A1719+1)</f>
        <v>#REF!</v>
      </c>
      <c r="O1720" s="79"/>
      <c r="P1720" s="79"/>
      <c r="Q1720" s="76"/>
      <c r="R1720" s="77"/>
      <c r="S1720" s="76"/>
      <c r="T1720" s="77"/>
      <c r="U1720" s="76"/>
      <c r="V1720" s="77"/>
      <c r="W1720" s="76"/>
      <c r="X1720" s="77"/>
      <c r="Y1720" s="76"/>
      <c r="Z1720" s="76"/>
      <c r="AA1720" s="76"/>
      <c r="AB1720" s="76"/>
      <c r="AC1720" s="76"/>
      <c r="AD1720" s="76"/>
      <c r="AE1720" s="76"/>
      <c r="AF1720" s="76"/>
      <c r="AG1720" s="76"/>
      <c r="AH1720" s="76"/>
      <c r="AI1720" s="76"/>
      <c r="AJ1720" s="76"/>
      <c r="AK1720" s="76"/>
      <c r="AL1720" s="77"/>
      <c r="AM1720" s="76"/>
      <c r="AN1720" s="76"/>
    </row>
    <row r="1721" spans="1:40" ht="15">
      <c r="A1721" s="83" t="e">
        <f>IF(#REF!&lt;&gt;#REF!,1,A1720+1)</f>
        <v>#REF!</v>
      </c>
      <c r="O1721" s="79"/>
      <c r="P1721" s="79"/>
      <c r="Q1721" s="76"/>
      <c r="R1721" s="77"/>
      <c r="S1721" s="76"/>
      <c r="T1721" s="77"/>
      <c r="U1721" s="76"/>
      <c r="V1721" s="77"/>
      <c r="W1721" s="76"/>
      <c r="X1721" s="77"/>
      <c r="Y1721" s="76"/>
      <c r="Z1721" s="76"/>
      <c r="AA1721" s="76"/>
      <c r="AB1721" s="76"/>
      <c r="AC1721" s="76"/>
      <c r="AD1721" s="76"/>
      <c r="AE1721" s="76"/>
      <c r="AF1721" s="76"/>
      <c r="AG1721" s="76"/>
      <c r="AH1721" s="76"/>
      <c r="AI1721" s="76"/>
      <c r="AJ1721" s="76"/>
      <c r="AK1721" s="76"/>
      <c r="AL1721" s="77"/>
      <c r="AM1721" s="76"/>
      <c r="AN1721" s="76"/>
    </row>
    <row r="1722" spans="1:40" ht="15">
      <c r="A1722" s="83" t="e">
        <f>IF(#REF!&lt;&gt;#REF!,1,A1721+1)</f>
        <v>#REF!</v>
      </c>
      <c r="O1722" s="79"/>
      <c r="P1722" s="79"/>
      <c r="Q1722" s="76"/>
      <c r="R1722" s="77"/>
      <c r="S1722" s="76"/>
      <c r="T1722" s="77"/>
      <c r="U1722" s="76"/>
      <c r="V1722" s="77"/>
      <c r="W1722" s="76"/>
      <c r="X1722" s="77"/>
      <c r="Y1722" s="76"/>
      <c r="Z1722" s="76"/>
      <c r="AA1722" s="76"/>
      <c r="AB1722" s="76"/>
      <c r="AC1722" s="76"/>
      <c r="AD1722" s="76"/>
      <c r="AE1722" s="76"/>
      <c r="AF1722" s="76"/>
      <c r="AG1722" s="76"/>
      <c r="AH1722" s="76"/>
      <c r="AI1722" s="76"/>
      <c r="AJ1722" s="76"/>
      <c r="AK1722" s="76"/>
      <c r="AL1722" s="77"/>
      <c r="AM1722" s="76"/>
      <c r="AN1722" s="76"/>
    </row>
    <row r="1723" spans="1:40" ht="15">
      <c r="A1723" s="83" t="e">
        <f>IF(#REF!&lt;&gt;#REF!,1,A1722+1)</f>
        <v>#REF!</v>
      </c>
      <c r="O1723" s="79"/>
      <c r="P1723" s="79"/>
      <c r="Q1723" s="76"/>
      <c r="R1723" s="77"/>
      <c r="S1723" s="76"/>
      <c r="T1723" s="77"/>
      <c r="U1723" s="76"/>
      <c r="V1723" s="77"/>
      <c r="W1723" s="76"/>
      <c r="X1723" s="77"/>
      <c r="Y1723" s="76"/>
      <c r="Z1723" s="76"/>
      <c r="AA1723" s="76"/>
      <c r="AB1723" s="76"/>
      <c r="AC1723" s="76"/>
      <c r="AD1723" s="76"/>
      <c r="AE1723" s="76"/>
      <c r="AF1723" s="76"/>
      <c r="AG1723" s="76"/>
      <c r="AH1723" s="76"/>
      <c r="AI1723" s="76"/>
      <c r="AJ1723" s="76"/>
      <c r="AK1723" s="76"/>
      <c r="AL1723" s="77"/>
      <c r="AM1723" s="76"/>
      <c r="AN1723" s="76"/>
    </row>
    <row r="1724" spans="1:40" ht="15">
      <c r="A1724" s="83" t="e">
        <f>IF(#REF!&lt;&gt;#REF!,1,A1723+1)</f>
        <v>#REF!</v>
      </c>
      <c r="O1724" s="79"/>
      <c r="P1724" s="79"/>
      <c r="Q1724" s="76"/>
      <c r="R1724" s="77"/>
      <c r="S1724" s="76"/>
      <c r="T1724" s="77"/>
      <c r="U1724" s="76"/>
      <c r="V1724" s="77"/>
      <c r="W1724" s="76"/>
      <c r="X1724" s="77"/>
      <c r="Y1724" s="76"/>
      <c r="Z1724" s="76"/>
      <c r="AA1724" s="76"/>
      <c r="AB1724" s="76"/>
      <c r="AC1724" s="76"/>
      <c r="AD1724" s="76"/>
      <c r="AE1724" s="76"/>
      <c r="AF1724" s="76"/>
      <c r="AG1724" s="76"/>
      <c r="AH1724" s="76"/>
      <c r="AI1724" s="76"/>
      <c r="AJ1724" s="76"/>
      <c r="AK1724" s="76"/>
      <c r="AL1724" s="77"/>
      <c r="AM1724" s="76"/>
      <c r="AN1724" s="76"/>
    </row>
    <row r="1725" spans="1:40" ht="15">
      <c r="A1725" s="83" t="e">
        <f>IF(#REF!&lt;&gt;#REF!,1,A1724+1)</f>
        <v>#REF!</v>
      </c>
      <c r="O1725" s="79"/>
      <c r="P1725" s="79"/>
      <c r="Q1725" s="76"/>
      <c r="R1725" s="77"/>
      <c r="S1725" s="76"/>
      <c r="T1725" s="77"/>
      <c r="U1725" s="76"/>
      <c r="V1725" s="77"/>
      <c r="W1725" s="76"/>
      <c r="X1725" s="77"/>
      <c r="Y1725" s="76"/>
      <c r="Z1725" s="76"/>
      <c r="AA1725" s="76"/>
      <c r="AB1725" s="76"/>
      <c r="AC1725" s="76"/>
      <c r="AD1725" s="76"/>
      <c r="AE1725" s="76"/>
      <c r="AF1725" s="76"/>
      <c r="AG1725" s="76"/>
      <c r="AH1725" s="76"/>
      <c r="AI1725" s="76"/>
      <c r="AJ1725" s="76"/>
      <c r="AK1725" s="76"/>
      <c r="AL1725" s="77"/>
      <c r="AM1725" s="76"/>
      <c r="AN1725" s="76"/>
    </row>
    <row r="1726" spans="1:40" ht="15">
      <c r="A1726" s="83" t="e">
        <f>IF(#REF!&lt;&gt;#REF!,1,A1725+1)</f>
        <v>#REF!</v>
      </c>
      <c r="O1726" s="79"/>
      <c r="P1726" s="79"/>
      <c r="Q1726" s="76"/>
      <c r="R1726" s="77"/>
      <c r="S1726" s="76"/>
      <c r="T1726" s="77"/>
      <c r="U1726" s="76"/>
      <c r="V1726" s="77"/>
      <c r="W1726" s="76"/>
      <c r="X1726" s="77"/>
      <c r="Y1726" s="76"/>
      <c r="Z1726" s="76"/>
      <c r="AA1726" s="76"/>
      <c r="AB1726" s="76"/>
      <c r="AC1726" s="76"/>
      <c r="AD1726" s="76"/>
      <c r="AE1726" s="76"/>
      <c r="AF1726" s="76"/>
      <c r="AG1726" s="76"/>
      <c r="AH1726" s="76"/>
      <c r="AI1726" s="76"/>
      <c r="AJ1726" s="76"/>
      <c r="AK1726" s="76"/>
      <c r="AL1726" s="77"/>
      <c r="AM1726" s="76"/>
      <c r="AN1726" s="76"/>
    </row>
    <row r="1727" spans="1:40" ht="15">
      <c r="A1727" s="83" t="e">
        <f>IF(#REF!&lt;&gt;#REF!,1,A1726+1)</f>
        <v>#REF!</v>
      </c>
      <c r="O1727" s="79"/>
      <c r="P1727" s="79"/>
      <c r="Q1727" s="76"/>
      <c r="R1727" s="77"/>
      <c r="S1727" s="76"/>
      <c r="T1727" s="77"/>
      <c r="U1727" s="76"/>
      <c r="V1727" s="77"/>
      <c r="W1727" s="76"/>
      <c r="X1727" s="77"/>
      <c r="Y1727" s="76"/>
      <c r="Z1727" s="76"/>
      <c r="AA1727" s="76"/>
      <c r="AB1727" s="76"/>
      <c r="AC1727" s="76"/>
      <c r="AD1727" s="76"/>
      <c r="AE1727" s="76"/>
      <c r="AF1727" s="76"/>
      <c r="AG1727" s="76"/>
      <c r="AH1727" s="76"/>
      <c r="AI1727" s="76"/>
      <c r="AJ1727" s="76"/>
      <c r="AK1727" s="76"/>
      <c r="AL1727" s="77"/>
      <c r="AM1727" s="76"/>
      <c r="AN1727" s="76"/>
    </row>
    <row r="1728" spans="1:40" ht="15">
      <c r="A1728" s="83" t="e">
        <f>IF(#REF!&lt;&gt;#REF!,1,A1727+1)</f>
        <v>#REF!</v>
      </c>
      <c r="O1728" s="79"/>
      <c r="P1728" s="79"/>
      <c r="Q1728" s="76"/>
      <c r="R1728" s="77"/>
      <c r="S1728" s="76"/>
      <c r="T1728" s="77"/>
      <c r="U1728" s="76"/>
      <c r="V1728" s="77"/>
      <c r="W1728" s="76"/>
      <c r="X1728" s="77"/>
      <c r="Y1728" s="76"/>
      <c r="Z1728" s="76"/>
      <c r="AA1728" s="76"/>
      <c r="AB1728" s="76"/>
      <c r="AC1728" s="76"/>
      <c r="AD1728" s="76"/>
      <c r="AE1728" s="76"/>
      <c r="AF1728" s="76"/>
      <c r="AG1728" s="76"/>
      <c r="AH1728" s="76"/>
      <c r="AI1728" s="76"/>
      <c r="AJ1728" s="76"/>
      <c r="AK1728" s="76"/>
      <c r="AL1728" s="77"/>
      <c r="AM1728" s="76"/>
      <c r="AN1728" s="76"/>
    </row>
    <row r="1729" spans="1:40" ht="15">
      <c r="A1729" s="83" t="e">
        <f>IF(#REF!&lt;&gt;#REF!,1,A1728+1)</f>
        <v>#REF!</v>
      </c>
      <c r="O1729" s="79"/>
      <c r="P1729" s="79"/>
      <c r="Q1729" s="76"/>
      <c r="R1729" s="77"/>
      <c r="S1729" s="76"/>
      <c r="T1729" s="77"/>
      <c r="U1729" s="76"/>
      <c r="V1729" s="77"/>
      <c r="W1729" s="76"/>
      <c r="X1729" s="77"/>
      <c r="Y1729" s="76"/>
      <c r="Z1729" s="76"/>
      <c r="AA1729" s="76"/>
      <c r="AB1729" s="76"/>
      <c r="AC1729" s="76"/>
      <c r="AD1729" s="76"/>
      <c r="AE1729" s="76"/>
      <c r="AF1729" s="76"/>
      <c r="AG1729" s="76"/>
      <c r="AH1729" s="76"/>
      <c r="AI1729" s="76"/>
      <c r="AJ1729" s="76"/>
      <c r="AK1729" s="76"/>
      <c r="AL1729" s="77"/>
      <c r="AM1729" s="76"/>
      <c r="AN1729" s="76"/>
    </row>
    <row r="1730" spans="1:40" ht="15">
      <c r="A1730" s="83" t="e">
        <f>IF(#REF!&lt;&gt;#REF!,1,A1729+1)</f>
        <v>#REF!</v>
      </c>
      <c r="O1730" s="79"/>
      <c r="P1730" s="79"/>
      <c r="Q1730" s="76"/>
      <c r="R1730" s="77"/>
      <c r="S1730" s="76"/>
      <c r="T1730" s="77"/>
      <c r="U1730" s="76"/>
      <c r="V1730" s="77"/>
      <c r="W1730" s="76"/>
      <c r="X1730" s="77"/>
      <c r="Y1730" s="76"/>
      <c r="Z1730" s="76"/>
      <c r="AA1730" s="76"/>
      <c r="AB1730" s="76"/>
      <c r="AC1730" s="76"/>
      <c r="AD1730" s="76"/>
      <c r="AE1730" s="76"/>
      <c r="AF1730" s="76"/>
      <c r="AG1730" s="76"/>
      <c r="AH1730" s="76"/>
      <c r="AI1730" s="76"/>
      <c r="AJ1730" s="76"/>
      <c r="AK1730" s="76"/>
      <c r="AL1730" s="77"/>
      <c r="AM1730" s="76"/>
      <c r="AN1730" s="76"/>
    </row>
    <row r="1731" spans="1:40" ht="15">
      <c r="A1731" s="83" t="e">
        <f>IF(#REF!&lt;&gt;#REF!,1,A1730+1)</f>
        <v>#REF!</v>
      </c>
      <c r="O1731" s="79"/>
      <c r="P1731" s="79"/>
      <c r="Q1731" s="76"/>
      <c r="R1731" s="77"/>
      <c r="S1731" s="76"/>
      <c r="T1731" s="77"/>
      <c r="U1731" s="76"/>
      <c r="V1731" s="77"/>
      <c r="W1731" s="76"/>
      <c r="X1731" s="77"/>
      <c r="Y1731" s="76"/>
      <c r="Z1731" s="76"/>
      <c r="AA1731" s="76"/>
      <c r="AB1731" s="76"/>
      <c r="AC1731" s="76"/>
      <c r="AD1731" s="76"/>
      <c r="AE1731" s="76"/>
      <c r="AF1731" s="76"/>
      <c r="AG1731" s="76"/>
      <c r="AH1731" s="76"/>
      <c r="AI1731" s="76"/>
      <c r="AJ1731" s="76"/>
      <c r="AK1731" s="76"/>
      <c r="AL1731" s="77"/>
      <c r="AM1731" s="76"/>
      <c r="AN1731" s="76"/>
    </row>
    <row r="1732" spans="1:40" ht="15">
      <c r="A1732" s="83" t="e">
        <f>IF(#REF!&lt;&gt;#REF!,1,A1731+1)</f>
        <v>#REF!</v>
      </c>
      <c r="O1732" s="79"/>
      <c r="P1732" s="79"/>
      <c r="Q1732" s="76"/>
      <c r="R1732" s="77"/>
      <c r="S1732" s="76"/>
      <c r="T1732" s="77"/>
      <c r="U1732" s="76"/>
      <c r="V1732" s="77"/>
      <c r="W1732" s="76"/>
      <c r="X1732" s="77"/>
      <c r="Y1732" s="76"/>
      <c r="Z1732" s="76"/>
      <c r="AA1732" s="76"/>
      <c r="AB1732" s="76"/>
      <c r="AC1732" s="76"/>
      <c r="AD1732" s="76"/>
      <c r="AE1732" s="76"/>
      <c r="AF1732" s="76"/>
      <c r="AG1732" s="76"/>
      <c r="AH1732" s="76"/>
      <c r="AI1732" s="76"/>
      <c r="AJ1732" s="76"/>
      <c r="AK1732" s="76"/>
      <c r="AL1732" s="77"/>
      <c r="AM1732" s="76"/>
      <c r="AN1732" s="76"/>
    </row>
    <row r="1733" spans="1:40" ht="15">
      <c r="A1733" s="83" t="e">
        <f>IF(#REF!&lt;&gt;#REF!,1,A1732+1)</f>
        <v>#REF!</v>
      </c>
      <c r="O1733" s="79"/>
      <c r="P1733" s="79"/>
      <c r="Q1733" s="76"/>
      <c r="R1733" s="77"/>
      <c r="S1733" s="76"/>
      <c r="T1733" s="77"/>
      <c r="U1733" s="76"/>
      <c r="V1733" s="77"/>
      <c r="W1733" s="76"/>
      <c r="X1733" s="77"/>
      <c r="Y1733" s="76"/>
      <c r="Z1733" s="76"/>
      <c r="AA1733" s="76"/>
      <c r="AB1733" s="76"/>
      <c r="AC1733" s="76"/>
      <c r="AD1733" s="76"/>
      <c r="AE1733" s="76"/>
      <c r="AF1733" s="76"/>
      <c r="AG1733" s="76"/>
      <c r="AH1733" s="76"/>
      <c r="AI1733" s="76"/>
      <c r="AJ1733" s="76"/>
      <c r="AK1733" s="76"/>
      <c r="AL1733" s="77"/>
      <c r="AM1733" s="76"/>
      <c r="AN1733" s="76"/>
    </row>
    <row r="1734" spans="1:40" ht="15">
      <c r="A1734" s="83" t="e">
        <f>IF(#REF!&lt;&gt;#REF!,1,A1733+1)</f>
        <v>#REF!</v>
      </c>
      <c r="O1734" s="79"/>
      <c r="P1734" s="79"/>
      <c r="Q1734" s="76"/>
      <c r="R1734" s="77"/>
      <c r="S1734" s="76"/>
      <c r="T1734" s="77"/>
      <c r="U1734" s="76"/>
      <c r="V1734" s="77"/>
      <c r="W1734" s="76"/>
      <c r="X1734" s="77"/>
      <c r="Y1734" s="76"/>
      <c r="Z1734" s="76"/>
      <c r="AA1734" s="76"/>
      <c r="AB1734" s="76"/>
      <c r="AC1734" s="76"/>
      <c r="AD1734" s="76"/>
      <c r="AE1734" s="76"/>
      <c r="AF1734" s="76"/>
      <c r="AG1734" s="76"/>
      <c r="AH1734" s="76"/>
      <c r="AI1734" s="76"/>
      <c r="AJ1734" s="76"/>
      <c r="AK1734" s="76"/>
      <c r="AL1734" s="77"/>
      <c r="AM1734" s="76"/>
      <c r="AN1734" s="76"/>
    </row>
    <row r="1735" spans="1:40" ht="15">
      <c r="A1735" s="83" t="e">
        <f>IF(#REF!&lt;&gt;#REF!,1,A1734+1)</f>
        <v>#REF!</v>
      </c>
      <c r="O1735" s="79"/>
      <c r="P1735" s="79"/>
      <c r="Q1735" s="76"/>
      <c r="R1735" s="77"/>
      <c r="S1735" s="76"/>
      <c r="T1735" s="77"/>
      <c r="U1735" s="76"/>
      <c r="V1735" s="77"/>
      <c r="W1735" s="76"/>
      <c r="X1735" s="77"/>
      <c r="Y1735" s="76"/>
      <c r="Z1735" s="76"/>
      <c r="AA1735" s="76"/>
      <c r="AB1735" s="76"/>
      <c r="AC1735" s="76"/>
      <c r="AD1735" s="76"/>
      <c r="AE1735" s="76"/>
      <c r="AF1735" s="76"/>
      <c r="AG1735" s="76"/>
      <c r="AH1735" s="76"/>
      <c r="AI1735" s="76"/>
      <c r="AJ1735" s="76"/>
      <c r="AK1735" s="76"/>
      <c r="AL1735" s="77"/>
      <c r="AM1735" s="76"/>
      <c r="AN1735" s="76"/>
    </row>
    <row r="1736" spans="1:40" ht="15">
      <c r="A1736" s="83" t="e">
        <f>IF(#REF!&lt;&gt;#REF!,1,A1735+1)</f>
        <v>#REF!</v>
      </c>
      <c r="O1736" s="79"/>
      <c r="P1736" s="79"/>
      <c r="Q1736" s="76"/>
      <c r="R1736" s="77"/>
      <c r="S1736" s="76"/>
      <c r="T1736" s="77"/>
      <c r="U1736" s="76"/>
      <c r="V1736" s="77"/>
      <c r="W1736" s="76"/>
      <c r="X1736" s="77"/>
      <c r="Y1736" s="76"/>
      <c r="Z1736" s="76"/>
      <c r="AA1736" s="76"/>
      <c r="AB1736" s="76"/>
      <c r="AC1736" s="76"/>
      <c r="AD1736" s="76"/>
      <c r="AE1736" s="76"/>
      <c r="AF1736" s="76"/>
      <c r="AG1736" s="76"/>
      <c r="AH1736" s="76"/>
      <c r="AI1736" s="76"/>
      <c r="AJ1736" s="76"/>
      <c r="AK1736" s="76"/>
      <c r="AL1736" s="77"/>
      <c r="AM1736" s="76"/>
      <c r="AN1736" s="76"/>
    </row>
    <row r="1737" spans="1:40" ht="15">
      <c r="A1737" s="83" t="e">
        <f>IF(#REF!&lt;&gt;#REF!,1,A1736+1)</f>
        <v>#REF!</v>
      </c>
      <c r="O1737" s="79"/>
      <c r="P1737" s="79"/>
      <c r="Q1737" s="76"/>
      <c r="R1737" s="77"/>
      <c r="S1737" s="76"/>
      <c r="T1737" s="77"/>
      <c r="U1737" s="76"/>
      <c r="V1737" s="77"/>
      <c r="W1737" s="76"/>
      <c r="X1737" s="77"/>
      <c r="Y1737" s="76"/>
      <c r="Z1737" s="76"/>
      <c r="AA1737" s="76"/>
      <c r="AB1737" s="76"/>
      <c r="AC1737" s="76"/>
      <c r="AD1737" s="76"/>
      <c r="AE1737" s="76"/>
      <c r="AF1737" s="76"/>
      <c r="AG1737" s="76"/>
      <c r="AH1737" s="76"/>
      <c r="AI1737" s="76"/>
      <c r="AJ1737" s="76"/>
      <c r="AK1737" s="76"/>
      <c r="AL1737" s="77"/>
      <c r="AM1737" s="76"/>
      <c r="AN1737" s="76"/>
    </row>
    <row r="1738" spans="1:40" ht="15">
      <c r="A1738" s="83" t="e">
        <f>IF(#REF!&lt;&gt;#REF!,1,A1737+1)</f>
        <v>#REF!</v>
      </c>
      <c r="O1738" s="79"/>
      <c r="P1738" s="79"/>
      <c r="Q1738" s="76"/>
      <c r="R1738" s="77"/>
      <c r="S1738" s="76"/>
      <c r="T1738" s="77"/>
      <c r="U1738" s="76"/>
      <c r="V1738" s="77"/>
      <c r="W1738" s="76"/>
      <c r="X1738" s="77"/>
      <c r="Y1738" s="76"/>
      <c r="Z1738" s="76"/>
      <c r="AA1738" s="76"/>
      <c r="AB1738" s="76"/>
      <c r="AC1738" s="76"/>
      <c r="AD1738" s="76"/>
      <c r="AE1738" s="76"/>
      <c r="AF1738" s="76"/>
      <c r="AG1738" s="76"/>
      <c r="AH1738" s="76"/>
      <c r="AI1738" s="76"/>
      <c r="AJ1738" s="76"/>
      <c r="AK1738" s="76"/>
      <c r="AL1738" s="77"/>
      <c r="AM1738" s="76"/>
      <c r="AN1738" s="76"/>
    </row>
    <row r="1739" spans="1:40" ht="15">
      <c r="A1739" s="83" t="e">
        <f>IF(#REF!&lt;&gt;#REF!,1,A1738+1)</f>
        <v>#REF!</v>
      </c>
      <c r="O1739" s="79"/>
      <c r="P1739" s="79"/>
      <c r="Q1739" s="76"/>
      <c r="R1739" s="77"/>
      <c r="S1739" s="76"/>
      <c r="T1739" s="77"/>
      <c r="U1739" s="76"/>
      <c r="V1739" s="77"/>
      <c r="W1739" s="76"/>
      <c r="X1739" s="77"/>
      <c r="Y1739" s="76"/>
      <c r="Z1739" s="76"/>
      <c r="AA1739" s="76"/>
      <c r="AB1739" s="76"/>
      <c r="AC1739" s="76"/>
      <c r="AD1739" s="76"/>
      <c r="AE1739" s="76"/>
      <c r="AF1739" s="76"/>
      <c r="AG1739" s="76"/>
      <c r="AH1739" s="76"/>
      <c r="AI1739" s="76"/>
      <c r="AJ1739" s="76"/>
      <c r="AK1739" s="76"/>
      <c r="AL1739" s="77"/>
      <c r="AM1739" s="76"/>
      <c r="AN1739" s="76"/>
    </row>
    <row r="1740" spans="1:40" ht="15">
      <c r="A1740" s="83" t="e">
        <f>IF(#REF!&lt;&gt;#REF!,1,A1739+1)</f>
        <v>#REF!</v>
      </c>
      <c r="O1740" s="79"/>
      <c r="P1740" s="79"/>
      <c r="Q1740" s="76"/>
      <c r="R1740" s="77"/>
      <c r="S1740" s="76"/>
      <c r="T1740" s="77"/>
      <c r="U1740" s="76"/>
      <c r="V1740" s="77"/>
      <c r="W1740" s="76"/>
      <c r="X1740" s="77"/>
      <c r="Y1740" s="76"/>
      <c r="Z1740" s="76"/>
      <c r="AA1740" s="76"/>
      <c r="AB1740" s="76"/>
      <c r="AC1740" s="76"/>
      <c r="AD1740" s="76"/>
      <c r="AE1740" s="76"/>
      <c r="AF1740" s="76"/>
      <c r="AG1740" s="76"/>
      <c r="AH1740" s="76"/>
      <c r="AI1740" s="76"/>
      <c r="AJ1740" s="76"/>
      <c r="AK1740" s="76"/>
      <c r="AL1740" s="77"/>
      <c r="AM1740" s="76"/>
      <c r="AN1740" s="76"/>
    </row>
    <row r="1741" spans="1:40" ht="15">
      <c r="A1741" s="83" t="e">
        <f>IF(#REF!&lt;&gt;#REF!,1,A1740+1)</f>
        <v>#REF!</v>
      </c>
      <c r="O1741" s="79"/>
      <c r="P1741" s="79"/>
      <c r="Q1741" s="76"/>
      <c r="R1741" s="77"/>
      <c r="S1741" s="76"/>
      <c r="T1741" s="77"/>
      <c r="U1741" s="76"/>
      <c r="V1741" s="77"/>
      <c r="W1741" s="76"/>
      <c r="X1741" s="77"/>
      <c r="Y1741" s="76"/>
      <c r="Z1741" s="76"/>
      <c r="AA1741" s="76"/>
      <c r="AB1741" s="76"/>
      <c r="AC1741" s="76"/>
      <c r="AD1741" s="76"/>
      <c r="AE1741" s="76"/>
      <c r="AF1741" s="76"/>
      <c r="AG1741" s="76"/>
      <c r="AH1741" s="76"/>
      <c r="AI1741" s="76"/>
      <c r="AJ1741" s="76"/>
      <c r="AK1741" s="76"/>
      <c r="AL1741" s="77"/>
      <c r="AM1741" s="76"/>
      <c r="AN1741" s="76"/>
    </row>
    <row r="1742" spans="1:40" ht="15">
      <c r="A1742" s="83" t="e">
        <f>IF(#REF!&lt;&gt;#REF!,1,A1741+1)</f>
        <v>#REF!</v>
      </c>
      <c r="O1742" s="79"/>
      <c r="P1742" s="79"/>
      <c r="Q1742" s="76"/>
      <c r="R1742" s="77"/>
      <c r="S1742" s="76"/>
      <c r="T1742" s="77"/>
      <c r="U1742" s="76"/>
      <c r="V1742" s="77"/>
      <c r="W1742" s="76"/>
      <c r="X1742" s="77"/>
      <c r="Y1742" s="76"/>
      <c r="Z1742" s="76"/>
      <c r="AA1742" s="76"/>
      <c r="AB1742" s="76"/>
      <c r="AC1742" s="76"/>
      <c r="AD1742" s="76"/>
      <c r="AE1742" s="76"/>
      <c r="AF1742" s="76"/>
      <c r="AG1742" s="76"/>
      <c r="AH1742" s="76"/>
      <c r="AI1742" s="76"/>
      <c r="AJ1742" s="76"/>
      <c r="AK1742" s="76"/>
      <c r="AL1742" s="77"/>
      <c r="AM1742" s="76"/>
      <c r="AN1742" s="76"/>
    </row>
    <row r="1743" spans="1:40" ht="15">
      <c r="A1743" s="83" t="e">
        <f>IF(#REF!&lt;&gt;#REF!,1,A1742+1)</f>
        <v>#REF!</v>
      </c>
      <c r="O1743" s="79"/>
      <c r="P1743" s="79"/>
      <c r="Q1743" s="76"/>
      <c r="R1743" s="77"/>
      <c r="S1743" s="76"/>
      <c r="T1743" s="77"/>
      <c r="U1743" s="76"/>
      <c r="V1743" s="77"/>
      <c r="W1743" s="76"/>
      <c r="X1743" s="77"/>
      <c r="Y1743" s="76"/>
      <c r="Z1743" s="76"/>
      <c r="AA1743" s="76"/>
      <c r="AB1743" s="76"/>
      <c r="AC1743" s="76"/>
      <c r="AD1743" s="76"/>
      <c r="AE1743" s="76"/>
      <c r="AF1743" s="76"/>
      <c r="AG1743" s="76"/>
      <c r="AH1743" s="76"/>
      <c r="AI1743" s="76"/>
      <c r="AJ1743" s="76"/>
      <c r="AK1743" s="76"/>
      <c r="AL1743" s="77"/>
      <c r="AM1743" s="76"/>
      <c r="AN1743" s="76"/>
    </row>
    <row r="1744" spans="1:40" ht="15">
      <c r="A1744" s="83" t="e">
        <f>IF(#REF!&lt;&gt;#REF!,1,A1743+1)</f>
        <v>#REF!</v>
      </c>
      <c r="O1744" s="79"/>
      <c r="P1744" s="79"/>
      <c r="Q1744" s="76"/>
      <c r="R1744" s="77"/>
      <c r="S1744" s="76"/>
      <c r="T1744" s="77"/>
      <c r="U1744" s="76"/>
      <c r="V1744" s="77"/>
      <c r="W1744" s="76"/>
      <c r="X1744" s="77"/>
      <c r="Y1744" s="76"/>
      <c r="Z1744" s="76"/>
      <c r="AA1744" s="76"/>
      <c r="AB1744" s="76"/>
      <c r="AC1744" s="76"/>
      <c r="AD1744" s="76"/>
      <c r="AE1744" s="76"/>
      <c r="AF1744" s="76"/>
      <c r="AG1744" s="76"/>
      <c r="AH1744" s="76"/>
      <c r="AI1744" s="76"/>
      <c r="AJ1744" s="76"/>
      <c r="AK1744" s="76"/>
      <c r="AL1744" s="77"/>
      <c r="AM1744" s="76"/>
      <c r="AN1744" s="76"/>
    </row>
    <row r="1745" spans="1:40" ht="15">
      <c r="A1745" s="83" t="e">
        <f>IF(#REF!&lt;&gt;#REF!,1,A1744+1)</f>
        <v>#REF!</v>
      </c>
      <c r="O1745" s="79"/>
      <c r="P1745" s="79"/>
      <c r="Q1745" s="76"/>
      <c r="R1745" s="77"/>
      <c r="S1745" s="76"/>
      <c r="T1745" s="77"/>
      <c r="U1745" s="76"/>
      <c r="V1745" s="77"/>
      <c r="W1745" s="76"/>
      <c r="X1745" s="77"/>
      <c r="Y1745" s="76"/>
      <c r="Z1745" s="76"/>
      <c r="AA1745" s="76"/>
      <c r="AB1745" s="76"/>
      <c r="AC1745" s="76"/>
      <c r="AD1745" s="76"/>
      <c r="AE1745" s="76"/>
      <c r="AF1745" s="76"/>
      <c r="AG1745" s="76"/>
      <c r="AH1745" s="76"/>
      <c r="AI1745" s="76"/>
      <c r="AJ1745" s="76"/>
      <c r="AK1745" s="76"/>
      <c r="AL1745" s="77"/>
      <c r="AM1745" s="76"/>
      <c r="AN1745" s="76"/>
    </row>
    <row r="1746" spans="1:40" ht="15">
      <c r="A1746" s="83" t="e">
        <f>IF(#REF!&lt;&gt;#REF!,1,A1745+1)</f>
        <v>#REF!</v>
      </c>
      <c r="O1746" s="79"/>
      <c r="P1746" s="79"/>
      <c r="Q1746" s="76"/>
      <c r="R1746" s="77"/>
      <c r="S1746" s="76"/>
      <c r="T1746" s="77"/>
      <c r="U1746" s="76"/>
      <c r="V1746" s="77"/>
      <c r="W1746" s="76"/>
      <c r="X1746" s="77"/>
      <c r="Y1746" s="76"/>
      <c r="Z1746" s="76"/>
      <c r="AA1746" s="76"/>
      <c r="AB1746" s="76"/>
      <c r="AC1746" s="76"/>
      <c r="AD1746" s="76"/>
      <c r="AE1746" s="76"/>
      <c r="AF1746" s="76"/>
      <c r="AG1746" s="76"/>
      <c r="AH1746" s="76"/>
      <c r="AI1746" s="76"/>
      <c r="AJ1746" s="76"/>
      <c r="AK1746" s="76"/>
      <c r="AL1746" s="77"/>
      <c r="AM1746" s="76"/>
      <c r="AN1746" s="76"/>
    </row>
    <row r="1747" spans="1:40" ht="15">
      <c r="A1747" s="83" t="e">
        <f>IF(#REF!&lt;&gt;#REF!,1,A1746+1)</f>
        <v>#REF!</v>
      </c>
      <c r="O1747" s="79"/>
      <c r="P1747" s="79"/>
      <c r="Q1747" s="76"/>
      <c r="R1747" s="77"/>
      <c r="S1747" s="76"/>
      <c r="T1747" s="77"/>
      <c r="U1747" s="76"/>
      <c r="V1747" s="77"/>
      <c r="W1747" s="76"/>
      <c r="X1747" s="77"/>
      <c r="Y1747" s="76"/>
      <c r="Z1747" s="76"/>
      <c r="AA1747" s="76"/>
      <c r="AB1747" s="76"/>
      <c r="AC1747" s="76"/>
      <c r="AD1747" s="76"/>
      <c r="AE1747" s="76"/>
      <c r="AF1747" s="76"/>
      <c r="AG1747" s="76"/>
      <c r="AH1747" s="76"/>
      <c r="AI1747" s="76"/>
      <c r="AJ1747" s="76"/>
      <c r="AK1747" s="76"/>
      <c r="AL1747" s="77"/>
      <c r="AM1747" s="76"/>
      <c r="AN1747" s="76"/>
    </row>
    <row r="1748" spans="1:40" ht="15">
      <c r="A1748" s="83" t="e">
        <f>IF(#REF!&lt;&gt;#REF!,1,A1747+1)</f>
        <v>#REF!</v>
      </c>
      <c r="O1748" s="79"/>
      <c r="P1748" s="79"/>
      <c r="Q1748" s="76"/>
      <c r="R1748" s="77"/>
      <c r="S1748" s="76"/>
      <c r="T1748" s="77"/>
      <c r="U1748" s="76"/>
      <c r="V1748" s="77"/>
      <c r="W1748" s="76"/>
      <c r="X1748" s="77"/>
      <c r="Y1748" s="76"/>
      <c r="Z1748" s="76"/>
      <c r="AA1748" s="76"/>
      <c r="AB1748" s="76"/>
      <c r="AC1748" s="76"/>
      <c r="AD1748" s="76"/>
      <c r="AE1748" s="76"/>
      <c r="AF1748" s="76"/>
      <c r="AG1748" s="76"/>
      <c r="AH1748" s="76"/>
      <c r="AI1748" s="76"/>
      <c r="AJ1748" s="76"/>
      <c r="AK1748" s="76"/>
      <c r="AL1748" s="77"/>
      <c r="AM1748" s="76"/>
      <c r="AN1748" s="76"/>
    </row>
    <row r="1749" spans="1:40" ht="15">
      <c r="A1749" s="83" t="e">
        <f>IF(#REF!&lt;&gt;#REF!,1,A1748+1)</f>
        <v>#REF!</v>
      </c>
      <c r="O1749" s="79"/>
      <c r="P1749" s="79"/>
      <c r="Q1749" s="76"/>
      <c r="R1749" s="77"/>
      <c r="S1749" s="76"/>
      <c r="T1749" s="77"/>
      <c r="U1749" s="76"/>
      <c r="V1749" s="77"/>
      <c r="W1749" s="76"/>
      <c r="X1749" s="77"/>
      <c r="Y1749" s="76"/>
      <c r="Z1749" s="76"/>
      <c r="AA1749" s="76"/>
      <c r="AB1749" s="76"/>
      <c r="AC1749" s="76"/>
      <c r="AD1749" s="76"/>
      <c r="AE1749" s="76"/>
      <c r="AF1749" s="76"/>
      <c r="AG1749" s="76"/>
      <c r="AH1749" s="76"/>
      <c r="AI1749" s="76"/>
      <c r="AJ1749" s="76"/>
      <c r="AK1749" s="76"/>
      <c r="AL1749" s="77"/>
      <c r="AM1749" s="76"/>
      <c r="AN1749" s="76"/>
    </row>
    <row r="1750" spans="1:40" ht="15">
      <c r="A1750" s="83" t="e">
        <f>IF(#REF!&lt;&gt;#REF!,1,A1749+1)</f>
        <v>#REF!</v>
      </c>
      <c r="O1750" s="79"/>
      <c r="P1750" s="79"/>
      <c r="Q1750" s="76"/>
      <c r="R1750" s="77"/>
      <c r="S1750" s="76"/>
      <c r="T1750" s="77"/>
      <c r="U1750" s="76"/>
      <c r="V1750" s="77"/>
      <c r="W1750" s="76"/>
      <c r="X1750" s="77"/>
      <c r="Y1750" s="76"/>
      <c r="Z1750" s="76"/>
      <c r="AA1750" s="76"/>
      <c r="AB1750" s="76"/>
      <c r="AC1750" s="76"/>
      <c r="AD1750" s="76"/>
      <c r="AE1750" s="76"/>
      <c r="AF1750" s="76"/>
      <c r="AG1750" s="76"/>
      <c r="AH1750" s="76"/>
      <c r="AI1750" s="76"/>
      <c r="AJ1750" s="76"/>
      <c r="AK1750" s="76"/>
      <c r="AL1750" s="77"/>
      <c r="AM1750" s="76"/>
      <c r="AN1750" s="76"/>
    </row>
    <row r="1751" spans="1:40" ht="15">
      <c r="A1751" s="83" t="e">
        <f>IF(#REF!&lt;&gt;#REF!,1,A1750+1)</f>
        <v>#REF!</v>
      </c>
      <c r="O1751" s="79"/>
      <c r="P1751" s="79"/>
      <c r="Q1751" s="76"/>
      <c r="R1751" s="77"/>
      <c r="S1751" s="76"/>
      <c r="T1751" s="77"/>
      <c r="U1751" s="76"/>
      <c r="V1751" s="77"/>
      <c r="W1751" s="76"/>
      <c r="X1751" s="77"/>
      <c r="Y1751" s="76"/>
      <c r="Z1751" s="76"/>
      <c r="AA1751" s="76"/>
      <c r="AB1751" s="76"/>
      <c r="AC1751" s="76"/>
      <c r="AD1751" s="76"/>
      <c r="AE1751" s="76"/>
      <c r="AF1751" s="76"/>
      <c r="AG1751" s="76"/>
      <c r="AH1751" s="76"/>
      <c r="AI1751" s="76"/>
      <c r="AJ1751" s="76"/>
      <c r="AK1751" s="76"/>
      <c r="AL1751" s="77"/>
      <c r="AM1751" s="76"/>
      <c r="AN1751" s="76"/>
    </row>
    <row r="1752" spans="1:40" ht="15">
      <c r="A1752" s="83" t="e">
        <f>IF(#REF!&lt;&gt;#REF!,1,A1751+1)</f>
        <v>#REF!</v>
      </c>
      <c r="O1752" s="79"/>
      <c r="P1752" s="79"/>
      <c r="Q1752" s="76"/>
      <c r="R1752" s="77"/>
      <c r="S1752" s="76"/>
      <c r="T1752" s="77"/>
      <c r="U1752" s="76"/>
      <c r="V1752" s="77"/>
      <c r="W1752" s="76"/>
      <c r="X1752" s="77"/>
      <c r="Y1752" s="76"/>
      <c r="Z1752" s="76"/>
      <c r="AA1752" s="76"/>
      <c r="AB1752" s="76"/>
      <c r="AC1752" s="76"/>
      <c r="AD1752" s="76"/>
      <c r="AE1752" s="76"/>
      <c r="AF1752" s="76"/>
      <c r="AG1752" s="76"/>
      <c r="AH1752" s="76"/>
      <c r="AI1752" s="76"/>
      <c r="AJ1752" s="76"/>
      <c r="AK1752" s="76"/>
      <c r="AL1752" s="77"/>
      <c r="AM1752" s="76"/>
      <c r="AN1752" s="76"/>
    </row>
    <row r="1753" spans="1:40" ht="15">
      <c r="A1753" s="83" t="e">
        <f>IF(#REF!&lt;&gt;#REF!,1,A1752+1)</f>
        <v>#REF!</v>
      </c>
      <c r="O1753" s="79"/>
      <c r="P1753" s="79"/>
      <c r="Q1753" s="76"/>
      <c r="R1753" s="77"/>
      <c r="S1753" s="76"/>
      <c r="T1753" s="77"/>
      <c r="U1753" s="76"/>
      <c r="V1753" s="77"/>
      <c r="W1753" s="76"/>
      <c r="X1753" s="77"/>
      <c r="Y1753" s="76"/>
      <c r="Z1753" s="76"/>
      <c r="AA1753" s="76"/>
      <c r="AB1753" s="76"/>
      <c r="AC1753" s="76"/>
      <c r="AD1753" s="76"/>
      <c r="AE1753" s="76"/>
      <c r="AF1753" s="76"/>
      <c r="AG1753" s="76"/>
      <c r="AH1753" s="76"/>
      <c r="AI1753" s="76"/>
      <c r="AJ1753" s="76"/>
      <c r="AK1753" s="76"/>
      <c r="AL1753" s="77"/>
      <c r="AM1753" s="76"/>
      <c r="AN1753" s="76"/>
    </row>
    <row r="1754" spans="1:40" ht="15">
      <c r="A1754" s="83" t="e">
        <f>IF(#REF!&lt;&gt;#REF!,1,A1753+1)</f>
        <v>#REF!</v>
      </c>
      <c r="O1754" s="79"/>
      <c r="P1754" s="79"/>
      <c r="Q1754" s="76"/>
      <c r="R1754" s="77"/>
      <c r="S1754" s="76"/>
      <c r="T1754" s="77"/>
      <c r="U1754" s="76"/>
      <c r="V1754" s="77"/>
      <c r="W1754" s="76"/>
      <c r="X1754" s="77"/>
      <c r="Y1754" s="76"/>
      <c r="Z1754" s="76"/>
      <c r="AA1754" s="76"/>
      <c r="AB1754" s="76"/>
      <c r="AC1754" s="76"/>
      <c r="AD1754" s="76"/>
      <c r="AE1754" s="76"/>
      <c r="AF1754" s="76"/>
      <c r="AG1754" s="76"/>
      <c r="AH1754" s="76"/>
      <c r="AI1754" s="76"/>
      <c r="AJ1754" s="76"/>
      <c r="AK1754" s="76"/>
      <c r="AL1754" s="77"/>
      <c r="AM1754" s="76"/>
      <c r="AN1754" s="76"/>
    </row>
    <row r="1755" spans="1:40" ht="15">
      <c r="A1755" s="83" t="e">
        <f>IF(#REF!&lt;&gt;#REF!,1,A1754+1)</f>
        <v>#REF!</v>
      </c>
      <c r="O1755" s="79"/>
      <c r="P1755" s="79"/>
      <c r="Q1755" s="76"/>
      <c r="R1755" s="77"/>
      <c r="S1755" s="76"/>
      <c r="T1755" s="77"/>
      <c r="U1755" s="76"/>
      <c r="V1755" s="77"/>
      <c r="W1755" s="76"/>
      <c r="X1755" s="77"/>
      <c r="Y1755" s="76"/>
      <c r="Z1755" s="76"/>
      <c r="AA1755" s="76"/>
      <c r="AB1755" s="76"/>
      <c r="AC1755" s="76"/>
      <c r="AD1755" s="76"/>
      <c r="AE1755" s="76"/>
      <c r="AF1755" s="76"/>
      <c r="AG1755" s="76"/>
      <c r="AH1755" s="76"/>
      <c r="AI1755" s="76"/>
      <c r="AJ1755" s="76"/>
      <c r="AK1755" s="76"/>
      <c r="AL1755" s="77"/>
      <c r="AM1755" s="76"/>
      <c r="AN1755" s="76"/>
    </row>
    <row r="1756" spans="1:40" ht="15">
      <c r="A1756" s="83" t="e">
        <f>IF(#REF!&lt;&gt;#REF!,1,A1755+1)</f>
        <v>#REF!</v>
      </c>
      <c r="O1756" s="79"/>
      <c r="P1756" s="79"/>
      <c r="Q1756" s="76"/>
      <c r="R1756" s="77"/>
      <c r="S1756" s="76"/>
      <c r="T1756" s="77"/>
      <c r="U1756" s="76"/>
      <c r="V1756" s="77"/>
      <c r="W1756" s="76"/>
      <c r="X1756" s="77"/>
      <c r="Y1756" s="76"/>
      <c r="Z1756" s="76"/>
      <c r="AA1756" s="76"/>
      <c r="AB1756" s="76"/>
      <c r="AC1756" s="76"/>
      <c r="AD1756" s="76"/>
      <c r="AE1756" s="76"/>
      <c r="AF1756" s="76"/>
      <c r="AG1756" s="76"/>
      <c r="AH1756" s="76"/>
      <c r="AI1756" s="76"/>
      <c r="AJ1756" s="76"/>
      <c r="AK1756" s="76"/>
      <c r="AL1756" s="77"/>
      <c r="AM1756" s="76"/>
      <c r="AN1756" s="76"/>
    </row>
    <row r="1757" spans="1:40" ht="15">
      <c r="A1757" s="83" t="e">
        <f>IF(#REF!&lt;&gt;#REF!,1,A1756+1)</f>
        <v>#REF!</v>
      </c>
      <c r="O1757" s="79"/>
      <c r="P1757" s="79"/>
      <c r="Q1757" s="76"/>
      <c r="R1757" s="77"/>
      <c r="S1757" s="76"/>
      <c r="T1757" s="77"/>
      <c r="U1757" s="76"/>
      <c r="V1757" s="77"/>
      <c r="W1757" s="76"/>
      <c r="X1757" s="77"/>
      <c r="Y1757" s="76"/>
      <c r="Z1757" s="76"/>
      <c r="AA1757" s="76"/>
      <c r="AB1757" s="76"/>
      <c r="AC1757" s="76"/>
      <c r="AD1757" s="76"/>
      <c r="AE1757" s="76"/>
      <c r="AF1757" s="76"/>
      <c r="AG1757" s="76"/>
      <c r="AH1757" s="76"/>
      <c r="AI1757" s="76"/>
      <c r="AJ1757" s="76"/>
      <c r="AK1757" s="76"/>
      <c r="AL1757" s="77"/>
      <c r="AM1757" s="76"/>
      <c r="AN1757" s="76"/>
    </row>
    <row r="1758" spans="1:40" ht="15">
      <c r="A1758" s="83" t="e">
        <f>IF(#REF!&lt;&gt;#REF!,1,A1757+1)</f>
        <v>#REF!</v>
      </c>
      <c r="O1758" s="79"/>
      <c r="P1758" s="79"/>
      <c r="Q1758" s="76"/>
      <c r="R1758" s="77"/>
      <c r="S1758" s="76"/>
      <c r="T1758" s="77"/>
      <c r="U1758" s="76"/>
      <c r="V1758" s="77"/>
      <c r="W1758" s="76"/>
      <c r="X1758" s="77"/>
      <c r="Y1758" s="76"/>
      <c r="Z1758" s="76"/>
      <c r="AA1758" s="76"/>
      <c r="AB1758" s="76"/>
      <c r="AC1758" s="76"/>
      <c r="AD1758" s="76"/>
      <c r="AE1758" s="76"/>
      <c r="AF1758" s="76"/>
      <c r="AG1758" s="76"/>
      <c r="AH1758" s="76"/>
      <c r="AI1758" s="76"/>
      <c r="AJ1758" s="76"/>
      <c r="AK1758" s="76"/>
      <c r="AL1758" s="77"/>
      <c r="AM1758" s="76"/>
      <c r="AN1758" s="76"/>
    </row>
    <row r="1759" spans="1:40" ht="15">
      <c r="A1759" s="83" t="e">
        <f>IF(#REF!&lt;&gt;#REF!,1,A1758+1)</f>
        <v>#REF!</v>
      </c>
      <c r="O1759" s="79"/>
      <c r="P1759" s="79"/>
      <c r="Q1759" s="76"/>
      <c r="R1759" s="77"/>
      <c r="S1759" s="76"/>
      <c r="T1759" s="77"/>
      <c r="U1759" s="76"/>
      <c r="V1759" s="77"/>
      <c r="W1759" s="76"/>
      <c r="X1759" s="77"/>
      <c r="Y1759" s="76"/>
      <c r="Z1759" s="76"/>
      <c r="AA1759" s="76"/>
      <c r="AB1759" s="76"/>
      <c r="AC1759" s="76"/>
      <c r="AD1759" s="76"/>
      <c r="AE1759" s="76"/>
      <c r="AF1759" s="76"/>
      <c r="AG1759" s="76"/>
      <c r="AH1759" s="76"/>
      <c r="AI1759" s="76"/>
      <c r="AJ1759" s="76"/>
      <c r="AK1759" s="76"/>
      <c r="AL1759" s="77"/>
      <c r="AM1759" s="76"/>
      <c r="AN1759" s="76"/>
    </row>
    <row r="1760" spans="1:40" ht="15">
      <c r="A1760" s="83" t="e">
        <f>IF(#REF!&lt;&gt;#REF!,1,A1759+1)</f>
        <v>#REF!</v>
      </c>
      <c r="O1760" s="79"/>
      <c r="P1760" s="79"/>
      <c r="Q1760" s="76"/>
      <c r="R1760" s="77"/>
      <c r="S1760" s="76"/>
      <c r="T1760" s="77"/>
      <c r="U1760" s="76"/>
      <c r="V1760" s="77"/>
      <c r="W1760" s="76"/>
      <c r="X1760" s="77"/>
      <c r="Y1760" s="76"/>
      <c r="Z1760" s="76"/>
      <c r="AA1760" s="76"/>
      <c r="AB1760" s="76"/>
      <c r="AC1760" s="76"/>
      <c r="AD1760" s="76"/>
      <c r="AE1760" s="76"/>
      <c r="AF1760" s="76"/>
      <c r="AG1760" s="76"/>
      <c r="AH1760" s="76"/>
      <c r="AI1760" s="76"/>
      <c r="AJ1760" s="76"/>
      <c r="AK1760" s="76"/>
      <c r="AL1760" s="77"/>
      <c r="AM1760" s="76"/>
      <c r="AN1760" s="76"/>
    </row>
    <row r="1761" spans="1:40" ht="15">
      <c r="A1761" s="83" t="e">
        <f>IF(#REF!&lt;&gt;#REF!,1,A1760+1)</f>
        <v>#REF!</v>
      </c>
      <c r="O1761" s="79"/>
      <c r="P1761" s="79"/>
      <c r="Q1761" s="76"/>
      <c r="R1761" s="77"/>
      <c r="S1761" s="76"/>
      <c r="T1761" s="77"/>
      <c r="U1761" s="76"/>
      <c r="V1761" s="77"/>
      <c r="W1761" s="76"/>
      <c r="X1761" s="77"/>
      <c r="Y1761" s="76"/>
      <c r="Z1761" s="76"/>
      <c r="AA1761" s="76"/>
      <c r="AB1761" s="76"/>
      <c r="AC1761" s="76"/>
      <c r="AD1761" s="76"/>
      <c r="AE1761" s="76"/>
      <c r="AF1761" s="76"/>
      <c r="AG1761" s="76"/>
      <c r="AH1761" s="76"/>
      <c r="AI1761" s="76"/>
      <c r="AJ1761" s="76"/>
      <c r="AK1761" s="76"/>
      <c r="AL1761" s="77"/>
      <c r="AM1761" s="76"/>
      <c r="AN1761" s="76"/>
    </row>
    <row r="1762" spans="1:40" ht="15">
      <c r="A1762" s="83" t="e">
        <f>IF(#REF!&lt;&gt;#REF!,1,A1761+1)</f>
        <v>#REF!</v>
      </c>
      <c r="O1762" s="79"/>
      <c r="P1762" s="79"/>
      <c r="Q1762" s="76"/>
      <c r="R1762" s="77"/>
      <c r="S1762" s="76"/>
      <c r="T1762" s="77"/>
      <c r="U1762" s="76"/>
      <c r="V1762" s="77"/>
      <c r="W1762" s="76"/>
      <c r="X1762" s="77"/>
      <c r="Y1762" s="76"/>
      <c r="Z1762" s="76"/>
      <c r="AA1762" s="76"/>
      <c r="AB1762" s="76"/>
      <c r="AC1762" s="76"/>
      <c r="AD1762" s="76"/>
      <c r="AE1762" s="76"/>
      <c r="AF1762" s="76"/>
      <c r="AG1762" s="76"/>
      <c r="AH1762" s="76"/>
      <c r="AI1762" s="76"/>
      <c r="AJ1762" s="76"/>
      <c r="AK1762" s="76"/>
      <c r="AL1762" s="77"/>
      <c r="AM1762" s="76"/>
      <c r="AN1762" s="76"/>
    </row>
    <row r="1763" spans="1:40" ht="15">
      <c r="A1763" s="83" t="e">
        <f>IF(#REF!&lt;&gt;#REF!,1,A1762+1)</f>
        <v>#REF!</v>
      </c>
      <c r="O1763" s="79"/>
      <c r="P1763" s="79"/>
      <c r="Q1763" s="76"/>
      <c r="R1763" s="77"/>
      <c r="S1763" s="76"/>
      <c r="T1763" s="77"/>
      <c r="U1763" s="76"/>
      <c r="V1763" s="77"/>
      <c r="W1763" s="76"/>
      <c r="X1763" s="77"/>
      <c r="Y1763" s="76"/>
      <c r="Z1763" s="76"/>
      <c r="AA1763" s="76"/>
      <c r="AB1763" s="76"/>
      <c r="AC1763" s="76"/>
      <c r="AD1763" s="76"/>
      <c r="AE1763" s="76"/>
      <c r="AF1763" s="76"/>
      <c r="AG1763" s="76"/>
      <c r="AH1763" s="76"/>
      <c r="AI1763" s="76"/>
      <c r="AJ1763" s="76"/>
      <c r="AK1763" s="76"/>
      <c r="AL1763" s="77"/>
      <c r="AM1763" s="76"/>
      <c r="AN1763" s="76"/>
    </row>
    <row r="1764" spans="1:40" ht="15">
      <c r="A1764" s="83" t="e">
        <f>IF(#REF!&lt;&gt;#REF!,1,A1763+1)</f>
        <v>#REF!</v>
      </c>
      <c r="O1764" s="79"/>
      <c r="P1764" s="79"/>
      <c r="Q1764" s="76"/>
      <c r="R1764" s="77"/>
      <c r="S1764" s="76"/>
      <c r="T1764" s="77"/>
      <c r="U1764" s="76"/>
      <c r="V1764" s="77"/>
      <c r="W1764" s="76"/>
      <c r="X1764" s="77"/>
      <c r="Y1764" s="76"/>
      <c r="Z1764" s="76"/>
      <c r="AA1764" s="76"/>
      <c r="AB1764" s="76"/>
      <c r="AC1764" s="76"/>
      <c r="AD1764" s="76"/>
      <c r="AE1764" s="76"/>
      <c r="AF1764" s="76"/>
      <c r="AG1764" s="76"/>
      <c r="AH1764" s="76"/>
      <c r="AI1764" s="76"/>
      <c r="AJ1764" s="76"/>
      <c r="AK1764" s="76"/>
      <c r="AL1764" s="77"/>
      <c r="AM1764" s="76"/>
      <c r="AN1764" s="76"/>
    </row>
    <row r="1765" spans="1:40" ht="15">
      <c r="A1765" s="83" t="e">
        <f>IF(#REF!&lt;&gt;#REF!,1,A1764+1)</f>
        <v>#REF!</v>
      </c>
      <c r="O1765" s="79"/>
      <c r="P1765" s="79"/>
      <c r="Q1765" s="76"/>
      <c r="R1765" s="77"/>
      <c r="S1765" s="76"/>
      <c r="T1765" s="77"/>
      <c r="U1765" s="76"/>
      <c r="V1765" s="77"/>
      <c r="W1765" s="76"/>
      <c r="X1765" s="77"/>
      <c r="Y1765" s="76"/>
      <c r="Z1765" s="76"/>
      <c r="AA1765" s="76"/>
      <c r="AB1765" s="76"/>
      <c r="AC1765" s="76"/>
      <c r="AD1765" s="76"/>
      <c r="AE1765" s="76"/>
      <c r="AF1765" s="76"/>
      <c r="AG1765" s="76"/>
      <c r="AH1765" s="76"/>
      <c r="AI1765" s="76"/>
      <c r="AJ1765" s="76"/>
      <c r="AK1765" s="76"/>
      <c r="AL1765" s="77"/>
      <c r="AM1765" s="76"/>
      <c r="AN1765" s="76"/>
    </row>
    <row r="1766" spans="1:40" ht="15">
      <c r="A1766" s="83" t="e">
        <f>IF(#REF!&lt;&gt;#REF!,1,A1765+1)</f>
        <v>#REF!</v>
      </c>
      <c r="O1766" s="79"/>
      <c r="P1766" s="79"/>
      <c r="Q1766" s="76"/>
      <c r="R1766" s="77"/>
      <c r="S1766" s="76"/>
      <c r="T1766" s="77"/>
      <c r="U1766" s="76"/>
      <c r="V1766" s="77"/>
      <c r="W1766" s="76"/>
      <c r="X1766" s="77"/>
      <c r="Y1766" s="76"/>
      <c r="Z1766" s="76"/>
      <c r="AA1766" s="76"/>
      <c r="AB1766" s="76"/>
      <c r="AC1766" s="76"/>
      <c r="AD1766" s="76"/>
      <c r="AE1766" s="76"/>
      <c r="AF1766" s="76"/>
      <c r="AG1766" s="76"/>
      <c r="AH1766" s="76"/>
      <c r="AI1766" s="76"/>
      <c r="AJ1766" s="76"/>
      <c r="AK1766" s="76"/>
      <c r="AL1766" s="77"/>
      <c r="AM1766" s="76"/>
      <c r="AN1766" s="76"/>
    </row>
    <row r="1767" spans="1:40" ht="15">
      <c r="A1767" s="83" t="e">
        <f>IF(#REF!&lt;&gt;#REF!,1,A1766+1)</f>
        <v>#REF!</v>
      </c>
      <c r="O1767" s="79"/>
      <c r="P1767" s="79"/>
      <c r="Q1767" s="76"/>
      <c r="R1767" s="77"/>
      <c r="S1767" s="76"/>
      <c r="T1767" s="77"/>
      <c r="U1767" s="76"/>
      <c r="V1767" s="77"/>
      <c r="W1767" s="76"/>
      <c r="X1767" s="77"/>
      <c r="Y1767" s="76"/>
      <c r="Z1767" s="76"/>
      <c r="AA1767" s="76"/>
      <c r="AB1767" s="76"/>
      <c r="AC1767" s="76"/>
      <c r="AD1767" s="76"/>
      <c r="AE1767" s="76"/>
      <c r="AF1767" s="76"/>
      <c r="AG1767" s="76"/>
      <c r="AH1767" s="76"/>
      <c r="AI1767" s="76"/>
      <c r="AJ1767" s="76"/>
      <c r="AK1767" s="76"/>
      <c r="AL1767" s="77"/>
      <c r="AM1767" s="76"/>
      <c r="AN1767" s="76"/>
    </row>
    <row r="1768" spans="1:40" ht="15">
      <c r="A1768" s="83" t="e">
        <f>IF(#REF!&lt;&gt;#REF!,1,A1767+1)</f>
        <v>#REF!</v>
      </c>
      <c r="O1768" s="79"/>
      <c r="P1768" s="79"/>
      <c r="Q1768" s="76"/>
      <c r="R1768" s="77"/>
      <c r="S1768" s="76"/>
      <c r="T1768" s="77"/>
      <c r="U1768" s="76"/>
      <c r="V1768" s="77"/>
      <c r="W1768" s="76"/>
      <c r="X1768" s="77"/>
      <c r="Y1768" s="76"/>
      <c r="Z1768" s="76"/>
      <c r="AA1768" s="76"/>
      <c r="AB1768" s="76"/>
      <c r="AC1768" s="76"/>
      <c r="AD1768" s="76"/>
      <c r="AE1768" s="76"/>
      <c r="AF1768" s="76"/>
      <c r="AG1768" s="76"/>
      <c r="AH1768" s="76"/>
      <c r="AI1768" s="76"/>
      <c r="AJ1768" s="76"/>
      <c r="AK1768" s="76"/>
      <c r="AL1768" s="77"/>
      <c r="AM1768" s="76"/>
      <c r="AN1768" s="76"/>
    </row>
    <row r="1769" spans="1:40" ht="15">
      <c r="A1769" s="83" t="e">
        <f>IF(#REF!&lt;&gt;#REF!,1,A1768+1)</f>
        <v>#REF!</v>
      </c>
      <c r="O1769" s="79"/>
      <c r="P1769" s="79"/>
      <c r="Q1769" s="76"/>
      <c r="R1769" s="77"/>
      <c r="S1769" s="76"/>
      <c r="T1769" s="77"/>
      <c r="U1769" s="76"/>
      <c r="V1769" s="77"/>
      <c r="W1769" s="76"/>
      <c r="X1769" s="77"/>
      <c r="Y1769" s="76"/>
      <c r="Z1769" s="76"/>
      <c r="AA1769" s="76"/>
      <c r="AB1769" s="76"/>
      <c r="AC1769" s="76"/>
      <c r="AD1769" s="76"/>
      <c r="AE1769" s="76"/>
      <c r="AF1769" s="76"/>
      <c r="AG1769" s="76"/>
      <c r="AH1769" s="76"/>
      <c r="AI1769" s="76"/>
      <c r="AJ1769" s="76"/>
      <c r="AK1769" s="76"/>
      <c r="AL1769" s="77"/>
      <c r="AM1769" s="76"/>
      <c r="AN1769" s="76"/>
    </row>
    <row r="1770" spans="1:40" ht="15">
      <c r="A1770" s="83" t="e">
        <f>IF(#REF!&lt;&gt;#REF!,1,A1769+1)</f>
        <v>#REF!</v>
      </c>
      <c r="O1770" s="79"/>
      <c r="P1770" s="79"/>
      <c r="Q1770" s="76"/>
      <c r="R1770" s="77"/>
      <c r="S1770" s="76"/>
      <c r="T1770" s="77"/>
      <c r="U1770" s="76"/>
      <c r="V1770" s="77"/>
      <c r="W1770" s="76"/>
      <c r="X1770" s="77"/>
      <c r="Y1770" s="76"/>
      <c r="Z1770" s="76"/>
      <c r="AA1770" s="76"/>
      <c r="AB1770" s="76"/>
      <c r="AC1770" s="76"/>
      <c r="AD1770" s="76"/>
      <c r="AE1770" s="76"/>
      <c r="AF1770" s="76"/>
      <c r="AG1770" s="76"/>
      <c r="AH1770" s="76"/>
      <c r="AI1770" s="76"/>
      <c r="AJ1770" s="76"/>
      <c r="AK1770" s="76"/>
      <c r="AL1770" s="77"/>
      <c r="AM1770" s="76"/>
      <c r="AN1770" s="76"/>
    </row>
    <row r="1771" spans="1:40" ht="15">
      <c r="A1771" s="83" t="e">
        <f>IF(#REF!&lt;&gt;#REF!,1,A1770+1)</f>
        <v>#REF!</v>
      </c>
      <c r="O1771" s="79"/>
      <c r="P1771" s="79"/>
      <c r="Q1771" s="76"/>
      <c r="R1771" s="77"/>
      <c r="S1771" s="76"/>
      <c r="T1771" s="77"/>
      <c r="U1771" s="76"/>
      <c r="V1771" s="77"/>
      <c r="W1771" s="76"/>
      <c r="X1771" s="77"/>
      <c r="Y1771" s="76"/>
      <c r="Z1771" s="76"/>
      <c r="AA1771" s="76"/>
      <c r="AB1771" s="76"/>
      <c r="AC1771" s="76"/>
      <c r="AD1771" s="76"/>
      <c r="AE1771" s="76"/>
      <c r="AF1771" s="76"/>
      <c r="AG1771" s="76"/>
      <c r="AH1771" s="76"/>
      <c r="AI1771" s="76"/>
      <c r="AJ1771" s="76"/>
      <c r="AK1771" s="76"/>
      <c r="AL1771" s="77"/>
      <c r="AM1771" s="76"/>
      <c r="AN1771" s="76"/>
    </row>
    <row r="1772" spans="1:40" ht="15">
      <c r="A1772" s="83" t="e">
        <f>IF(#REF!&lt;&gt;#REF!,1,A1771+1)</f>
        <v>#REF!</v>
      </c>
      <c r="O1772" s="79"/>
      <c r="P1772" s="79"/>
      <c r="Q1772" s="76"/>
      <c r="R1772" s="77"/>
      <c r="S1772" s="76"/>
      <c r="T1772" s="77"/>
      <c r="U1772" s="76"/>
      <c r="V1772" s="77"/>
      <c r="W1772" s="76"/>
      <c r="X1772" s="77"/>
      <c r="Y1772" s="76"/>
      <c r="Z1772" s="76"/>
      <c r="AA1772" s="76"/>
      <c r="AB1772" s="76"/>
      <c r="AC1772" s="76"/>
      <c r="AD1772" s="76"/>
      <c r="AE1772" s="76"/>
      <c r="AF1772" s="76"/>
      <c r="AG1772" s="76"/>
      <c r="AH1772" s="76"/>
      <c r="AI1772" s="76"/>
      <c r="AJ1772" s="76"/>
      <c r="AK1772" s="76"/>
      <c r="AL1772" s="77"/>
      <c r="AM1772" s="76"/>
      <c r="AN1772" s="76"/>
    </row>
    <row r="1773" spans="1:40" ht="15">
      <c r="A1773" s="83" t="e">
        <f>IF(#REF!&lt;&gt;#REF!,1,A1772+1)</f>
        <v>#REF!</v>
      </c>
      <c r="O1773" s="79"/>
      <c r="P1773" s="79"/>
      <c r="Q1773" s="76"/>
      <c r="R1773" s="77"/>
      <c r="S1773" s="76"/>
      <c r="T1773" s="77"/>
      <c r="U1773" s="76"/>
      <c r="V1773" s="77"/>
      <c r="W1773" s="76"/>
      <c r="X1773" s="77"/>
      <c r="Y1773" s="76"/>
      <c r="Z1773" s="76"/>
      <c r="AA1773" s="76"/>
      <c r="AB1773" s="76"/>
      <c r="AC1773" s="76"/>
      <c r="AD1773" s="76"/>
      <c r="AE1773" s="76"/>
      <c r="AF1773" s="76"/>
      <c r="AG1773" s="76"/>
      <c r="AH1773" s="76"/>
      <c r="AI1773" s="76"/>
      <c r="AJ1773" s="76"/>
      <c r="AK1773" s="76"/>
      <c r="AL1773" s="77"/>
      <c r="AM1773" s="76"/>
      <c r="AN1773" s="76"/>
    </row>
    <row r="1774" spans="1:40" ht="15">
      <c r="A1774" s="83" t="e">
        <f>IF(#REF!&lt;&gt;#REF!,1,A1773+1)</f>
        <v>#REF!</v>
      </c>
      <c r="O1774" s="79"/>
      <c r="P1774" s="79"/>
      <c r="Q1774" s="76"/>
      <c r="R1774" s="77"/>
      <c r="S1774" s="76"/>
      <c r="T1774" s="77"/>
      <c r="U1774" s="76"/>
      <c r="V1774" s="77"/>
      <c r="W1774" s="76"/>
      <c r="X1774" s="77"/>
      <c r="Y1774" s="76"/>
      <c r="Z1774" s="76"/>
      <c r="AA1774" s="76"/>
      <c r="AB1774" s="76"/>
      <c r="AC1774" s="76"/>
      <c r="AD1774" s="76"/>
      <c r="AE1774" s="76"/>
      <c r="AF1774" s="76"/>
      <c r="AG1774" s="76"/>
      <c r="AH1774" s="76"/>
      <c r="AI1774" s="76"/>
      <c r="AJ1774" s="76"/>
      <c r="AK1774" s="76"/>
      <c r="AL1774" s="77"/>
      <c r="AM1774" s="76"/>
      <c r="AN1774" s="76"/>
    </row>
    <row r="1775" spans="1:40" ht="15">
      <c r="A1775" s="83" t="e">
        <f>IF(#REF!&lt;&gt;#REF!,1,A1774+1)</f>
        <v>#REF!</v>
      </c>
      <c r="O1775" s="79"/>
      <c r="P1775" s="79"/>
      <c r="Q1775" s="76"/>
      <c r="R1775" s="77"/>
      <c r="S1775" s="76"/>
      <c r="T1775" s="77"/>
      <c r="U1775" s="76"/>
      <c r="V1775" s="77"/>
      <c r="W1775" s="76"/>
      <c r="X1775" s="77"/>
      <c r="Y1775" s="76"/>
      <c r="Z1775" s="76"/>
      <c r="AA1775" s="76"/>
      <c r="AB1775" s="76"/>
      <c r="AC1775" s="76"/>
      <c r="AD1775" s="76"/>
      <c r="AE1775" s="76"/>
      <c r="AF1775" s="76"/>
      <c r="AG1775" s="76"/>
      <c r="AH1775" s="76"/>
      <c r="AI1775" s="76"/>
      <c r="AJ1775" s="76"/>
      <c r="AK1775" s="76"/>
      <c r="AL1775" s="77"/>
      <c r="AM1775" s="76"/>
      <c r="AN1775" s="76"/>
    </row>
    <row r="1776" spans="1:40" ht="15">
      <c r="A1776" s="83" t="e">
        <f>IF(#REF!&lt;&gt;#REF!,1,A1775+1)</f>
        <v>#REF!</v>
      </c>
      <c r="O1776" s="79"/>
      <c r="P1776" s="79"/>
      <c r="Q1776" s="76"/>
      <c r="R1776" s="77"/>
      <c r="S1776" s="76"/>
      <c r="T1776" s="77"/>
      <c r="U1776" s="76"/>
      <c r="V1776" s="77"/>
      <c r="W1776" s="76"/>
      <c r="X1776" s="77"/>
      <c r="Y1776" s="76"/>
      <c r="Z1776" s="76"/>
      <c r="AA1776" s="76"/>
      <c r="AB1776" s="76"/>
      <c r="AC1776" s="76"/>
      <c r="AD1776" s="76"/>
      <c r="AE1776" s="76"/>
      <c r="AF1776" s="76"/>
      <c r="AG1776" s="76"/>
      <c r="AH1776" s="76"/>
      <c r="AI1776" s="76"/>
      <c r="AJ1776" s="76"/>
      <c r="AK1776" s="76"/>
      <c r="AL1776" s="77"/>
      <c r="AM1776" s="76"/>
      <c r="AN1776" s="76"/>
    </row>
    <row r="1777" spans="1:40" ht="15">
      <c r="A1777" s="83" t="e">
        <f>IF(#REF!&lt;&gt;#REF!,1,A1776+1)</f>
        <v>#REF!</v>
      </c>
      <c r="O1777" s="79"/>
      <c r="P1777" s="79"/>
      <c r="Q1777" s="76"/>
      <c r="R1777" s="77"/>
      <c r="S1777" s="76"/>
      <c r="T1777" s="77"/>
      <c r="U1777" s="76"/>
      <c r="V1777" s="77"/>
      <c r="W1777" s="76"/>
      <c r="X1777" s="77"/>
      <c r="Y1777" s="76"/>
      <c r="Z1777" s="76"/>
      <c r="AA1777" s="76"/>
      <c r="AB1777" s="76"/>
      <c r="AC1777" s="76"/>
      <c r="AD1777" s="76"/>
      <c r="AE1777" s="76"/>
      <c r="AF1777" s="76"/>
      <c r="AG1777" s="76"/>
      <c r="AH1777" s="76"/>
      <c r="AI1777" s="76"/>
      <c r="AJ1777" s="76"/>
      <c r="AK1777" s="76"/>
      <c r="AL1777" s="77"/>
      <c r="AM1777" s="76"/>
      <c r="AN1777" s="76"/>
    </row>
    <row r="1778" spans="1:40" ht="15">
      <c r="A1778" s="83" t="e">
        <f>IF(#REF!&lt;&gt;#REF!,1,A1777+1)</f>
        <v>#REF!</v>
      </c>
      <c r="O1778" s="79"/>
      <c r="P1778" s="79"/>
      <c r="Q1778" s="76"/>
      <c r="R1778" s="77"/>
      <c r="S1778" s="76"/>
      <c r="T1778" s="77"/>
      <c r="U1778" s="76"/>
      <c r="V1778" s="77"/>
      <c r="W1778" s="76"/>
      <c r="X1778" s="77"/>
      <c r="Y1778" s="76"/>
      <c r="Z1778" s="76"/>
      <c r="AA1778" s="76"/>
      <c r="AB1778" s="76"/>
      <c r="AC1778" s="76"/>
      <c r="AD1778" s="76"/>
      <c r="AE1778" s="76"/>
      <c r="AF1778" s="76"/>
      <c r="AG1778" s="76"/>
      <c r="AH1778" s="76"/>
      <c r="AI1778" s="76"/>
      <c r="AJ1778" s="76"/>
      <c r="AK1778" s="76"/>
      <c r="AL1778" s="77"/>
      <c r="AM1778" s="76"/>
      <c r="AN1778" s="76"/>
    </row>
    <row r="1779" spans="1:40" ht="15">
      <c r="A1779" s="83" t="e">
        <f>IF(#REF!&lt;&gt;#REF!,1,A1778+1)</f>
        <v>#REF!</v>
      </c>
      <c r="O1779" s="79"/>
      <c r="P1779" s="79"/>
      <c r="Q1779" s="76"/>
      <c r="R1779" s="77"/>
      <c r="S1779" s="76"/>
      <c r="T1779" s="77"/>
      <c r="U1779" s="76"/>
      <c r="V1779" s="77"/>
      <c r="W1779" s="76"/>
      <c r="X1779" s="77"/>
      <c r="Y1779" s="76"/>
      <c r="Z1779" s="76"/>
      <c r="AA1779" s="76"/>
      <c r="AB1779" s="76"/>
      <c r="AC1779" s="76"/>
      <c r="AD1779" s="76"/>
      <c r="AE1779" s="76"/>
      <c r="AF1779" s="76"/>
      <c r="AG1779" s="76"/>
      <c r="AH1779" s="76"/>
      <c r="AI1779" s="76"/>
      <c r="AJ1779" s="76"/>
      <c r="AK1779" s="76"/>
      <c r="AL1779" s="77"/>
      <c r="AM1779" s="76"/>
      <c r="AN1779" s="76"/>
    </row>
    <row r="1780" spans="1:40" ht="15">
      <c r="A1780" s="83" t="e">
        <f>IF(#REF!&lt;&gt;#REF!,1,A1779+1)</f>
        <v>#REF!</v>
      </c>
      <c r="O1780" s="79"/>
      <c r="P1780" s="79"/>
      <c r="Q1780" s="76"/>
      <c r="R1780" s="77"/>
      <c r="S1780" s="76"/>
      <c r="T1780" s="77"/>
      <c r="U1780" s="76"/>
      <c r="V1780" s="77"/>
      <c r="W1780" s="76"/>
      <c r="X1780" s="77"/>
      <c r="Y1780" s="76"/>
      <c r="Z1780" s="76"/>
      <c r="AA1780" s="76"/>
      <c r="AB1780" s="76"/>
      <c r="AC1780" s="76"/>
      <c r="AD1780" s="76"/>
      <c r="AE1780" s="76"/>
      <c r="AF1780" s="76"/>
      <c r="AG1780" s="76"/>
      <c r="AH1780" s="76"/>
      <c r="AI1780" s="76"/>
      <c r="AJ1780" s="76"/>
      <c r="AK1780" s="76"/>
      <c r="AL1780" s="77"/>
      <c r="AM1780" s="76"/>
      <c r="AN1780" s="76"/>
    </row>
    <row r="1781" spans="1:40" ht="15">
      <c r="A1781" s="83" t="e">
        <f>IF(#REF!&lt;&gt;#REF!,1,A1780+1)</f>
        <v>#REF!</v>
      </c>
      <c r="O1781" s="79"/>
      <c r="P1781" s="79"/>
      <c r="Q1781" s="76"/>
      <c r="R1781" s="77"/>
      <c r="S1781" s="76"/>
      <c r="T1781" s="77"/>
      <c r="U1781" s="76"/>
      <c r="V1781" s="77"/>
      <c r="W1781" s="76"/>
      <c r="X1781" s="77"/>
      <c r="Y1781" s="76"/>
      <c r="Z1781" s="76"/>
      <c r="AA1781" s="76"/>
      <c r="AB1781" s="76"/>
      <c r="AC1781" s="76"/>
      <c r="AD1781" s="76"/>
      <c r="AE1781" s="76"/>
      <c r="AF1781" s="76"/>
      <c r="AG1781" s="76"/>
      <c r="AH1781" s="76"/>
      <c r="AI1781" s="76"/>
      <c r="AJ1781" s="76"/>
      <c r="AK1781" s="76"/>
      <c r="AL1781" s="77"/>
      <c r="AM1781" s="76"/>
      <c r="AN1781" s="76"/>
    </row>
    <row r="1782" spans="1:40" ht="15">
      <c r="A1782" s="83" t="e">
        <f>IF(#REF!&lt;&gt;#REF!,1,A1781+1)</f>
        <v>#REF!</v>
      </c>
      <c r="O1782" s="79"/>
      <c r="P1782" s="79"/>
      <c r="Q1782" s="76"/>
      <c r="R1782" s="77"/>
      <c r="S1782" s="76"/>
      <c r="T1782" s="77"/>
      <c r="U1782" s="76"/>
      <c r="V1782" s="77"/>
      <c r="W1782" s="76"/>
      <c r="X1782" s="77"/>
      <c r="Y1782" s="76"/>
      <c r="Z1782" s="76"/>
      <c r="AA1782" s="76"/>
      <c r="AB1782" s="76"/>
      <c r="AC1782" s="76"/>
      <c r="AD1782" s="76"/>
      <c r="AE1782" s="76"/>
      <c r="AF1782" s="76"/>
      <c r="AG1782" s="76"/>
      <c r="AH1782" s="76"/>
      <c r="AI1782" s="76"/>
      <c r="AJ1782" s="76"/>
      <c r="AK1782" s="76"/>
      <c r="AL1782" s="77"/>
      <c r="AM1782" s="76"/>
      <c r="AN1782" s="76"/>
    </row>
    <row r="1783" spans="1:40" ht="15">
      <c r="A1783" s="83" t="e">
        <f>IF(#REF!&lt;&gt;#REF!,1,A1782+1)</f>
        <v>#REF!</v>
      </c>
      <c r="O1783" s="79"/>
      <c r="P1783" s="79"/>
      <c r="Q1783" s="76"/>
      <c r="R1783" s="77"/>
      <c r="S1783" s="76"/>
      <c r="T1783" s="77"/>
      <c r="U1783" s="76"/>
      <c r="V1783" s="77"/>
      <c r="W1783" s="76"/>
      <c r="X1783" s="77"/>
      <c r="Y1783" s="76"/>
      <c r="Z1783" s="76"/>
      <c r="AA1783" s="76"/>
      <c r="AB1783" s="76"/>
      <c r="AC1783" s="76"/>
      <c r="AD1783" s="76"/>
      <c r="AE1783" s="76"/>
      <c r="AF1783" s="76"/>
      <c r="AG1783" s="76"/>
      <c r="AH1783" s="76"/>
      <c r="AI1783" s="76"/>
      <c r="AJ1783" s="76"/>
      <c r="AK1783" s="76"/>
      <c r="AL1783" s="77"/>
      <c r="AM1783" s="76"/>
      <c r="AN1783" s="76"/>
    </row>
    <row r="1784" spans="1:40" ht="15">
      <c r="A1784" s="83" t="e">
        <f>IF(#REF!&lt;&gt;#REF!,1,A1783+1)</f>
        <v>#REF!</v>
      </c>
      <c r="O1784" s="79"/>
      <c r="P1784" s="79"/>
      <c r="Q1784" s="76"/>
      <c r="R1784" s="77"/>
      <c r="S1784" s="76"/>
      <c r="T1784" s="77"/>
      <c r="U1784" s="76"/>
      <c r="V1784" s="77"/>
      <c r="W1784" s="76"/>
      <c r="X1784" s="77"/>
      <c r="Y1784" s="76"/>
      <c r="Z1784" s="76"/>
      <c r="AA1784" s="76"/>
      <c r="AB1784" s="76"/>
      <c r="AC1784" s="76"/>
      <c r="AD1784" s="76"/>
      <c r="AE1784" s="76"/>
      <c r="AF1784" s="76"/>
      <c r="AG1784" s="76"/>
      <c r="AH1784" s="76"/>
      <c r="AI1784" s="76"/>
      <c r="AJ1784" s="76"/>
      <c r="AK1784" s="76"/>
      <c r="AL1784" s="77"/>
      <c r="AM1784" s="76"/>
      <c r="AN1784" s="76"/>
    </row>
    <row r="1785" spans="1:40" ht="15">
      <c r="A1785" s="83" t="e">
        <f>IF(#REF!&lt;&gt;#REF!,1,A1784+1)</f>
        <v>#REF!</v>
      </c>
      <c r="O1785" s="79"/>
      <c r="P1785" s="79"/>
      <c r="Q1785" s="76"/>
      <c r="R1785" s="77"/>
      <c r="S1785" s="76"/>
      <c r="T1785" s="77"/>
      <c r="U1785" s="76"/>
      <c r="V1785" s="77"/>
      <c r="W1785" s="76"/>
      <c r="X1785" s="77"/>
      <c r="Y1785" s="76"/>
      <c r="Z1785" s="76"/>
      <c r="AA1785" s="76"/>
      <c r="AB1785" s="76"/>
      <c r="AC1785" s="76"/>
      <c r="AD1785" s="76"/>
      <c r="AE1785" s="76"/>
      <c r="AF1785" s="76"/>
      <c r="AG1785" s="76"/>
      <c r="AH1785" s="76"/>
      <c r="AI1785" s="76"/>
      <c r="AJ1785" s="76"/>
      <c r="AK1785" s="76"/>
      <c r="AL1785" s="77"/>
      <c r="AM1785" s="76"/>
      <c r="AN1785" s="76"/>
    </row>
    <row r="1786" spans="1:40" ht="15">
      <c r="A1786" s="83" t="e">
        <f>IF(#REF!&lt;&gt;#REF!,1,A1785+1)</f>
        <v>#REF!</v>
      </c>
      <c r="O1786" s="79"/>
      <c r="P1786" s="79"/>
      <c r="Q1786" s="76"/>
      <c r="R1786" s="77"/>
      <c r="S1786" s="76"/>
      <c r="T1786" s="77"/>
      <c r="U1786" s="76"/>
      <c r="V1786" s="77"/>
      <c r="W1786" s="76"/>
      <c r="X1786" s="77"/>
      <c r="Y1786" s="76"/>
      <c r="Z1786" s="76"/>
      <c r="AA1786" s="76"/>
      <c r="AB1786" s="76"/>
      <c r="AC1786" s="76"/>
      <c r="AD1786" s="76"/>
      <c r="AE1786" s="76"/>
      <c r="AF1786" s="76"/>
      <c r="AG1786" s="76"/>
      <c r="AH1786" s="76"/>
      <c r="AI1786" s="76"/>
      <c r="AJ1786" s="76"/>
      <c r="AK1786" s="76"/>
      <c r="AL1786" s="77"/>
      <c r="AM1786" s="76"/>
      <c r="AN1786" s="76"/>
    </row>
    <row r="1787" spans="1:40" ht="15">
      <c r="A1787" s="83" t="e">
        <f>IF(#REF!&lt;&gt;#REF!,1,A1786+1)</f>
        <v>#REF!</v>
      </c>
      <c r="O1787" s="79"/>
      <c r="P1787" s="79"/>
      <c r="Q1787" s="76"/>
      <c r="R1787" s="77"/>
      <c r="S1787" s="76"/>
      <c r="T1787" s="77"/>
      <c r="U1787" s="76"/>
      <c r="V1787" s="77"/>
      <c r="W1787" s="76"/>
      <c r="X1787" s="77"/>
      <c r="Y1787" s="76"/>
      <c r="Z1787" s="76"/>
      <c r="AA1787" s="76"/>
      <c r="AB1787" s="76"/>
      <c r="AC1787" s="76"/>
      <c r="AD1787" s="76"/>
      <c r="AE1787" s="76"/>
      <c r="AF1787" s="76"/>
      <c r="AG1787" s="76"/>
      <c r="AH1787" s="76"/>
      <c r="AI1787" s="76"/>
      <c r="AJ1787" s="76"/>
      <c r="AK1787" s="76"/>
      <c r="AL1787" s="77"/>
      <c r="AM1787" s="76"/>
      <c r="AN1787" s="76"/>
    </row>
    <row r="1788" spans="1:40" ht="15">
      <c r="A1788" s="83" t="e">
        <f>IF(#REF!&lt;&gt;#REF!,1,A1787+1)</f>
        <v>#REF!</v>
      </c>
      <c r="O1788" s="79"/>
      <c r="P1788" s="79"/>
      <c r="Q1788" s="76"/>
      <c r="R1788" s="77"/>
      <c r="S1788" s="76"/>
      <c r="T1788" s="77"/>
      <c r="U1788" s="76"/>
      <c r="V1788" s="77"/>
      <c r="W1788" s="76"/>
      <c r="X1788" s="77"/>
      <c r="Y1788" s="76"/>
      <c r="Z1788" s="76"/>
      <c r="AA1788" s="76"/>
      <c r="AB1788" s="76"/>
      <c r="AC1788" s="76"/>
      <c r="AD1788" s="76"/>
      <c r="AE1788" s="76"/>
      <c r="AF1788" s="76"/>
      <c r="AG1788" s="76"/>
      <c r="AH1788" s="76"/>
      <c r="AI1788" s="76"/>
      <c r="AJ1788" s="76"/>
      <c r="AK1788" s="76"/>
      <c r="AL1788" s="77"/>
      <c r="AM1788" s="76"/>
      <c r="AN1788" s="76"/>
    </row>
    <row r="1789" spans="1:40" ht="15">
      <c r="A1789" s="83" t="e">
        <f>IF(#REF!&lt;&gt;#REF!,1,A1788+1)</f>
        <v>#REF!</v>
      </c>
      <c r="O1789" s="79"/>
      <c r="P1789" s="79"/>
      <c r="Q1789" s="76"/>
      <c r="R1789" s="77"/>
      <c r="S1789" s="76"/>
      <c r="T1789" s="77"/>
      <c r="U1789" s="76"/>
      <c r="V1789" s="77"/>
      <c r="W1789" s="76"/>
      <c r="X1789" s="77"/>
      <c r="Y1789" s="76"/>
      <c r="Z1789" s="76"/>
      <c r="AA1789" s="76"/>
      <c r="AB1789" s="76"/>
      <c r="AC1789" s="76"/>
      <c r="AD1789" s="76"/>
      <c r="AE1789" s="76"/>
      <c r="AF1789" s="76"/>
      <c r="AG1789" s="76"/>
      <c r="AH1789" s="76"/>
      <c r="AI1789" s="76"/>
      <c r="AJ1789" s="76"/>
      <c r="AK1789" s="76"/>
      <c r="AL1789" s="77"/>
      <c r="AM1789" s="76"/>
      <c r="AN1789" s="76"/>
    </row>
    <row r="1790" spans="1:40" ht="15">
      <c r="A1790" s="83" t="e">
        <f>IF(#REF!&lt;&gt;#REF!,1,A1789+1)</f>
        <v>#REF!</v>
      </c>
      <c r="O1790" s="79"/>
      <c r="P1790" s="79"/>
      <c r="Q1790" s="76"/>
      <c r="R1790" s="77"/>
      <c r="S1790" s="76"/>
      <c r="T1790" s="77"/>
      <c r="U1790" s="76"/>
      <c r="V1790" s="77"/>
      <c r="W1790" s="76"/>
      <c r="X1790" s="77"/>
      <c r="Y1790" s="76"/>
      <c r="Z1790" s="76"/>
      <c r="AA1790" s="76"/>
      <c r="AB1790" s="76"/>
      <c r="AC1790" s="76"/>
      <c r="AD1790" s="76"/>
      <c r="AE1790" s="76"/>
      <c r="AF1790" s="76"/>
      <c r="AG1790" s="76"/>
      <c r="AH1790" s="76"/>
      <c r="AI1790" s="76"/>
      <c r="AJ1790" s="76"/>
      <c r="AK1790" s="76"/>
      <c r="AL1790" s="77"/>
      <c r="AM1790" s="76"/>
      <c r="AN1790" s="76"/>
    </row>
    <row r="1791" spans="1:40" ht="15">
      <c r="A1791" s="83" t="e">
        <f>IF(#REF!&lt;&gt;#REF!,1,A1790+1)</f>
        <v>#REF!</v>
      </c>
      <c r="O1791" s="79"/>
      <c r="P1791" s="79"/>
      <c r="Q1791" s="76"/>
      <c r="R1791" s="77"/>
      <c r="S1791" s="76"/>
      <c r="T1791" s="77"/>
      <c r="U1791" s="76"/>
      <c r="V1791" s="77"/>
      <c r="W1791" s="76"/>
      <c r="X1791" s="77"/>
      <c r="Y1791" s="76"/>
      <c r="Z1791" s="76"/>
      <c r="AA1791" s="76"/>
      <c r="AB1791" s="76"/>
      <c r="AC1791" s="76"/>
      <c r="AD1791" s="76"/>
      <c r="AE1791" s="76"/>
      <c r="AF1791" s="76"/>
      <c r="AG1791" s="76"/>
      <c r="AH1791" s="76"/>
      <c r="AI1791" s="76"/>
      <c r="AJ1791" s="76"/>
      <c r="AK1791" s="76"/>
      <c r="AL1791" s="77"/>
      <c r="AM1791" s="76"/>
      <c r="AN1791" s="76"/>
    </row>
    <row r="1792" spans="1:40" ht="15">
      <c r="A1792" s="83" t="e">
        <f>IF(#REF!&lt;&gt;#REF!,1,A1791+1)</f>
        <v>#REF!</v>
      </c>
      <c r="O1792" s="79"/>
      <c r="P1792" s="79"/>
      <c r="Q1792" s="76"/>
      <c r="R1792" s="77"/>
      <c r="S1792" s="76"/>
      <c r="T1792" s="77"/>
      <c r="U1792" s="76"/>
      <c r="V1792" s="77"/>
      <c r="W1792" s="76"/>
      <c r="X1792" s="77"/>
      <c r="Y1792" s="76"/>
      <c r="Z1792" s="76"/>
      <c r="AA1792" s="76"/>
      <c r="AB1792" s="76"/>
      <c r="AC1792" s="76"/>
      <c r="AD1792" s="76"/>
      <c r="AE1792" s="76"/>
      <c r="AF1792" s="76"/>
      <c r="AG1792" s="76"/>
      <c r="AH1792" s="76"/>
      <c r="AI1792" s="76"/>
      <c r="AJ1792" s="76"/>
      <c r="AK1792" s="76"/>
      <c r="AL1792" s="77"/>
      <c r="AM1792" s="76"/>
      <c r="AN1792" s="76"/>
    </row>
    <row r="1793" spans="1:40" ht="15">
      <c r="A1793" s="83" t="e">
        <f>IF(#REF!&lt;&gt;#REF!,1,A1792+1)</f>
        <v>#REF!</v>
      </c>
      <c r="O1793" s="79"/>
      <c r="P1793" s="79"/>
      <c r="Q1793" s="76"/>
      <c r="R1793" s="77"/>
      <c r="S1793" s="76"/>
      <c r="T1793" s="77"/>
      <c r="U1793" s="76"/>
      <c r="V1793" s="77"/>
      <c r="W1793" s="76"/>
      <c r="X1793" s="77"/>
      <c r="Y1793" s="76"/>
      <c r="Z1793" s="76"/>
      <c r="AA1793" s="76"/>
      <c r="AB1793" s="76"/>
      <c r="AC1793" s="76"/>
      <c r="AD1793" s="76"/>
      <c r="AE1793" s="76"/>
      <c r="AF1793" s="76"/>
      <c r="AG1793" s="76"/>
      <c r="AH1793" s="76"/>
      <c r="AI1793" s="76"/>
      <c r="AJ1793" s="76"/>
      <c r="AK1793" s="76"/>
      <c r="AL1793" s="77"/>
      <c r="AM1793" s="76"/>
      <c r="AN1793" s="76"/>
    </row>
    <row r="1794" spans="1:40" ht="15">
      <c r="A1794" s="83" t="e">
        <f>IF(#REF!&lt;&gt;#REF!,1,A1793+1)</f>
        <v>#REF!</v>
      </c>
      <c r="O1794" s="79"/>
      <c r="P1794" s="79"/>
      <c r="Q1794" s="76"/>
      <c r="R1794" s="77"/>
      <c r="S1794" s="76"/>
      <c r="T1794" s="77"/>
      <c r="U1794" s="76"/>
      <c r="V1794" s="77"/>
      <c r="W1794" s="76"/>
      <c r="X1794" s="77"/>
      <c r="Y1794" s="76"/>
      <c r="Z1794" s="76"/>
      <c r="AA1794" s="76"/>
      <c r="AB1794" s="76"/>
      <c r="AC1794" s="76"/>
      <c r="AD1794" s="76"/>
      <c r="AE1794" s="76"/>
      <c r="AF1794" s="76"/>
      <c r="AG1794" s="76"/>
      <c r="AH1794" s="76"/>
      <c r="AI1794" s="76"/>
      <c r="AJ1794" s="76"/>
      <c r="AK1794" s="76"/>
      <c r="AL1794" s="77"/>
      <c r="AM1794" s="76"/>
      <c r="AN1794" s="76"/>
    </row>
    <row r="1795" spans="1:40" ht="15">
      <c r="A1795" s="83" t="e">
        <f>IF(#REF!&lt;&gt;#REF!,1,A1794+1)</f>
        <v>#REF!</v>
      </c>
      <c r="O1795" s="79"/>
      <c r="P1795" s="79"/>
      <c r="Q1795" s="76"/>
      <c r="R1795" s="77"/>
      <c r="S1795" s="76"/>
      <c r="T1795" s="77"/>
      <c r="U1795" s="76"/>
      <c r="V1795" s="77"/>
      <c r="W1795" s="76"/>
      <c r="X1795" s="77"/>
      <c r="Y1795" s="76"/>
      <c r="Z1795" s="76"/>
      <c r="AA1795" s="76"/>
      <c r="AB1795" s="76"/>
      <c r="AC1795" s="76"/>
      <c r="AD1795" s="76"/>
      <c r="AE1795" s="76"/>
      <c r="AF1795" s="76"/>
      <c r="AG1795" s="76"/>
      <c r="AH1795" s="76"/>
      <c r="AI1795" s="76"/>
      <c r="AJ1795" s="76"/>
      <c r="AK1795" s="76"/>
      <c r="AL1795" s="77"/>
      <c r="AM1795" s="76"/>
      <c r="AN1795" s="76"/>
    </row>
    <row r="1796" spans="1:40" ht="15">
      <c r="A1796" s="83" t="e">
        <f>IF(#REF!&lt;&gt;#REF!,1,A1795+1)</f>
        <v>#REF!</v>
      </c>
      <c r="O1796" s="79"/>
      <c r="P1796" s="79"/>
      <c r="Q1796" s="76"/>
      <c r="R1796" s="77"/>
      <c r="S1796" s="76"/>
      <c r="T1796" s="77"/>
      <c r="U1796" s="76"/>
      <c r="V1796" s="77"/>
      <c r="W1796" s="76"/>
      <c r="X1796" s="77"/>
      <c r="Y1796" s="76"/>
      <c r="Z1796" s="76"/>
      <c r="AA1796" s="76"/>
      <c r="AB1796" s="76"/>
      <c r="AC1796" s="76"/>
      <c r="AD1796" s="76"/>
      <c r="AE1796" s="76"/>
      <c r="AF1796" s="76"/>
      <c r="AG1796" s="76"/>
      <c r="AH1796" s="76"/>
      <c r="AI1796" s="76"/>
      <c r="AJ1796" s="76"/>
      <c r="AK1796" s="76"/>
      <c r="AL1796" s="77"/>
      <c r="AM1796" s="76"/>
      <c r="AN1796" s="76"/>
    </row>
    <row r="1797" spans="1:40" ht="15">
      <c r="A1797" s="83" t="e">
        <f>IF(#REF!&lt;&gt;#REF!,1,A1796+1)</f>
        <v>#REF!</v>
      </c>
      <c r="O1797" s="79"/>
      <c r="P1797" s="79"/>
      <c r="Q1797" s="76"/>
      <c r="R1797" s="77"/>
      <c r="S1797" s="76"/>
      <c r="T1797" s="77"/>
      <c r="U1797" s="76"/>
      <c r="V1797" s="77"/>
      <c r="W1797" s="76"/>
      <c r="X1797" s="77"/>
      <c r="Y1797" s="76"/>
      <c r="Z1797" s="76"/>
      <c r="AA1797" s="76"/>
      <c r="AB1797" s="76"/>
      <c r="AC1797" s="76"/>
      <c r="AD1797" s="76"/>
      <c r="AE1797" s="76"/>
      <c r="AF1797" s="76"/>
      <c r="AG1797" s="76"/>
      <c r="AH1797" s="76"/>
      <c r="AI1797" s="76"/>
      <c r="AJ1797" s="76"/>
      <c r="AK1797" s="76"/>
      <c r="AL1797" s="77"/>
      <c r="AM1797" s="76"/>
      <c r="AN1797" s="76"/>
    </row>
    <row r="1798" spans="1:40" ht="15">
      <c r="A1798" s="83" t="e">
        <f>IF(#REF!&lt;&gt;#REF!,1,A1797+1)</f>
        <v>#REF!</v>
      </c>
      <c r="O1798" s="79"/>
      <c r="P1798" s="79"/>
      <c r="Q1798" s="76"/>
      <c r="R1798" s="77"/>
      <c r="S1798" s="76"/>
      <c r="T1798" s="77"/>
      <c r="U1798" s="76"/>
      <c r="V1798" s="77"/>
      <c r="W1798" s="76"/>
      <c r="X1798" s="77"/>
      <c r="Y1798" s="76"/>
      <c r="Z1798" s="76"/>
      <c r="AA1798" s="76"/>
      <c r="AB1798" s="76"/>
      <c r="AC1798" s="76"/>
      <c r="AD1798" s="76"/>
      <c r="AE1798" s="76"/>
      <c r="AF1798" s="76"/>
      <c r="AG1798" s="76"/>
      <c r="AH1798" s="76"/>
      <c r="AI1798" s="76"/>
      <c r="AJ1798" s="76"/>
      <c r="AK1798" s="76"/>
      <c r="AL1798" s="77"/>
      <c r="AM1798" s="76"/>
      <c r="AN1798" s="76"/>
    </row>
    <row r="1799" spans="1:40" ht="15">
      <c r="A1799" s="83" t="e">
        <f>IF(#REF!&lt;&gt;#REF!,1,A1798+1)</f>
        <v>#REF!</v>
      </c>
      <c r="O1799" s="79"/>
      <c r="P1799" s="79"/>
      <c r="Q1799" s="76"/>
      <c r="R1799" s="77"/>
      <c r="S1799" s="76"/>
      <c r="T1799" s="77"/>
      <c r="U1799" s="76"/>
      <c r="V1799" s="77"/>
      <c r="W1799" s="76"/>
      <c r="X1799" s="77"/>
      <c r="Y1799" s="76"/>
      <c r="Z1799" s="76"/>
      <c r="AA1799" s="76"/>
      <c r="AB1799" s="76"/>
      <c r="AC1799" s="76"/>
      <c r="AD1799" s="76"/>
      <c r="AE1799" s="76"/>
      <c r="AF1799" s="76"/>
      <c r="AG1799" s="76"/>
      <c r="AH1799" s="76"/>
      <c r="AI1799" s="76"/>
      <c r="AJ1799" s="76"/>
      <c r="AK1799" s="76"/>
      <c r="AL1799" s="77"/>
      <c r="AM1799" s="76"/>
      <c r="AN1799" s="76"/>
    </row>
    <row r="1800" spans="1:40" ht="15">
      <c r="A1800" s="83" t="e">
        <f>IF(#REF!&lt;&gt;#REF!,1,A1799+1)</f>
        <v>#REF!</v>
      </c>
      <c r="O1800" s="79"/>
      <c r="P1800" s="79"/>
      <c r="Q1800" s="76"/>
      <c r="R1800" s="77"/>
      <c r="S1800" s="76"/>
      <c r="T1800" s="77"/>
      <c r="U1800" s="76"/>
      <c r="V1800" s="77"/>
      <c r="W1800" s="76"/>
      <c r="X1800" s="77"/>
      <c r="Y1800" s="76"/>
      <c r="Z1800" s="76"/>
      <c r="AA1800" s="76"/>
      <c r="AB1800" s="76"/>
      <c r="AC1800" s="76"/>
      <c r="AD1800" s="76"/>
      <c r="AE1800" s="76"/>
      <c r="AF1800" s="76"/>
      <c r="AG1800" s="76"/>
      <c r="AH1800" s="76"/>
      <c r="AI1800" s="76"/>
      <c r="AJ1800" s="76"/>
      <c r="AK1800" s="76"/>
      <c r="AL1800" s="77"/>
      <c r="AM1800" s="76"/>
      <c r="AN1800" s="76"/>
    </row>
    <row r="1801" spans="1:40" ht="15">
      <c r="A1801" s="83" t="e">
        <f>IF(#REF!&lt;&gt;#REF!,1,A1800+1)</f>
        <v>#REF!</v>
      </c>
      <c r="O1801" s="79"/>
      <c r="P1801" s="79"/>
      <c r="Q1801" s="76"/>
      <c r="R1801" s="77"/>
      <c r="S1801" s="76"/>
      <c r="T1801" s="77"/>
      <c r="U1801" s="76"/>
      <c r="V1801" s="77"/>
      <c r="W1801" s="76"/>
      <c r="X1801" s="77"/>
      <c r="Y1801" s="76"/>
      <c r="Z1801" s="76"/>
      <c r="AA1801" s="76"/>
      <c r="AB1801" s="76"/>
      <c r="AC1801" s="76"/>
      <c r="AD1801" s="76"/>
      <c r="AE1801" s="76"/>
      <c r="AF1801" s="76"/>
      <c r="AG1801" s="76"/>
      <c r="AH1801" s="76"/>
      <c r="AI1801" s="76"/>
      <c r="AJ1801" s="76"/>
      <c r="AK1801" s="76"/>
      <c r="AL1801" s="77"/>
      <c r="AM1801" s="76"/>
      <c r="AN1801" s="76"/>
    </row>
    <row r="1802" spans="1:40" ht="15">
      <c r="A1802" s="83" t="e">
        <f>IF(#REF!&lt;&gt;#REF!,1,A1801+1)</f>
        <v>#REF!</v>
      </c>
      <c r="O1802" s="79"/>
      <c r="P1802" s="79"/>
      <c r="Q1802" s="76"/>
      <c r="R1802" s="77"/>
      <c r="S1802" s="76"/>
      <c r="T1802" s="77"/>
      <c r="U1802" s="76"/>
      <c r="V1802" s="77"/>
      <c r="W1802" s="76"/>
      <c r="X1802" s="77"/>
      <c r="Y1802" s="76"/>
      <c r="Z1802" s="76"/>
      <c r="AA1802" s="76"/>
      <c r="AB1802" s="76"/>
      <c r="AC1802" s="76"/>
      <c r="AD1802" s="76"/>
      <c r="AE1802" s="76"/>
      <c r="AF1802" s="76"/>
      <c r="AG1802" s="76"/>
      <c r="AH1802" s="76"/>
      <c r="AI1802" s="76"/>
      <c r="AJ1802" s="76"/>
      <c r="AK1802" s="76"/>
      <c r="AL1802" s="77"/>
      <c r="AM1802" s="76"/>
      <c r="AN1802" s="76"/>
    </row>
    <row r="1803" spans="1:40" ht="15">
      <c r="A1803" s="83" t="e">
        <f>IF(#REF!&lt;&gt;#REF!,1,A1802+1)</f>
        <v>#REF!</v>
      </c>
      <c r="O1803" s="79"/>
      <c r="P1803" s="79"/>
      <c r="Q1803" s="76"/>
      <c r="R1803" s="77"/>
      <c r="S1803" s="76"/>
      <c r="T1803" s="77"/>
      <c r="U1803" s="76"/>
      <c r="V1803" s="77"/>
      <c r="W1803" s="76"/>
      <c r="X1803" s="77"/>
      <c r="Y1803" s="76"/>
      <c r="Z1803" s="76"/>
      <c r="AA1803" s="76"/>
      <c r="AB1803" s="76"/>
      <c r="AC1803" s="76"/>
      <c r="AD1803" s="76"/>
      <c r="AE1803" s="76"/>
      <c r="AF1803" s="76"/>
      <c r="AG1803" s="76"/>
      <c r="AH1803" s="76"/>
      <c r="AI1803" s="76"/>
      <c r="AJ1803" s="76"/>
      <c r="AK1803" s="76"/>
      <c r="AL1803" s="77"/>
      <c r="AM1803" s="76"/>
      <c r="AN1803" s="76"/>
    </row>
    <row r="1804" spans="1:40" ht="15">
      <c r="A1804" s="83" t="e">
        <f>IF(#REF!&lt;&gt;#REF!,1,A1803+1)</f>
        <v>#REF!</v>
      </c>
      <c r="O1804" s="79"/>
      <c r="P1804" s="79"/>
      <c r="Q1804" s="76"/>
      <c r="R1804" s="77"/>
      <c r="S1804" s="76"/>
      <c r="T1804" s="77"/>
      <c r="U1804" s="76"/>
      <c r="V1804" s="77"/>
      <c r="W1804" s="76"/>
      <c r="X1804" s="77"/>
      <c r="Y1804" s="76"/>
      <c r="Z1804" s="76"/>
      <c r="AA1804" s="76"/>
      <c r="AB1804" s="76"/>
      <c r="AC1804" s="76"/>
      <c r="AD1804" s="76"/>
      <c r="AE1804" s="76"/>
      <c r="AF1804" s="76"/>
      <c r="AG1804" s="76"/>
      <c r="AH1804" s="76"/>
      <c r="AI1804" s="76"/>
      <c r="AJ1804" s="76"/>
      <c r="AK1804" s="76"/>
      <c r="AL1804" s="77"/>
      <c r="AM1804" s="76"/>
      <c r="AN1804" s="76"/>
    </row>
    <row r="1805" spans="1:40" ht="15">
      <c r="A1805" s="83" t="e">
        <f>IF(#REF!&lt;&gt;#REF!,1,A1804+1)</f>
        <v>#REF!</v>
      </c>
      <c r="O1805" s="79"/>
      <c r="P1805" s="79"/>
      <c r="Q1805" s="76"/>
      <c r="R1805" s="77"/>
      <c r="S1805" s="76"/>
      <c r="T1805" s="77"/>
      <c r="U1805" s="76"/>
      <c r="V1805" s="77"/>
      <c r="W1805" s="76"/>
      <c r="X1805" s="77"/>
      <c r="Y1805" s="76"/>
      <c r="Z1805" s="76"/>
      <c r="AA1805" s="76"/>
      <c r="AB1805" s="76"/>
      <c r="AC1805" s="76"/>
      <c r="AD1805" s="76"/>
      <c r="AE1805" s="76"/>
      <c r="AF1805" s="76"/>
      <c r="AG1805" s="76"/>
      <c r="AH1805" s="76"/>
      <c r="AI1805" s="76"/>
      <c r="AJ1805" s="76"/>
      <c r="AK1805" s="76"/>
      <c r="AL1805" s="77"/>
      <c r="AM1805" s="76"/>
      <c r="AN1805" s="76"/>
    </row>
    <row r="1806" spans="1:40" ht="15">
      <c r="A1806" s="83" t="e">
        <f>IF(#REF!&lt;&gt;#REF!,1,A1805+1)</f>
        <v>#REF!</v>
      </c>
      <c r="O1806" s="79"/>
      <c r="P1806" s="79"/>
      <c r="Q1806" s="76"/>
      <c r="R1806" s="77"/>
      <c r="S1806" s="76"/>
      <c r="T1806" s="77"/>
      <c r="U1806" s="76"/>
      <c r="V1806" s="77"/>
      <c r="W1806" s="76"/>
      <c r="X1806" s="77"/>
      <c r="Y1806" s="76"/>
      <c r="Z1806" s="76"/>
      <c r="AA1806" s="76"/>
      <c r="AB1806" s="76"/>
      <c r="AC1806" s="76"/>
      <c r="AD1806" s="76"/>
      <c r="AE1806" s="76"/>
      <c r="AF1806" s="76"/>
      <c r="AG1806" s="76"/>
      <c r="AH1806" s="76"/>
      <c r="AI1806" s="76"/>
      <c r="AJ1806" s="76"/>
      <c r="AK1806" s="76"/>
      <c r="AL1806" s="77"/>
      <c r="AM1806" s="76"/>
      <c r="AN1806" s="76"/>
    </row>
    <row r="1807" spans="1:40" ht="15">
      <c r="A1807" s="83" t="e">
        <f>IF(#REF!&lt;&gt;#REF!,1,A1806+1)</f>
        <v>#REF!</v>
      </c>
      <c r="O1807" s="79"/>
      <c r="P1807" s="79"/>
      <c r="Q1807" s="76"/>
      <c r="R1807" s="77"/>
      <c r="S1807" s="76"/>
      <c r="T1807" s="77"/>
      <c r="U1807" s="76"/>
      <c r="V1807" s="77"/>
      <c r="W1807" s="76"/>
      <c r="X1807" s="77"/>
      <c r="Y1807" s="76"/>
      <c r="Z1807" s="76"/>
      <c r="AA1807" s="76"/>
      <c r="AB1807" s="76"/>
      <c r="AC1807" s="76"/>
      <c r="AD1807" s="76"/>
      <c r="AE1807" s="76"/>
      <c r="AF1807" s="76"/>
      <c r="AG1807" s="76"/>
      <c r="AH1807" s="76"/>
      <c r="AI1807" s="76"/>
      <c r="AJ1807" s="76"/>
      <c r="AK1807" s="76"/>
      <c r="AL1807" s="77"/>
      <c r="AM1807" s="76"/>
      <c r="AN1807" s="76"/>
    </row>
    <row r="1808" spans="1:40" ht="15">
      <c r="A1808" s="83" t="e">
        <f>IF(#REF!&lt;&gt;#REF!,1,A1807+1)</f>
        <v>#REF!</v>
      </c>
      <c r="O1808" s="79"/>
      <c r="P1808" s="79"/>
      <c r="Q1808" s="76"/>
      <c r="R1808" s="77"/>
      <c r="S1808" s="76"/>
      <c r="T1808" s="77"/>
      <c r="U1808" s="76"/>
      <c r="V1808" s="77"/>
      <c r="W1808" s="76"/>
      <c r="X1808" s="77"/>
      <c r="Y1808" s="76"/>
      <c r="Z1808" s="76"/>
      <c r="AA1808" s="76"/>
      <c r="AB1808" s="76"/>
      <c r="AC1808" s="76"/>
      <c r="AD1808" s="76"/>
      <c r="AE1808" s="76"/>
      <c r="AF1808" s="76"/>
      <c r="AG1808" s="76"/>
      <c r="AH1808" s="76"/>
      <c r="AI1808" s="76"/>
      <c r="AJ1808" s="76"/>
      <c r="AK1808" s="76"/>
      <c r="AL1808" s="77"/>
      <c r="AM1808" s="76"/>
      <c r="AN1808" s="76"/>
    </row>
    <row r="1809" spans="1:40" ht="15">
      <c r="A1809" s="83" t="e">
        <f>IF(#REF!&lt;&gt;#REF!,1,A1808+1)</f>
        <v>#REF!</v>
      </c>
      <c r="O1809" s="79"/>
      <c r="P1809" s="79"/>
      <c r="Q1809" s="76"/>
      <c r="R1809" s="77"/>
      <c r="S1809" s="76"/>
      <c r="T1809" s="77"/>
      <c r="U1809" s="76"/>
      <c r="V1809" s="77"/>
      <c r="W1809" s="76"/>
      <c r="X1809" s="77"/>
      <c r="Y1809" s="76"/>
      <c r="Z1809" s="76"/>
      <c r="AA1809" s="76"/>
      <c r="AB1809" s="76"/>
      <c r="AC1809" s="76"/>
      <c r="AD1809" s="76"/>
      <c r="AE1809" s="76"/>
      <c r="AF1809" s="76"/>
      <c r="AG1809" s="76"/>
      <c r="AH1809" s="76"/>
      <c r="AI1809" s="76"/>
      <c r="AJ1809" s="76"/>
      <c r="AK1809" s="76"/>
      <c r="AL1809" s="77"/>
      <c r="AM1809" s="76"/>
      <c r="AN1809" s="76"/>
    </row>
    <row r="1810" spans="1:40" ht="15">
      <c r="A1810" s="83" t="e">
        <f>IF(#REF!&lt;&gt;#REF!,1,A1809+1)</f>
        <v>#REF!</v>
      </c>
      <c r="O1810" s="79"/>
      <c r="P1810" s="79"/>
      <c r="Q1810" s="76"/>
      <c r="R1810" s="77"/>
      <c r="S1810" s="76"/>
      <c r="T1810" s="77"/>
      <c r="U1810" s="76"/>
      <c r="V1810" s="77"/>
      <c r="W1810" s="76"/>
      <c r="X1810" s="77"/>
      <c r="Y1810" s="76"/>
      <c r="Z1810" s="76"/>
      <c r="AA1810" s="76"/>
      <c r="AB1810" s="76"/>
      <c r="AC1810" s="76"/>
      <c r="AD1810" s="76"/>
      <c r="AE1810" s="76"/>
      <c r="AF1810" s="76"/>
      <c r="AG1810" s="76"/>
      <c r="AH1810" s="76"/>
      <c r="AI1810" s="76"/>
      <c r="AJ1810" s="76"/>
      <c r="AK1810" s="76"/>
      <c r="AL1810" s="77"/>
      <c r="AM1810" s="76"/>
      <c r="AN1810" s="76"/>
    </row>
    <row r="1811" spans="1:40" ht="15">
      <c r="A1811" s="83" t="e">
        <f>IF(#REF!&lt;&gt;#REF!,1,A1810+1)</f>
        <v>#REF!</v>
      </c>
      <c r="O1811" s="79"/>
      <c r="P1811" s="79"/>
      <c r="Q1811" s="76"/>
      <c r="R1811" s="77"/>
      <c r="S1811" s="76"/>
      <c r="T1811" s="77"/>
      <c r="U1811" s="76"/>
      <c r="V1811" s="77"/>
      <c r="W1811" s="76"/>
      <c r="X1811" s="77"/>
      <c r="Y1811" s="76"/>
      <c r="Z1811" s="76"/>
      <c r="AA1811" s="76"/>
      <c r="AB1811" s="76"/>
      <c r="AC1811" s="76"/>
      <c r="AD1811" s="76"/>
      <c r="AE1811" s="76"/>
      <c r="AF1811" s="76"/>
      <c r="AG1811" s="76"/>
      <c r="AH1811" s="76"/>
      <c r="AI1811" s="76"/>
      <c r="AJ1811" s="76"/>
      <c r="AK1811" s="76"/>
      <c r="AL1811" s="77"/>
      <c r="AM1811" s="76"/>
      <c r="AN1811" s="76"/>
    </row>
    <row r="1812" spans="1:40" ht="15">
      <c r="A1812" s="83" t="e">
        <f>IF(#REF!&lt;&gt;#REF!,1,A1811+1)</f>
        <v>#REF!</v>
      </c>
      <c r="O1812" s="79"/>
      <c r="P1812" s="79"/>
      <c r="Q1812" s="76"/>
      <c r="R1812" s="77"/>
      <c r="S1812" s="76"/>
      <c r="T1812" s="77"/>
      <c r="U1812" s="76"/>
      <c r="V1812" s="77"/>
      <c r="W1812" s="76"/>
      <c r="X1812" s="77"/>
      <c r="Y1812" s="76"/>
      <c r="Z1812" s="76"/>
      <c r="AA1812" s="76"/>
      <c r="AB1812" s="76"/>
      <c r="AC1812" s="76"/>
      <c r="AD1812" s="76"/>
      <c r="AE1812" s="76"/>
      <c r="AF1812" s="76"/>
      <c r="AG1812" s="76"/>
      <c r="AH1812" s="76"/>
      <c r="AI1812" s="76"/>
      <c r="AJ1812" s="76"/>
      <c r="AK1812" s="76"/>
      <c r="AL1812" s="77"/>
      <c r="AM1812" s="76"/>
      <c r="AN1812" s="76"/>
    </row>
    <row r="1813" spans="1:40" ht="15">
      <c r="A1813" s="83" t="e">
        <f>IF(#REF!&lt;&gt;#REF!,1,A1812+1)</f>
        <v>#REF!</v>
      </c>
      <c r="O1813" s="79"/>
      <c r="P1813" s="79"/>
      <c r="Q1813" s="76"/>
      <c r="R1813" s="77"/>
      <c r="S1813" s="76"/>
      <c r="T1813" s="77"/>
      <c r="U1813" s="76"/>
      <c r="V1813" s="77"/>
      <c r="W1813" s="76"/>
      <c r="X1813" s="77"/>
      <c r="Y1813" s="76"/>
      <c r="Z1813" s="76"/>
      <c r="AA1813" s="76"/>
      <c r="AB1813" s="76"/>
      <c r="AC1813" s="76"/>
      <c r="AD1813" s="76"/>
      <c r="AE1813" s="76"/>
      <c r="AF1813" s="76"/>
      <c r="AG1813" s="76"/>
      <c r="AH1813" s="76"/>
      <c r="AI1813" s="76"/>
      <c r="AJ1813" s="76"/>
      <c r="AK1813" s="76"/>
      <c r="AL1813" s="77"/>
      <c r="AM1813" s="76"/>
      <c r="AN1813" s="76"/>
    </row>
    <row r="1814" spans="1:40" ht="15">
      <c r="A1814" s="83" t="e">
        <f>IF(#REF!&lt;&gt;#REF!,1,A1813+1)</f>
        <v>#REF!</v>
      </c>
      <c r="O1814" s="79"/>
      <c r="P1814" s="79"/>
      <c r="Q1814" s="76"/>
      <c r="R1814" s="77"/>
      <c r="S1814" s="76"/>
      <c r="T1814" s="77"/>
      <c r="U1814" s="76"/>
      <c r="V1814" s="77"/>
      <c r="W1814" s="76"/>
      <c r="X1814" s="77"/>
      <c r="Y1814" s="76"/>
      <c r="Z1814" s="76"/>
      <c r="AA1814" s="76"/>
      <c r="AB1814" s="76"/>
      <c r="AC1814" s="76"/>
      <c r="AD1814" s="76"/>
      <c r="AE1814" s="76"/>
      <c r="AF1814" s="76"/>
      <c r="AG1814" s="76"/>
      <c r="AH1814" s="76"/>
      <c r="AI1814" s="76"/>
      <c r="AJ1814" s="76"/>
      <c r="AK1814" s="76"/>
      <c r="AL1814" s="77"/>
      <c r="AM1814" s="76"/>
      <c r="AN1814" s="76"/>
    </row>
    <row r="1815" spans="1:40" ht="15">
      <c r="A1815" s="83" t="e">
        <f>IF(#REF!&lt;&gt;#REF!,1,A1814+1)</f>
        <v>#REF!</v>
      </c>
      <c r="O1815" s="79"/>
      <c r="P1815" s="79"/>
      <c r="Q1815" s="76"/>
      <c r="R1815" s="77"/>
      <c r="S1815" s="76"/>
      <c r="T1815" s="77"/>
      <c r="U1815" s="76"/>
      <c r="V1815" s="77"/>
      <c r="W1815" s="76"/>
      <c r="X1815" s="77"/>
      <c r="Y1815" s="76"/>
      <c r="Z1815" s="76"/>
      <c r="AA1815" s="76"/>
      <c r="AB1815" s="76"/>
      <c r="AC1815" s="76"/>
      <c r="AD1815" s="76"/>
      <c r="AE1815" s="76"/>
      <c r="AF1815" s="76"/>
      <c r="AG1815" s="76"/>
      <c r="AH1815" s="76"/>
      <c r="AI1815" s="76"/>
      <c r="AJ1815" s="76"/>
      <c r="AK1815" s="76"/>
      <c r="AL1815" s="77"/>
      <c r="AM1815" s="76"/>
      <c r="AN1815" s="76"/>
    </row>
    <row r="1816" spans="1:40" ht="15">
      <c r="A1816" s="83" t="e">
        <f>IF(#REF!&lt;&gt;#REF!,1,A1815+1)</f>
        <v>#REF!</v>
      </c>
      <c r="O1816" s="79"/>
      <c r="P1816" s="79"/>
      <c r="Q1816" s="76"/>
      <c r="R1816" s="77"/>
      <c r="S1816" s="76"/>
      <c r="T1816" s="77"/>
      <c r="U1816" s="76"/>
      <c r="V1816" s="77"/>
      <c r="W1816" s="76"/>
      <c r="X1816" s="77"/>
      <c r="Y1816" s="76"/>
      <c r="Z1816" s="76"/>
      <c r="AA1816" s="76"/>
      <c r="AB1816" s="76"/>
      <c r="AC1816" s="76"/>
      <c r="AD1816" s="76"/>
      <c r="AE1816" s="76"/>
      <c r="AF1816" s="76"/>
      <c r="AG1816" s="76"/>
      <c r="AH1816" s="76"/>
      <c r="AI1816" s="76"/>
      <c r="AJ1816" s="76"/>
      <c r="AK1816" s="76"/>
      <c r="AL1816" s="77"/>
      <c r="AM1816" s="76"/>
      <c r="AN1816" s="76"/>
    </row>
    <row r="1817" spans="1:40" ht="15">
      <c r="A1817" s="83" t="e">
        <f>IF(#REF!&lt;&gt;#REF!,1,A1816+1)</f>
        <v>#REF!</v>
      </c>
      <c r="O1817" s="79"/>
      <c r="P1817" s="79"/>
      <c r="Q1817" s="76"/>
      <c r="R1817" s="77"/>
      <c r="S1817" s="76"/>
      <c r="T1817" s="77"/>
      <c r="U1817" s="76"/>
      <c r="V1817" s="77"/>
      <c r="W1817" s="76"/>
      <c r="X1817" s="77"/>
      <c r="Y1817" s="76"/>
      <c r="Z1817" s="76"/>
      <c r="AA1817" s="76"/>
      <c r="AB1817" s="76"/>
      <c r="AC1817" s="76"/>
      <c r="AD1817" s="76"/>
      <c r="AE1817" s="76"/>
      <c r="AF1817" s="76"/>
      <c r="AG1817" s="76"/>
      <c r="AH1817" s="76"/>
      <c r="AI1817" s="76"/>
      <c r="AJ1817" s="76"/>
      <c r="AK1817" s="76"/>
      <c r="AL1817" s="77"/>
      <c r="AM1817" s="76"/>
      <c r="AN1817" s="76"/>
    </row>
    <row r="1818" spans="1:40" ht="15">
      <c r="A1818" s="83" t="e">
        <f>IF(#REF!&lt;&gt;#REF!,1,A1817+1)</f>
        <v>#REF!</v>
      </c>
      <c r="O1818" s="79"/>
      <c r="P1818" s="79"/>
      <c r="Q1818" s="76"/>
      <c r="R1818" s="77"/>
      <c r="S1818" s="76"/>
      <c r="T1818" s="77"/>
      <c r="U1818" s="76"/>
      <c r="V1818" s="77"/>
      <c r="W1818" s="76"/>
      <c r="X1818" s="77"/>
      <c r="Y1818" s="76"/>
      <c r="Z1818" s="76"/>
      <c r="AA1818" s="76"/>
      <c r="AB1818" s="76"/>
      <c r="AC1818" s="76"/>
      <c r="AD1818" s="76"/>
      <c r="AE1818" s="76"/>
      <c r="AF1818" s="76"/>
      <c r="AG1818" s="76"/>
      <c r="AH1818" s="76"/>
      <c r="AI1818" s="76"/>
      <c r="AJ1818" s="76"/>
      <c r="AK1818" s="76"/>
      <c r="AL1818" s="77"/>
      <c r="AM1818" s="76"/>
      <c r="AN1818" s="76"/>
    </row>
    <row r="1819" spans="1:40" ht="15">
      <c r="A1819" s="83" t="e">
        <f>IF(#REF!&lt;&gt;#REF!,1,A1818+1)</f>
        <v>#REF!</v>
      </c>
      <c r="O1819" s="79"/>
      <c r="P1819" s="79"/>
      <c r="Q1819" s="76"/>
      <c r="R1819" s="77"/>
      <c r="S1819" s="76"/>
      <c r="T1819" s="77"/>
      <c r="U1819" s="76"/>
      <c r="V1819" s="77"/>
      <c r="W1819" s="76"/>
      <c r="X1819" s="77"/>
      <c r="Y1819" s="76"/>
      <c r="Z1819" s="76"/>
      <c r="AA1819" s="76"/>
      <c r="AB1819" s="76"/>
      <c r="AC1819" s="76"/>
      <c r="AD1819" s="76"/>
      <c r="AE1819" s="76"/>
      <c r="AF1819" s="76"/>
      <c r="AG1819" s="76"/>
      <c r="AH1819" s="76"/>
      <c r="AI1819" s="76"/>
      <c r="AJ1819" s="76"/>
      <c r="AK1819" s="76"/>
      <c r="AL1819" s="77"/>
      <c r="AM1819" s="76"/>
      <c r="AN1819" s="76"/>
    </row>
    <row r="1820" spans="1:40" ht="15">
      <c r="A1820" s="83" t="e">
        <f>IF(#REF!&lt;&gt;#REF!,1,A1819+1)</f>
        <v>#REF!</v>
      </c>
      <c r="O1820" s="79"/>
      <c r="P1820" s="79"/>
      <c r="Q1820" s="76"/>
      <c r="R1820" s="77"/>
      <c r="S1820" s="76"/>
      <c r="T1820" s="77"/>
      <c r="U1820" s="76"/>
      <c r="V1820" s="77"/>
      <c r="W1820" s="76"/>
      <c r="X1820" s="77"/>
      <c r="Y1820" s="76"/>
      <c r="Z1820" s="76"/>
      <c r="AA1820" s="76"/>
      <c r="AB1820" s="76"/>
      <c r="AC1820" s="76"/>
      <c r="AD1820" s="76"/>
      <c r="AE1820" s="76"/>
      <c r="AF1820" s="76"/>
      <c r="AG1820" s="76"/>
      <c r="AH1820" s="76"/>
      <c r="AI1820" s="76"/>
      <c r="AJ1820" s="76"/>
      <c r="AK1820" s="76"/>
      <c r="AL1820" s="77"/>
      <c r="AM1820" s="76"/>
      <c r="AN1820" s="76"/>
    </row>
    <row r="1821" spans="1:40" ht="15">
      <c r="A1821" s="83" t="e">
        <f>IF(#REF!&lt;&gt;#REF!,1,A1820+1)</f>
        <v>#REF!</v>
      </c>
      <c r="O1821" s="79"/>
      <c r="P1821" s="79"/>
      <c r="Q1821" s="76"/>
      <c r="R1821" s="77"/>
      <c r="S1821" s="76"/>
      <c r="T1821" s="77"/>
      <c r="U1821" s="76"/>
      <c r="V1821" s="77"/>
      <c r="W1821" s="76"/>
      <c r="X1821" s="77"/>
      <c r="Y1821" s="76"/>
      <c r="Z1821" s="76"/>
      <c r="AA1821" s="76"/>
      <c r="AB1821" s="76"/>
      <c r="AC1821" s="76"/>
      <c r="AD1821" s="76"/>
      <c r="AE1821" s="76"/>
      <c r="AF1821" s="76"/>
      <c r="AG1821" s="76"/>
      <c r="AH1821" s="76"/>
      <c r="AI1821" s="76"/>
      <c r="AJ1821" s="76"/>
      <c r="AK1821" s="76"/>
      <c r="AL1821" s="77"/>
      <c r="AM1821" s="76"/>
      <c r="AN1821" s="76"/>
    </row>
    <row r="1822" spans="1:40" ht="15">
      <c r="A1822" s="83" t="e">
        <f>IF(#REF!&lt;&gt;#REF!,1,A1821+1)</f>
        <v>#REF!</v>
      </c>
      <c r="O1822" s="79"/>
      <c r="P1822" s="79"/>
      <c r="Q1822" s="76"/>
      <c r="R1822" s="77"/>
      <c r="S1822" s="76"/>
      <c r="T1822" s="77"/>
      <c r="U1822" s="76"/>
      <c r="V1822" s="77"/>
      <c r="W1822" s="76"/>
      <c r="X1822" s="77"/>
      <c r="Y1822" s="76"/>
      <c r="Z1822" s="76"/>
      <c r="AA1822" s="76"/>
      <c r="AB1822" s="76"/>
      <c r="AC1822" s="76"/>
      <c r="AD1822" s="76"/>
      <c r="AE1822" s="76"/>
      <c r="AF1822" s="76"/>
      <c r="AG1822" s="76"/>
      <c r="AH1822" s="76"/>
      <c r="AI1822" s="76"/>
      <c r="AJ1822" s="76"/>
      <c r="AK1822" s="76"/>
      <c r="AL1822" s="77"/>
      <c r="AM1822" s="76"/>
      <c r="AN1822" s="76"/>
    </row>
    <row r="1823" spans="1:40" ht="15">
      <c r="A1823" s="83" t="e">
        <f>IF(#REF!&lt;&gt;#REF!,1,A1822+1)</f>
        <v>#REF!</v>
      </c>
      <c r="O1823" s="79"/>
      <c r="P1823" s="79"/>
      <c r="Q1823" s="76"/>
      <c r="R1823" s="77"/>
      <c r="S1823" s="76"/>
      <c r="T1823" s="77"/>
      <c r="U1823" s="76"/>
      <c r="V1823" s="77"/>
      <c r="W1823" s="76"/>
      <c r="X1823" s="77"/>
      <c r="Y1823" s="76"/>
      <c r="Z1823" s="76"/>
      <c r="AA1823" s="76"/>
      <c r="AB1823" s="76"/>
      <c r="AC1823" s="76"/>
      <c r="AD1823" s="76"/>
      <c r="AE1823" s="76"/>
      <c r="AF1823" s="76"/>
      <c r="AG1823" s="76"/>
      <c r="AH1823" s="76"/>
      <c r="AI1823" s="76"/>
      <c r="AJ1823" s="76"/>
      <c r="AK1823" s="76"/>
      <c r="AL1823" s="77"/>
      <c r="AM1823" s="76"/>
      <c r="AN1823" s="76"/>
    </row>
    <row r="1824" spans="1:40" ht="15">
      <c r="A1824" s="83" t="e">
        <f>IF(#REF!&lt;&gt;#REF!,1,A1823+1)</f>
        <v>#REF!</v>
      </c>
      <c r="O1824" s="79"/>
      <c r="P1824" s="79"/>
      <c r="Q1824" s="76"/>
      <c r="R1824" s="77"/>
      <c r="S1824" s="76"/>
      <c r="T1824" s="77"/>
      <c r="U1824" s="76"/>
      <c r="V1824" s="77"/>
      <c r="W1824" s="76"/>
      <c r="X1824" s="77"/>
      <c r="Y1824" s="76"/>
      <c r="Z1824" s="76"/>
      <c r="AA1824" s="76"/>
      <c r="AB1824" s="76"/>
      <c r="AC1824" s="76"/>
      <c r="AD1824" s="76"/>
      <c r="AE1824" s="76"/>
      <c r="AF1824" s="76"/>
      <c r="AG1824" s="76"/>
      <c r="AH1824" s="76"/>
      <c r="AI1824" s="76"/>
      <c r="AJ1824" s="76"/>
      <c r="AK1824" s="76"/>
      <c r="AL1824" s="77"/>
      <c r="AM1824" s="76"/>
      <c r="AN1824" s="76"/>
    </row>
    <row r="1825" spans="1:40" ht="15">
      <c r="A1825" s="83" t="e">
        <f>IF(#REF!&lt;&gt;#REF!,1,A1824+1)</f>
        <v>#REF!</v>
      </c>
      <c r="O1825" s="79"/>
      <c r="P1825" s="79"/>
      <c r="Q1825" s="76"/>
      <c r="R1825" s="77"/>
      <c r="S1825" s="76"/>
      <c r="T1825" s="77"/>
      <c r="U1825" s="76"/>
      <c r="V1825" s="77"/>
      <c r="W1825" s="76"/>
      <c r="X1825" s="77"/>
      <c r="Y1825" s="76"/>
      <c r="Z1825" s="76"/>
      <c r="AA1825" s="76"/>
      <c r="AB1825" s="76"/>
      <c r="AC1825" s="76"/>
      <c r="AD1825" s="76"/>
      <c r="AE1825" s="76"/>
      <c r="AF1825" s="76"/>
      <c r="AG1825" s="76"/>
      <c r="AH1825" s="76"/>
      <c r="AI1825" s="76"/>
      <c r="AJ1825" s="76"/>
      <c r="AK1825" s="76"/>
      <c r="AL1825" s="77"/>
      <c r="AM1825" s="76"/>
      <c r="AN1825" s="76"/>
    </row>
    <row r="1826" spans="1:40" ht="15">
      <c r="A1826" s="83" t="e">
        <f>IF(#REF!&lt;&gt;#REF!,1,A1825+1)</f>
        <v>#REF!</v>
      </c>
      <c r="O1826" s="79"/>
      <c r="P1826" s="79"/>
      <c r="Q1826" s="76"/>
      <c r="R1826" s="77"/>
      <c r="S1826" s="76"/>
      <c r="T1826" s="77"/>
      <c r="U1826" s="76"/>
      <c r="V1826" s="77"/>
      <c r="W1826" s="76"/>
      <c r="X1826" s="77"/>
      <c r="Y1826" s="76"/>
      <c r="Z1826" s="76"/>
      <c r="AA1826" s="76"/>
      <c r="AB1826" s="76"/>
      <c r="AC1826" s="76"/>
      <c r="AD1826" s="76"/>
      <c r="AE1826" s="76"/>
      <c r="AF1826" s="76"/>
      <c r="AG1826" s="76"/>
      <c r="AH1826" s="76"/>
      <c r="AI1826" s="76"/>
      <c r="AJ1826" s="76"/>
      <c r="AK1826" s="76"/>
      <c r="AL1826" s="77"/>
      <c r="AM1826" s="76"/>
      <c r="AN1826" s="76"/>
    </row>
    <row r="1827" spans="1:40" ht="15">
      <c r="A1827" s="83" t="e">
        <f>IF(#REF!&lt;&gt;#REF!,1,A1826+1)</f>
        <v>#REF!</v>
      </c>
      <c r="O1827" s="79"/>
      <c r="P1827" s="79"/>
      <c r="Q1827" s="76"/>
      <c r="R1827" s="77"/>
      <c r="S1827" s="76"/>
      <c r="T1827" s="77"/>
      <c r="U1827" s="76"/>
      <c r="V1827" s="77"/>
      <c r="W1827" s="76"/>
      <c r="X1827" s="77"/>
      <c r="Y1827" s="76"/>
      <c r="Z1827" s="76"/>
      <c r="AA1827" s="76"/>
      <c r="AB1827" s="76"/>
      <c r="AC1827" s="76"/>
      <c r="AD1827" s="76"/>
      <c r="AE1827" s="76"/>
      <c r="AF1827" s="76"/>
      <c r="AG1827" s="76"/>
      <c r="AH1827" s="76"/>
      <c r="AI1827" s="76"/>
      <c r="AJ1827" s="76"/>
      <c r="AK1827" s="76"/>
      <c r="AL1827" s="77"/>
      <c r="AM1827" s="76"/>
      <c r="AN1827" s="76"/>
    </row>
    <row r="1828" spans="1:40" ht="15">
      <c r="A1828" s="83" t="e">
        <f>IF(#REF!&lt;&gt;#REF!,1,A1827+1)</f>
        <v>#REF!</v>
      </c>
      <c r="O1828" s="79"/>
      <c r="P1828" s="79"/>
      <c r="Q1828" s="76"/>
      <c r="R1828" s="77"/>
      <c r="S1828" s="76"/>
      <c r="T1828" s="77"/>
      <c r="U1828" s="76"/>
      <c r="V1828" s="77"/>
      <c r="W1828" s="76"/>
      <c r="X1828" s="77"/>
      <c r="Y1828" s="76"/>
      <c r="Z1828" s="76"/>
      <c r="AA1828" s="76"/>
      <c r="AB1828" s="76"/>
      <c r="AC1828" s="76"/>
      <c r="AD1828" s="76"/>
      <c r="AE1828" s="76"/>
      <c r="AF1828" s="76"/>
      <c r="AG1828" s="76"/>
      <c r="AH1828" s="76"/>
      <c r="AI1828" s="76"/>
      <c r="AJ1828" s="76"/>
      <c r="AK1828" s="76"/>
      <c r="AL1828" s="77"/>
      <c r="AM1828" s="76"/>
      <c r="AN1828" s="76"/>
    </row>
    <row r="1829" spans="1:40" ht="15">
      <c r="A1829" s="83" t="e">
        <f>IF(#REF!&lt;&gt;#REF!,1,A1828+1)</f>
        <v>#REF!</v>
      </c>
      <c r="O1829" s="79"/>
      <c r="P1829" s="79"/>
      <c r="Q1829" s="76"/>
      <c r="R1829" s="77"/>
      <c r="S1829" s="76"/>
      <c r="T1829" s="77"/>
      <c r="U1829" s="76"/>
      <c r="V1829" s="77"/>
      <c r="W1829" s="76"/>
      <c r="X1829" s="77"/>
      <c r="Y1829" s="76"/>
      <c r="Z1829" s="76"/>
      <c r="AA1829" s="76"/>
      <c r="AB1829" s="76"/>
      <c r="AC1829" s="76"/>
      <c r="AD1829" s="76"/>
      <c r="AE1829" s="76"/>
      <c r="AF1829" s="76"/>
      <c r="AG1829" s="76"/>
      <c r="AH1829" s="76"/>
      <c r="AI1829" s="76"/>
      <c r="AJ1829" s="76"/>
      <c r="AK1829" s="76"/>
      <c r="AL1829" s="77"/>
      <c r="AM1829" s="76"/>
      <c r="AN1829" s="76"/>
    </row>
    <row r="1830" spans="1:40" ht="15">
      <c r="A1830" s="83" t="e">
        <f>IF(#REF!&lt;&gt;#REF!,1,A1829+1)</f>
        <v>#REF!</v>
      </c>
      <c r="O1830" s="79"/>
      <c r="P1830" s="79"/>
      <c r="Q1830" s="76"/>
      <c r="R1830" s="77"/>
      <c r="S1830" s="76"/>
      <c r="T1830" s="77"/>
      <c r="U1830" s="76"/>
      <c r="V1830" s="77"/>
      <c r="W1830" s="76"/>
      <c r="X1830" s="77"/>
      <c r="Y1830" s="76"/>
      <c r="Z1830" s="76"/>
      <c r="AA1830" s="76"/>
      <c r="AB1830" s="76"/>
      <c r="AC1830" s="76"/>
      <c r="AD1830" s="76"/>
      <c r="AE1830" s="76"/>
      <c r="AF1830" s="76"/>
      <c r="AG1830" s="76"/>
      <c r="AH1830" s="76"/>
      <c r="AI1830" s="76"/>
      <c r="AJ1830" s="76"/>
      <c r="AK1830" s="76"/>
      <c r="AL1830" s="77"/>
      <c r="AM1830" s="76"/>
      <c r="AN1830" s="76"/>
    </row>
    <row r="1831" spans="1:40" ht="15">
      <c r="A1831" s="83" t="e">
        <f>IF(#REF!&lt;&gt;#REF!,1,A1830+1)</f>
        <v>#REF!</v>
      </c>
      <c r="O1831" s="79"/>
      <c r="P1831" s="79"/>
      <c r="Q1831" s="76"/>
      <c r="R1831" s="77"/>
      <c r="S1831" s="76"/>
      <c r="T1831" s="77"/>
      <c r="U1831" s="76"/>
      <c r="V1831" s="77"/>
      <c r="W1831" s="76"/>
      <c r="X1831" s="77"/>
      <c r="Y1831" s="76"/>
      <c r="Z1831" s="76"/>
      <c r="AA1831" s="76"/>
      <c r="AB1831" s="76"/>
      <c r="AC1831" s="76"/>
      <c r="AD1831" s="76"/>
      <c r="AE1831" s="76"/>
      <c r="AF1831" s="76"/>
      <c r="AG1831" s="76"/>
      <c r="AH1831" s="76"/>
      <c r="AI1831" s="76"/>
      <c r="AJ1831" s="76"/>
      <c r="AK1831" s="76"/>
      <c r="AL1831" s="77"/>
      <c r="AM1831" s="76"/>
      <c r="AN1831" s="76"/>
    </row>
    <row r="1832" spans="1:40" ht="15">
      <c r="A1832" s="83" t="e">
        <f>IF(#REF!&lt;&gt;#REF!,1,A1831+1)</f>
        <v>#REF!</v>
      </c>
      <c r="O1832" s="79"/>
      <c r="P1832" s="79"/>
      <c r="Q1832" s="76"/>
      <c r="R1832" s="77"/>
      <c r="S1832" s="76"/>
      <c r="T1832" s="77"/>
      <c r="U1832" s="76"/>
      <c r="V1832" s="77"/>
      <c r="W1832" s="76"/>
      <c r="X1832" s="77"/>
      <c r="Y1832" s="76"/>
      <c r="Z1832" s="76"/>
      <c r="AA1832" s="76"/>
      <c r="AB1832" s="76"/>
      <c r="AC1832" s="76"/>
      <c r="AD1832" s="76"/>
      <c r="AE1832" s="76"/>
      <c r="AF1832" s="76"/>
      <c r="AG1832" s="76"/>
      <c r="AH1832" s="76"/>
      <c r="AI1832" s="76"/>
      <c r="AJ1832" s="76"/>
      <c r="AK1832" s="76"/>
      <c r="AL1832" s="77"/>
      <c r="AM1832" s="76"/>
      <c r="AN1832" s="76"/>
    </row>
    <row r="1833" spans="1:40" ht="15">
      <c r="A1833" s="83" t="e">
        <f>IF(#REF!&lt;&gt;#REF!,1,A1832+1)</f>
        <v>#REF!</v>
      </c>
      <c r="O1833" s="79"/>
      <c r="P1833" s="79"/>
      <c r="Q1833" s="76"/>
      <c r="R1833" s="77"/>
      <c r="S1833" s="76"/>
      <c r="T1833" s="77"/>
      <c r="U1833" s="76"/>
      <c r="V1833" s="77"/>
      <c r="W1833" s="76"/>
      <c r="X1833" s="77"/>
      <c r="Y1833" s="76"/>
      <c r="Z1833" s="76"/>
      <c r="AA1833" s="76"/>
      <c r="AB1833" s="76"/>
      <c r="AC1833" s="76"/>
      <c r="AD1833" s="76"/>
      <c r="AE1833" s="76"/>
      <c r="AF1833" s="76"/>
      <c r="AG1833" s="76"/>
      <c r="AH1833" s="76"/>
      <c r="AI1833" s="76"/>
      <c r="AJ1833" s="76"/>
      <c r="AK1833" s="76"/>
      <c r="AL1833" s="77"/>
      <c r="AM1833" s="76"/>
      <c r="AN1833" s="76"/>
    </row>
    <row r="1834" spans="1:40" ht="15">
      <c r="A1834" s="83" t="e">
        <f>IF(#REF!&lt;&gt;#REF!,1,A1833+1)</f>
        <v>#REF!</v>
      </c>
      <c r="O1834" s="79"/>
      <c r="P1834" s="79"/>
      <c r="Q1834" s="76"/>
      <c r="R1834" s="77"/>
      <c r="S1834" s="76"/>
      <c r="T1834" s="77"/>
      <c r="U1834" s="76"/>
      <c r="V1834" s="77"/>
      <c r="W1834" s="76"/>
      <c r="X1834" s="77"/>
      <c r="Y1834" s="76"/>
      <c r="Z1834" s="76"/>
      <c r="AA1834" s="76"/>
      <c r="AB1834" s="76"/>
      <c r="AC1834" s="76"/>
      <c r="AD1834" s="76"/>
      <c r="AE1834" s="76"/>
      <c r="AF1834" s="76"/>
      <c r="AG1834" s="76"/>
      <c r="AH1834" s="76"/>
      <c r="AI1834" s="76"/>
      <c r="AJ1834" s="76"/>
      <c r="AK1834" s="76"/>
      <c r="AL1834" s="77"/>
      <c r="AM1834" s="76"/>
      <c r="AN1834" s="76"/>
    </row>
    <row r="1835" spans="1:40" ht="15">
      <c r="A1835" s="83" t="e">
        <f>IF(#REF!&lt;&gt;#REF!,1,A1834+1)</f>
        <v>#REF!</v>
      </c>
      <c r="O1835" s="79"/>
      <c r="P1835" s="79"/>
      <c r="Q1835" s="76"/>
      <c r="R1835" s="77"/>
      <c r="S1835" s="76"/>
      <c r="T1835" s="77"/>
      <c r="U1835" s="76"/>
      <c r="V1835" s="77"/>
      <c r="W1835" s="76"/>
      <c r="X1835" s="77"/>
      <c r="Y1835" s="76"/>
      <c r="Z1835" s="76"/>
      <c r="AA1835" s="76"/>
      <c r="AB1835" s="76"/>
      <c r="AC1835" s="76"/>
      <c r="AD1835" s="76"/>
      <c r="AE1835" s="76"/>
      <c r="AF1835" s="76"/>
      <c r="AG1835" s="76"/>
      <c r="AH1835" s="76"/>
      <c r="AI1835" s="76"/>
      <c r="AJ1835" s="76"/>
      <c r="AK1835" s="76"/>
      <c r="AL1835" s="77"/>
      <c r="AM1835" s="76"/>
      <c r="AN1835" s="76"/>
    </row>
    <row r="1836" spans="1:40" ht="15">
      <c r="A1836" s="83" t="e">
        <f>IF(#REF!&lt;&gt;#REF!,1,A1835+1)</f>
        <v>#REF!</v>
      </c>
      <c r="O1836" s="79"/>
      <c r="P1836" s="79"/>
      <c r="Q1836" s="76"/>
      <c r="R1836" s="77"/>
      <c r="S1836" s="76"/>
      <c r="T1836" s="77"/>
      <c r="U1836" s="76"/>
      <c r="V1836" s="77"/>
      <c r="W1836" s="76"/>
      <c r="X1836" s="77"/>
      <c r="Y1836" s="76"/>
      <c r="Z1836" s="76"/>
      <c r="AA1836" s="76"/>
      <c r="AB1836" s="76"/>
      <c r="AC1836" s="76"/>
      <c r="AD1836" s="76"/>
      <c r="AE1836" s="76"/>
      <c r="AF1836" s="76"/>
      <c r="AG1836" s="76"/>
      <c r="AH1836" s="76"/>
      <c r="AI1836" s="76"/>
      <c r="AJ1836" s="76"/>
      <c r="AK1836" s="76"/>
      <c r="AL1836" s="77"/>
      <c r="AM1836" s="76"/>
      <c r="AN1836" s="76"/>
    </row>
    <row r="1837" spans="1:40" ht="15">
      <c r="A1837" s="83" t="e">
        <f>IF(#REF!&lt;&gt;#REF!,1,A1836+1)</f>
        <v>#REF!</v>
      </c>
      <c r="O1837" s="79"/>
      <c r="P1837" s="79"/>
      <c r="Q1837" s="76"/>
      <c r="R1837" s="77"/>
      <c r="S1837" s="76"/>
      <c r="T1837" s="77"/>
      <c r="U1837" s="76"/>
      <c r="V1837" s="77"/>
      <c r="W1837" s="76"/>
      <c r="X1837" s="77"/>
      <c r="Y1837" s="76"/>
      <c r="Z1837" s="76"/>
      <c r="AA1837" s="76"/>
      <c r="AB1837" s="76"/>
      <c r="AC1837" s="76"/>
      <c r="AD1837" s="76"/>
      <c r="AE1837" s="76"/>
      <c r="AF1837" s="76"/>
      <c r="AG1837" s="76"/>
      <c r="AH1837" s="76"/>
      <c r="AI1837" s="76"/>
      <c r="AJ1837" s="76"/>
      <c r="AK1837" s="76"/>
      <c r="AL1837" s="77"/>
      <c r="AM1837" s="76"/>
      <c r="AN1837" s="76"/>
    </row>
    <row r="1838" spans="1:40" ht="15">
      <c r="A1838" s="83" t="e">
        <f>IF(#REF!&lt;&gt;#REF!,1,A1837+1)</f>
        <v>#REF!</v>
      </c>
      <c r="O1838" s="79"/>
      <c r="P1838" s="79"/>
      <c r="Q1838" s="76"/>
      <c r="R1838" s="77"/>
      <c r="S1838" s="76"/>
      <c r="T1838" s="77"/>
      <c r="U1838" s="76"/>
      <c r="V1838" s="77"/>
      <c r="W1838" s="76"/>
      <c r="X1838" s="77"/>
      <c r="Y1838" s="76"/>
      <c r="Z1838" s="76"/>
      <c r="AA1838" s="76"/>
      <c r="AB1838" s="76"/>
      <c r="AC1838" s="76"/>
      <c r="AD1838" s="76"/>
      <c r="AE1838" s="76"/>
      <c r="AF1838" s="76"/>
      <c r="AG1838" s="76"/>
      <c r="AH1838" s="76"/>
      <c r="AI1838" s="76"/>
      <c r="AJ1838" s="76"/>
      <c r="AK1838" s="76"/>
      <c r="AL1838" s="77"/>
      <c r="AM1838" s="76"/>
      <c r="AN1838" s="76"/>
    </row>
    <row r="1839" spans="1:40" ht="15">
      <c r="A1839" s="83" t="e">
        <f>IF(#REF!&lt;&gt;#REF!,1,A1838+1)</f>
        <v>#REF!</v>
      </c>
      <c r="O1839" s="79"/>
      <c r="P1839" s="79"/>
      <c r="Q1839" s="76"/>
      <c r="R1839" s="77"/>
      <c r="S1839" s="76"/>
      <c r="T1839" s="77"/>
      <c r="U1839" s="76"/>
      <c r="V1839" s="77"/>
      <c r="W1839" s="76"/>
      <c r="X1839" s="77"/>
      <c r="Y1839" s="76"/>
      <c r="Z1839" s="76"/>
      <c r="AA1839" s="76"/>
      <c r="AB1839" s="76"/>
      <c r="AC1839" s="76"/>
      <c r="AD1839" s="76"/>
      <c r="AE1839" s="76"/>
      <c r="AF1839" s="76"/>
      <c r="AG1839" s="76"/>
      <c r="AH1839" s="76"/>
      <c r="AI1839" s="76"/>
      <c r="AJ1839" s="76"/>
      <c r="AK1839" s="76"/>
      <c r="AL1839" s="77"/>
      <c r="AM1839" s="76"/>
      <c r="AN1839" s="76"/>
    </row>
    <row r="1840" spans="1:40" ht="15">
      <c r="A1840" s="83" t="e">
        <f>IF(#REF!&lt;&gt;#REF!,1,A1839+1)</f>
        <v>#REF!</v>
      </c>
      <c r="O1840" s="79"/>
      <c r="P1840" s="79"/>
      <c r="Q1840" s="76"/>
      <c r="R1840" s="77"/>
      <c r="S1840" s="76"/>
      <c r="T1840" s="77"/>
      <c r="U1840" s="76"/>
      <c r="V1840" s="77"/>
      <c r="W1840" s="76"/>
      <c r="X1840" s="77"/>
      <c r="Y1840" s="76"/>
      <c r="Z1840" s="76"/>
      <c r="AA1840" s="76"/>
      <c r="AB1840" s="76"/>
      <c r="AC1840" s="76"/>
      <c r="AD1840" s="76"/>
      <c r="AE1840" s="76"/>
      <c r="AF1840" s="76"/>
      <c r="AG1840" s="76"/>
      <c r="AH1840" s="76"/>
      <c r="AI1840" s="76"/>
      <c r="AJ1840" s="76"/>
      <c r="AK1840" s="76"/>
      <c r="AL1840" s="77"/>
      <c r="AM1840" s="76"/>
      <c r="AN1840" s="76"/>
    </row>
    <row r="1841" spans="1:40" ht="15">
      <c r="A1841" s="83" t="e">
        <f>IF(#REF!&lt;&gt;#REF!,1,A1840+1)</f>
        <v>#REF!</v>
      </c>
      <c r="O1841" s="79"/>
      <c r="P1841" s="79"/>
      <c r="Q1841" s="76"/>
      <c r="R1841" s="77"/>
      <c r="S1841" s="76"/>
      <c r="T1841" s="77"/>
      <c r="U1841" s="76"/>
      <c r="V1841" s="77"/>
      <c r="W1841" s="76"/>
      <c r="X1841" s="77"/>
      <c r="Y1841" s="76"/>
      <c r="Z1841" s="76"/>
      <c r="AA1841" s="76"/>
      <c r="AB1841" s="76"/>
      <c r="AC1841" s="76"/>
      <c r="AD1841" s="76"/>
      <c r="AE1841" s="76"/>
      <c r="AF1841" s="76"/>
      <c r="AG1841" s="76"/>
      <c r="AH1841" s="76"/>
      <c r="AI1841" s="76"/>
      <c r="AJ1841" s="76"/>
      <c r="AK1841" s="76"/>
      <c r="AL1841" s="77"/>
      <c r="AM1841" s="76"/>
      <c r="AN1841" s="76"/>
    </row>
    <row r="1842" spans="1:40" ht="15">
      <c r="A1842" s="83" t="e">
        <f>IF(#REF!&lt;&gt;#REF!,1,A1841+1)</f>
        <v>#REF!</v>
      </c>
      <c r="O1842" s="79"/>
      <c r="P1842" s="79"/>
      <c r="Q1842" s="76"/>
      <c r="R1842" s="77"/>
      <c r="S1842" s="76"/>
      <c r="T1842" s="77"/>
      <c r="U1842" s="76"/>
      <c r="V1842" s="77"/>
      <c r="W1842" s="76"/>
      <c r="X1842" s="77"/>
      <c r="Y1842" s="76"/>
      <c r="Z1842" s="76"/>
      <c r="AA1842" s="76"/>
      <c r="AB1842" s="76"/>
      <c r="AC1842" s="76"/>
      <c r="AD1842" s="76"/>
      <c r="AE1842" s="76"/>
      <c r="AF1842" s="76"/>
      <c r="AG1842" s="76"/>
      <c r="AH1842" s="76"/>
      <c r="AI1842" s="76"/>
      <c r="AJ1842" s="76"/>
      <c r="AK1842" s="76"/>
      <c r="AL1842" s="77"/>
      <c r="AM1842" s="76"/>
      <c r="AN1842" s="76"/>
    </row>
    <row r="1843" spans="1:40" ht="15">
      <c r="A1843" s="83" t="e">
        <f>IF(#REF!&lt;&gt;#REF!,1,A1842+1)</f>
        <v>#REF!</v>
      </c>
      <c r="O1843" s="79"/>
      <c r="P1843" s="79"/>
      <c r="Q1843" s="76"/>
      <c r="R1843" s="77"/>
      <c r="S1843" s="76"/>
      <c r="T1843" s="77"/>
      <c r="U1843" s="76"/>
      <c r="V1843" s="77"/>
      <c r="W1843" s="76"/>
      <c r="X1843" s="77"/>
      <c r="Y1843" s="76"/>
      <c r="Z1843" s="76"/>
      <c r="AA1843" s="76"/>
      <c r="AB1843" s="76"/>
      <c r="AC1843" s="76"/>
      <c r="AD1843" s="76"/>
      <c r="AE1843" s="76"/>
      <c r="AF1843" s="76"/>
      <c r="AG1843" s="76"/>
      <c r="AH1843" s="76"/>
      <c r="AI1843" s="76"/>
      <c r="AJ1843" s="76"/>
      <c r="AK1843" s="76"/>
      <c r="AL1843" s="77"/>
      <c r="AM1843" s="76"/>
      <c r="AN1843" s="76"/>
    </row>
    <row r="1844" spans="1:40" ht="15">
      <c r="A1844" s="83" t="e">
        <f>IF(#REF!&lt;&gt;#REF!,1,A1843+1)</f>
        <v>#REF!</v>
      </c>
      <c r="O1844" s="79"/>
      <c r="P1844" s="79"/>
      <c r="Q1844" s="76"/>
      <c r="R1844" s="77"/>
      <c r="S1844" s="76"/>
      <c r="T1844" s="77"/>
      <c r="U1844" s="76"/>
      <c r="V1844" s="77"/>
      <c r="W1844" s="76"/>
      <c r="X1844" s="77"/>
      <c r="Y1844" s="76"/>
      <c r="Z1844" s="76"/>
      <c r="AA1844" s="76"/>
      <c r="AB1844" s="76"/>
      <c r="AC1844" s="76"/>
      <c r="AD1844" s="76"/>
      <c r="AE1844" s="76"/>
      <c r="AF1844" s="76"/>
      <c r="AG1844" s="76"/>
      <c r="AH1844" s="76"/>
      <c r="AI1844" s="76"/>
      <c r="AJ1844" s="76"/>
      <c r="AK1844" s="76"/>
      <c r="AL1844" s="77"/>
      <c r="AM1844" s="76"/>
      <c r="AN1844" s="76"/>
    </row>
    <row r="1845" spans="1:40" ht="15">
      <c r="A1845" s="83" t="e">
        <f>IF(#REF!&lt;&gt;#REF!,1,A1844+1)</f>
        <v>#REF!</v>
      </c>
      <c r="O1845" s="79"/>
      <c r="P1845" s="79"/>
      <c r="Q1845" s="76"/>
      <c r="R1845" s="77"/>
      <c r="S1845" s="76"/>
      <c r="T1845" s="77"/>
      <c r="U1845" s="76"/>
      <c r="V1845" s="77"/>
      <c r="W1845" s="76"/>
      <c r="X1845" s="77"/>
      <c r="Y1845" s="76"/>
      <c r="Z1845" s="76"/>
      <c r="AA1845" s="76"/>
      <c r="AB1845" s="76"/>
      <c r="AC1845" s="76"/>
      <c r="AD1845" s="76"/>
      <c r="AE1845" s="76"/>
      <c r="AF1845" s="76"/>
      <c r="AG1845" s="76"/>
      <c r="AH1845" s="76"/>
      <c r="AI1845" s="76"/>
      <c r="AJ1845" s="76"/>
      <c r="AK1845" s="76"/>
      <c r="AL1845" s="77"/>
      <c r="AM1845" s="76"/>
      <c r="AN1845" s="76"/>
    </row>
    <row r="1846" spans="1:40" ht="15">
      <c r="A1846" s="83" t="e">
        <f>IF(#REF!&lt;&gt;#REF!,1,A1845+1)</f>
        <v>#REF!</v>
      </c>
      <c r="O1846" s="79"/>
      <c r="P1846" s="79"/>
      <c r="Q1846" s="76"/>
      <c r="R1846" s="77"/>
      <c r="S1846" s="76"/>
      <c r="T1846" s="77"/>
      <c r="U1846" s="76"/>
      <c r="V1846" s="77"/>
      <c r="W1846" s="76"/>
      <c r="X1846" s="77"/>
      <c r="Y1846" s="76"/>
      <c r="Z1846" s="76"/>
      <c r="AA1846" s="76"/>
      <c r="AB1846" s="76"/>
      <c r="AC1846" s="76"/>
      <c r="AD1846" s="76"/>
      <c r="AE1846" s="76"/>
      <c r="AF1846" s="76"/>
      <c r="AG1846" s="76"/>
      <c r="AH1846" s="76"/>
      <c r="AI1846" s="76"/>
      <c r="AJ1846" s="76"/>
      <c r="AK1846" s="76"/>
      <c r="AL1846" s="77"/>
      <c r="AM1846" s="76"/>
      <c r="AN1846" s="76"/>
    </row>
    <row r="1847" spans="1:40" ht="15">
      <c r="A1847" s="83" t="e">
        <f>IF(#REF!&lt;&gt;#REF!,1,A1846+1)</f>
        <v>#REF!</v>
      </c>
      <c r="O1847" s="79"/>
      <c r="P1847" s="79"/>
      <c r="Q1847" s="76"/>
      <c r="R1847" s="77"/>
      <c r="S1847" s="76"/>
      <c r="T1847" s="77"/>
      <c r="U1847" s="76"/>
      <c r="V1847" s="77"/>
      <c r="W1847" s="76"/>
      <c r="X1847" s="77"/>
      <c r="Y1847" s="76"/>
      <c r="Z1847" s="76"/>
      <c r="AA1847" s="76"/>
      <c r="AB1847" s="76"/>
      <c r="AC1847" s="76"/>
      <c r="AD1847" s="76"/>
      <c r="AE1847" s="76"/>
      <c r="AF1847" s="76"/>
      <c r="AG1847" s="76"/>
      <c r="AH1847" s="76"/>
      <c r="AI1847" s="76"/>
      <c r="AJ1847" s="76"/>
      <c r="AK1847" s="76"/>
      <c r="AL1847" s="77"/>
      <c r="AM1847" s="76"/>
      <c r="AN1847" s="76"/>
    </row>
    <row r="1848" spans="1:40" ht="15">
      <c r="A1848" s="83" t="e">
        <f>IF(#REF!&lt;&gt;#REF!,1,A1847+1)</f>
        <v>#REF!</v>
      </c>
      <c r="O1848" s="79"/>
      <c r="P1848" s="79"/>
      <c r="Q1848" s="76"/>
      <c r="R1848" s="77"/>
      <c r="S1848" s="76"/>
      <c r="T1848" s="77"/>
      <c r="U1848" s="76"/>
      <c r="V1848" s="77"/>
      <c r="W1848" s="76"/>
      <c r="X1848" s="77"/>
      <c r="Y1848" s="76"/>
      <c r="Z1848" s="76"/>
      <c r="AA1848" s="76"/>
      <c r="AB1848" s="76"/>
      <c r="AC1848" s="76"/>
      <c r="AD1848" s="76"/>
      <c r="AE1848" s="76"/>
      <c r="AF1848" s="76"/>
      <c r="AG1848" s="76"/>
      <c r="AH1848" s="76"/>
      <c r="AI1848" s="76"/>
      <c r="AJ1848" s="76"/>
      <c r="AK1848" s="76"/>
      <c r="AL1848" s="77"/>
      <c r="AM1848" s="76"/>
      <c r="AN1848" s="76"/>
    </row>
    <row r="1849" spans="1:40" ht="15">
      <c r="A1849" s="83" t="e">
        <f>IF(#REF!&lt;&gt;#REF!,1,A1848+1)</f>
        <v>#REF!</v>
      </c>
      <c r="O1849" s="79"/>
      <c r="P1849" s="79"/>
      <c r="Q1849" s="76"/>
      <c r="R1849" s="77"/>
      <c r="S1849" s="76"/>
      <c r="T1849" s="77"/>
      <c r="U1849" s="76"/>
      <c r="V1849" s="77"/>
      <c r="W1849" s="76"/>
      <c r="X1849" s="77"/>
      <c r="Y1849" s="76"/>
      <c r="Z1849" s="76"/>
      <c r="AA1849" s="76"/>
      <c r="AB1849" s="76"/>
      <c r="AC1849" s="76"/>
      <c r="AD1849" s="76"/>
      <c r="AE1849" s="76"/>
      <c r="AF1849" s="76"/>
      <c r="AG1849" s="76"/>
      <c r="AH1849" s="76"/>
      <c r="AI1849" s="76"/>
      <c r="AJ1849" s="76"/>
      <c r="AK1849" s="76"/>
      <c r="AL1849" s="77"/>
      <c r="AM1849" s="76"/>
      <c r="AN1849" s="76"/>
    </row>
    <row r="1850" spans="1:40" ht="15">
      <c r="A1850" s="83" t="e">
        <f>IF(#REF!&lt;&gt;#REF!,1,A1849+1)</f>
        <v>#REF!</v>
      </c>
      <c r="O1850" s="79"/>
      <c r="P1850" s="79"/>
      <c r="Q1850" s="76"/>
      <c r="R1850" s="77"/>
      <c r="S1850" s="76"/>
      <c r="T1850" s="77"/>
      <c r="U1850" s="76"/>
      <c r="V1850" s="77"/>
      <c r="W1850" s="76"/>
      <c r="X1850" s="77"/>
      <c r="Y1850" s="76"/>
      <c r="Z1850" s="76"/>
      <c r="AA1850" s="76"/>
      <c r="AB1850" s="76"/>
      <c r="AC1850" s="76"/>
      <c r="AD1850" s="76"/>
      <c r="AE1850" s="76"/>
      <c r="AF1850" s="76"/>
      <c r="AG1850" s="76"/>
      <c r="AH1850" s="76"/>
      <c r="AI1850" s="76"/>
      <c r="AJ1850" s="76"/>
      <c r="AK1850" s="76"/>
      <c r="AL1850" s="77"/>
      <c r="AM1850" s="76"/>
      <c r="AN1850" s="76"/>
    </row>
    <row r="1851" spans="1:40" ht="15">
      <c r="A1851" s="83" t="e">
        <f>IF(#REF!&lt;&gt;#REF!,1,A1850+1)</f>
        <v>#REF!</v>
      </c>
      <c r="O1851" s="79"/>
      <c r="P1851" s="79"/>
      <c r="Q1851" s="76"/>
      <c r="R1851" s="77"/>
      <c r="S1851" s="76"/>
      <c r="T1851" s="77"/>
      <c r="U1851" s="76"/>
      <c r="V1851" s="77"/>
      <c r="W1851" s="76"/>
      <c r="X1851" s="77"/>
      <c r="Y1851" s="76"/>
      <c r="Z1851" s="76"/>
      <c r="AA1851" s="76"/>
      <c r="AB1851" s="76"/>
      <c r="AC1851" s="76"/>
      <c r="AD1851" s="76"/>
      <c r="AE1851" s="76"/>
      <c r="AF1851" s="76"/>
      <c r="AG1851" s="76"/>
      <c r="AH1851" s="76"/>
      <c r="AI1851" s="76"/>
      <c r="AJ1851" s="76"/>
      <c r="AK1851" s="76"/>
      <c r="AL1851" s="77"/>
      <c r="AM1851" s="76"/>
      <c r="AN1851" s="76"/>
    </row>
    <row r="1852" spans="1:40" ht="15">
      <c r="A1852" s="83" t="e">
        <f>IF(#REF!&lt;&gt;#REF!,1,A1851+1)</f>
        <v>#REF!</v>
      </c>
      <c r="O1852" s="79"/>
      <c r="P1852" s="79"/>
      <c r="Q1852" s="76"/>
      <c r="R1852" s="77"/>
      <c r="S1852" s="76"/>
      <c r="T1852" s="77"/>
      <c r="U1852" s="76"/>
      <c r="V1852" s="77"/>
      <c r="W1852" s="76"/>
      <c r="X1852" s="77"/>
      <c r="Y1852" s="76"/>
      <c r="Z1852" s="76"/>
      <c r="AA1852" s="76"/>
      <c r="AB1852" s="76"/>
      <c r="AC1852" s="76"/>
      <c r="AD1852" s="76"/>
      <c r="AE1852" s="76"/>
      <c r="AF1852" s="76"/>
      <c r="AG1852" s="76"/>
      <c r="AH1852" s="76"/>
      <c r="AI1852" s="76"/>
      <c r="AJ1852" s="76"/>
      <c r="AK1852" s="76"/>
      <c r="AL1852" s="77"/>
      <c r="AM1852" s="76"/>
      <c r="AN1852" s="76"/>
    </row>
    <row r="1853" spans="1:40" ht="15">
      <c r="A1853" s="83" t="e">
        <f>IF(#REF!&lt;&gt;#REF!,1,A1852+1)</f>
        <v>#REF!</v>
      </c>
      <c r="O1853" s="79"/>
      <c r="P1853" s="79"/>
      <c r="Q1853" s="76"/>
      <c r="R1853" s="77"/>
      <c r="S1853" s="76"/>
      <c r="T1853" s="77"/>
      <c r="U1853" s="76"/>
      <c r="V1853" s="77"/>
      <c r="W1853" s="76"/>
      <c r="X1853" s="77"/>
      <c r="Y1853" s="76"/>
      <c r="Z1853" s="76"/>
      <c r="AA1853" s="76"/>
      <c r="AB1853" s="76"/>
      <c r="AC1853" s="76"/>
      <c r="AD1853" s="76"/>
      <c r="AE1853" s="76"/>
      <c r="AF1853" s="76"/>
      <c r="AG1853" s="76"/>
      <c r="AH1853" s="76"/>
      <c r="AI1853" s="76"/>
      <c r="AJ1853" s="76"/>
      <c r="AK1853" s="76"/>
      <c r="AL1853" s="77"/>
      <c r="AM1853" s="76"/>
      <c r="AN1853" s="76"/>
    </row>
    <row r="1854" spans="1:40" ht="15">
      <c r="A1854" s="83" t="e">
        <f>IF(#REF!&lt;&gt;#REF!,1,A1853+1)</f>
        <v>#REF!</v>
      </c>
      <c r="O1854" s="79"/>
      <c r="P1854" s="79"/>
      <c r="Q1854" s="76"/>
      <c r="R1854" s="77"/>
      <c r="S1854" s="76"/>
      <c r="T1854" s="77"/>
      <c r="U1854" s="76"/>
      <c r="V1854" s="77"/>
      <c r="W1854" s="76"/>
      <c r="X1854" s="77"/>
      <c r="Y1854" s="76"/>
      <c r="Z1854" s="76"/>
      <c r="AA1854" s="76"/>
      <c r="AB1854" s="76"/>
      <c r="AC1854" s="76"/>
      <c r="AD1854" s="76"/>
      <c r="AE1854" s="76"/>
      <c r="AF1854" s="76"/>
      <c r="AG1854" s="76"/>
      <c r="AH1854" s="76"/>
      <c r="AI1854" s="76"/>
      <c r="AJ1854" s="76"/>
      <c r="AK1854" s="76"/>
      <c r="AL1854" s="77"/>
      <c r="AM1854" s="76"/>
      <c r="AN1854" s="76"/>
    </row>
    <row r="1855" spans="1:40" ht="15">
      <c r="A1855" s="83" t="e">
        <f>IF(#REF!&lt;&gt;#REF!,1,A1854+1)</f>
        <v>#REF!</v>
      </c>
      <c r="O1855" s="79"/>
      <c r="P1855" s="79"/>
      <c r="Q1855" s="76"/>
      <c r="R1855" s="77"/>
      <c r="S1855" s="76"/>
      <c r="T1855" s="77"/>
      <c r="U1855" s="76"/>
      <c r="V1855" s="77"/>
      <c r="W1855" s="76"/>
      <c r="X1855" s="77"/>
      <c r="Y1855" s="76"/>
      <c r="Z1855" s="76"/>
      <c r="AA1855" s="76"/>
      <c r="AB1855" s="76"/>
      <c r="AC1855" s="76"/>
      <c r="AD1855" s="76"/>
      <c r="AE1855" s="76"/>
      <c r="AF1855" s="76"/>
      <c r="AG1855" s="76"/>
      <c r="AH1855" s="76"/>
      <c r="AI1855" s="76"/>
      <c r="AJ1855" s="76"/>
      <c r="AK1855" s="76"/>
      <c r="AL1855" s="77"/>
      <c r="AM1855" s="76"/>
      <c r="AN1855" s="76"/>
    </row>
    <row r="1856" spans="1:40" ht="15">
      <c r="A1856" s="83" t="e">
        <f>IF(#REF!&lt;&gt;#REF!,1,A1855+1)</f>
        <v>#REF!</v>
      </c>
      <c r="O1856" s="79"/>
      <c r="P1856" s="79"/>
      <c r="Q1856" s="76"/>
      <c r="R1856" s="77"/>
      <c r="S1856" s="76"/>
      <c r="T1856" s="77"/>
      <c r="U1856" s="76"/>
      <c r="V1856" s="77"/>
      <c r="W1856" s="76"/>
      <c r="X1856" s="77"/>
      <c r="Y1856" s="76"/>
      <c r="Z1856" s="76"/>
      <c r="AA1856" s="76"/>
      <c r="AB1856" s="76"/>
      <c r="AC1856" s="76"/>
      <c r="AD1856" s="76"/>
      <c r="AE1856" s="76"/>
      <c r="AF1856" s="76"/>
      <c r="AG1856" s="76"/>
      <c r="AH1856" s="76"/>
      <c r="AI1856" s="76"/>
      <c r="AJ1856" s="76"/>
      <c r="AK1856" s="76"/>
      <c r="AL1856" s="77"/>
      <c r="AM1856" s="76"/>
      <c r="AN1856" s="76"/>
    </row>
    <row r="1857" spans="1:40" ht="15">
      <c r="A1857" s="83" t="e">
        <f>IF(#REF!&lt;&gt;#REF!,1,A1856+1)</f>
        <v>#REF!</v>
      </c>
      <c r="O1857" s="79"/>
      <c r="P1857" s="79"/>
      <c r="Q1857" s="76"/>
      <c r="R1857" s="77"/>
      <c r="S1857" s="76"/>
      <c r="T1857" s="77"/>
      <c r="U1857" s="76"/>
      <c r="V1857" s="77"/>
      <c r="W1857" s="76"/>
      <c r="X1857" s="77"/>
      <c r="Y1857" s="76"/>
      <c r="Z1857" s="76"/>
      <c r="AA1857" s="76"/>
      <c r="AB1857" s="76"/>
      <c r="AC1857" s="76"/>
      <c r="AD1857" s="76"/>
      <c r="AE1857" s="76"/>
      <c r="AF1857" s="76"/>
      <c r="AG1857" s="76"/>
      <c r="AH1857" s="76"/>
      <c r="AI1857" s="76"/>
      <c r="AJ1857" s="76"/>
      <c r="AK1857" s="76"/>
      <c r="AL1857" s="77"/>
      <c r="AM1857" s="76"/>
      <c r="AN1857" s="76"/>
    </row>
    <row r="1858" spans="1:40" ht="15">
      <c r="A1858" s="83" t="e">
        <f>IF(#REF!&lt;&gt;#REF!,1,A1857+1)</f>
        <v>#REF!</v>
      </c>
      <c r="O1858" s="79"/>
      <c r="P1858" s="79"/>
      <c r="Q1858" s="76"/>
      <c r="R1858" s="77"/>
      <c r="S1858" s="76"/>
      <c r="T1858" s="77"/>
      <c r="U1858" s="76"/>
      <c r="V1858" s="77"/>
      <c r="W1858" s="76"/>
      <c r="X1858" s="77"/>
      <c r="Y1858" s="76"/>
      <c r="Z1858" s="76"/>
      <c r="AA1858" s="76"/>
      <c r="AB1858" s="76"/>
      <c r="AC1858" s="76"/>
      <c r="AD1858" s="76"/>
      <c r="AE1858" s="76"/>
      <c r="AF1858" s="76"/>
      <c r="AG1858" s="76"/>
      <c r="AH1858" s="76"/>
      <c r="AI1858" s="76"/>
      <c r="AJ1858" s="76"/>
      <c r="AK1858" s="76"/>
      <c r="AL1858" s="77"/>
      <c r="AM1858" s="76"/>
      <c r="AN1858" s="76"/>
    </row>
    <row r="1859" spans="1:40" ht="15">
      <c r="A1859" s="83" t="e">
        <f>IF(#REF!&lt;&gt;#REF!,1,A1858+1)</f>
        <v>#REF!</v>
      </c>
      <c r="O1859" s="79"/>
      <c r="P1859" s="79"/>
      <c r="Q1859" s="76"/>
      <c r="R1859" s="77"/>
      <c r="S1859" s="76"/>
      <c r="T1859" s="77"/>
      <c r="U1859" s="76"/>
      <c r="V1859" s="77"/>
      <c r="W1859" s="76"/>
      <c r="X1859" s="77"/>
      <c r="Y1859" s="76"/>
      <c r="Z1859" s="76"/>
      <c r="AA1859" s="76"/>
      <c r="AB1859" s="76"/>
      <c r="AC1859" s="76"/>
      <c r="AD1859" s="76"/>
      <c r="AE1859" s="76"/>
      <c r="AF1859" s="76"/>
      <c r="AG1859" s="76"/>
      <c r="AH1859" s="76"/>
      <c r="AI1859" s="76"/>
      <c r="AJ1859" s="76"/>
      <c r="AK1859" s="76"/>
      <c r="AL1859" s="77"/>
      <c r="AM1859" s="76"/>
      <c r="AN1859" s="76"/>
    </row>
    <row r="1860" spans="1:40" ht="15">
      <c r="A1860" s="83" t="e">
        <f>IF(#REF!&lt;&gt;#REF!,1,A1859+1)</f>
        <v>#REF!</v>
      </c>
      <c r="O1860" s="79"/>
      <c r="P1860" s="79"/>
      <c r="Q1860" s="76"/>
      <c r="R1860" s="77"/>
      <c r="S1860" s="76"/>
      <c r="T1860" s="77"/>
      <c r="U1860" s="76"/>
      <c r="V1860" s="77"/>
      <c r="W1860" s="76"/>
      <c r="X1860" s="77"/>
      <c r="Y1860" s="76"/>
      <c r="Z1860" s="76"/>
      <c r="AA1860" s="76"/>
      <c r="AB1860" s="76"/>
      <c r="AC1860" s="76"/>
      <c r="AD1860" s="76"/>
      <c r="AE1860" s="76"/>
      <c r="AF1860" s="76"/>
      <c r="AG1860" s="76"/>
      <c r="AH1860" s="76"/>
      <c r="AI1860" s="76"/>
      <c r="AJ1860" s="76"/>
      <c r="AK1860" s="76"/>
      <c r="AL1860" s="77"/>
      <c r="AM1860" s="76"/>
      <c r="AN1860" s="76"/>
    </row>
    <row r="1861" spans="1:40" ht="15">
      <c r="A1861" s="83" t="e">
        <f>IF(#REF!&lt;&gt;#REF!,1,A1860+1)</f>
        <v>#REF!</v>
      </c>
      <c r="O1861" s="79"/>
      <c r="P1861" s="79"/>
      <c r="Q1861" s="76"/>
      <c r="R1861" s="77"/>
      <c r="S1861" s="76"/>
      <c r="T1861" s="77"/>
      <c r="U1861" s="76"/>
      <c r="V1861" s="77"/>
      <c r="W1861" s="76"/>
      <c r="X1861" s="77"/>
      <c r="Y1861" s="76"/>
      <c r="Z1861" s="76"/>
      <c r="AA1861" s="76"/>
      <c r="AB1861" s="76"/>
      <c r="AC1861" s="76"/>
      <c r="AD1861" s="76"/>
      <c r="AE1861" s="76"/>
      <c r="AF1861" s="76"/>
      <c r="AG1861" s="76"/>
      <c r="AH1861" s="76"/>
      <c r="AI1861" s="76"/>
      <c r="AJ1861" s="76"/>
      <c r="AK1861" s="76"/>
      <c r="AL1861" s="77"/>
      <c r="AM1861" s="76"/>
      <c r="AN1861" s="76"/>
    </row>
    <row r="1862" spans="1:40" ht="15">
      <c r="A1862" s="83" t="e">
        <f>IF(#REF!&lt;&gt;#REF!,1,A1861+1)</f>
        <v>#REF!</v>
      </c>
      <c r="O1862" s="79"/>
      <c r="P1862" s="79"/>
      <c r="Q1862" s="76"/>
      <c r="R1862" s="77"/>
      <c r="S1862" s="76"/>
      <c r="T1862" s="77"/>
      <c r="U1862" s="76"/>
      <c r="V1862" s="77"/>
      <c r="W1862" s="76"/>
      <c r="X1862" s="77"/>
      <c r="Y1862" s="76"/>
      <c r="Z1862" s="76"/>
      <c r="AA1862" s="76"/>
      <c r="AB1862" s="76"/>
      <c r="AC1862" s="76"/>
      <c r="AD1862" s="76"/>
      <c r="AE1862" s="76"/>
      <c r="AF1862" s="76"/>
      <c r="AG1862" s="76"/>
      <c r="AH1862" s="76"/>
      <c r="AI1862" s="76"/>
      <c r="AJ1862" s="76"/>
      <c r="AK1862" s="76"/>
      <c r="AL1862" s="77"/>
      <c r="AM1862" s="76"/>
      <c r="AN1862" s="76"/>
    </row>
    <row r="1863" spans="1:40" ht="15">
      <c r="A1863" s="83" t="e">
        <f>IF(#REF!&lt;&gt;#REF!,1,A1862+1)</f>
        <v>#REF!</v>
      </c>
      <c r="O1863" s="79"/>
      <c r="P1863" s="79"/>
      <c r="Q1863" s="76"/>
      <c r="R1863" s="77"/>
      <c r="S1863" s="76"/>
      <c r="T1863" s="77"/>
      <c r="U1863" s="76"/>
      <c r="V1863" s="77"/>
      <c r="W1863" s="76"/>
      <c r="X1863" s="77"/>
      <c r="Y1863" s="76"/>
      <c r="Z1863" s="76"/>
      <c r="AA1863" s="76"/>
      <c r="AB1863" s="76"/>
      <c r="AC1863" s="76"/>
      <c r="AD1863" s="76"/>
      <c r="AE1863" s="76"/>
      <c r="AF1863" s="76"/>
      <c r="AG1863" s="76"/>
      <c r="AH1863" s="76"/>
      <c r="AI1863" s="76"/>
      <c r="AJ1863" s="76"/>
      <c r="AK1863" s="76"/>
      <c r="AL1863" s="77"/>
      <c r="AM1863" s="76"/>
      <c r="AN1863" s="76"/>
    </row>
    <row r="1864" spans="1:40" ht="15">
      <c r="A1864" s="83" t="e">
        <f>IF(#REF!&lt;&gt;#REF!,1,A1863+1)</f>
        <v>#REF!</v>
      </c>
      <c r="O1864" s="79"/>
      <c r="P1864" s="79"/>
      <c r="Q1864" s="76"/>
      <c r="R1864" s="77"/>
      <c r="S1864" s="76"/>
      <c r="T1864" s="77"/>
      <c r="U1864" s="76"/>
      <c r="V1864" s="77"/>
      <c r="W1864" s="76"/>
      <c r="X1864" s="77"/>
      <c r="Y1864" s="76"/>
      <c r="Z1864" s="76"/>
      <c r="AA1864" s="76"/>
      <c r="AB1864" s="76"/>
      <c r="AC1864" s="76"/>
      <c r="AD1864" s="76"/>
      <c r="AE1864" s="76"/>
      <c r="AF1864" s="76"/>
      <c r="AG1864" s="76"/>
      <c r="AH1864" s="76"/>
      <c r="AI1864" s="76"/>
      <c r="AJ1864" s="76"/>
      <c r="AK1864" s="76"/>
      <c r="AL1864" s="77"/>
      <c r="AM1864" s="76"/>
      <c r="AN1864" s="76"/>
    </row>
    <row r="1865" spans="1:40" ht="15">
      <c r="A1865" s="83" t="e">
        <f>IF(#REF!&lt;&gt;#REF!,1,A1864+1)</f>
        <v>#REF!</v>
      </c>
      <c r="O1865" s="79"/>
      <c r="P1865" s="79"/>
      <c r="Q1865" s="76"/>
      <c r="R1865" s="77"/>
      <c r="S1865" s="76"/>
      <c r="T1865" s="77"/>
      <c r="U1865" s="76"/>
      <c r="V1865" s="77"/>
      <c r="W1865" s="76"/>
      <c r="X1865" s="77"/>
      <c r="Y1865" s="76"/>
      <c r="Z1865" s="76"/>
      <c r="AA1865" s="76"/>
      <c r="AB1865" s="76"/>
      <c r="AC1865" s="76"/>
      <c r="AD1865" s="76"/>
      <c r="AE1865" s="76"/>
      <c r="AF1865" s="76"/>
      <c r="AG1865" s="76"/>
      <c r="AH1865" s="76"/>
      <c r="AI1865" s="76"/>
      <c r="AJ1865" s="76"/>
      <c r="AK1865" s="76"/>
      <c r="AL1865" s="77"/>
      <c r="AM1865" s="76"/>
      <c r="AN1865" s="76"/>
    </row>
    <row r="1866" spans="1:40" ht="15">
      <c r="A1866" s="83" t="e">
        <f>IF(#REF!&lt;&gt;#REF!,1,A1865+1)</f>
        <v>#REF!</v>
      </c>
      <c r="O1866" s="79"/>
      <c r="P1866" s="79"/>
      <c r="Q1866" s="76"/>
      <c r="R1866" s="77"/>
      <c r="S1866" s="76"/>
      <c r="T1866" s="77"/>
      <c r="U1866" s="76"/>
      <c r="V1866" s="77"/>
      <c r="W1866" s="76"/>
      <c r="X1866" s="77"/>
      <c r="Y1866" s="76"/>
      <c r="Z1866" s="76"/>
      <c r="AA1866" s="76"/>
      <c r="AB1866" s="76"/>
      <c r="AC1866" s="76"/>
      <c r="AD1866" s="76"/>
      <c r="AE1866" s="76"/>
      <c r="AF1866" s="76"/>
      <c r="AG1866" s="76"/>
      <c r="AH1866" s="76"/>
      <c r="AI1866" s="76"/>
      <c r="AJ1866" s="76"/>
      <c r="AK1866" s="76"/>
      <c r="AL1866" s="77"/>
      <c r="AM1866" s="76"/>
      <c r="AN1866" s="76"/>
    </row>
    <row r="1867" spans="1:40" ht="15">
      <c r="A1867" s="83" t="e">
        <f>IF(#REF!&lt;&gt;#REF!,1,A1866+1)</f>
        <v>#REF!</v>
      </c>
      <c r="O1867" s="79"/>
      <c r="P1867" s="79"/>
      <c r="Q1867" s="76"/>
      <c r="R1867" s="77"/>
      <c r="S1867" s="76"/>
      <c r="T1867" s="77"/>
      <c r="U1867" s="76"/>
      <c r="V1867" s="77"/>
      <c r="W1867" s="76"/>
      <c r="X1867" s="77"/>
      <c r="Y1867" s="76"/>
      <c r="Z1867" s="76"/>
      <c r="AA1867" s="76"/>
      <c r="AB1867" s="76"/>
      <c r="AC1867" s="76"/>
      <c r="AD1867" s="76"/>
      <c r="AE1867" s="76"/>
      <c r="AF1867" s="76"/>
      <c r="AG1867" s="76"/>
      <c r="AH1867" s="76"/>
      <c r="AI1867" s="76"/>
      <c r="AJ1867" s="76"/>
      <c r="AK1867" s="76"/>
      <c r="AL1867" s="77"/>
      <c r="AM1867" s="76"/>
      <c r="AN1867" s="76"/>
    </row>
    <row r="1868" spans="1:40" ht="15">
      <c r="A1868" s="83" t="e">
        <f>IF(#REF!&lt;&gt;#REF!,1,A1867+1)</f>
        <v>#REF!</v>
      </c>
      <c r="O1868" s="79"/>
      <c r="P1868" s="79"/>
      <c r="Q1868" s="76"/>
      <c r="R1868" s="77"/>
      <c r="S1868" s="76"/>
      <c r="T1868" s="77"/>
      <c r="U1868" s="76"/>
      <c r="V1868" s="77"/>
      <c r="W1868" s="76"/>
      <c r="X1868" s="77"/>
      <c r="Y1868" s="76"/>
      <c r="Z1868" s="76"/>
      <c r="AA1868" s="76"/>
      <c r="AB1868" s="76"/>
      <c r="AC1868" s="76"/>
      <c r="AD1868" s="76"/>
      <c r="AE1868" s="76"/>
      <c r="AF1868" s="76"/>
      <c r="AG1868" s="76"/>
      <c r="AH1868" s="76"/>
      <c r="AI1868" s="76"/>
      <c r="AJ1868" s="76"/>
      <c r="AK1868" s="76"/>
      <c r="AL1868" s="77"/>
      <c r="AM1868" s="76"/>
      <c r="AN1868" s="76"/>
    </row>
    <row r="1869" spans="1:40" ht="15">
      <c r="A1869" s="83" t="e">
        <f>IF(#REF!&lt;&gt;#REF!,1,A1868+1)</f>
        <v>#REF!</v>
      </c>
      <c r="O1869" s="79"/>
      <c r="P1869" s="79"/>
      <c r="Q1869" s="76"/>
      <c r="R1869" s="77"/>
      <c r="S1869" s="76"/>
      <c r="T1869" s="77"/>
      <c r="U1869" s="76"/>
      <c r="V1869" s="77"/>
      <c r="W1869" s="76"/>
      <c r="X1869" s="77"/>
      <c r="Y1869" s="76"/>
      <c r="Z1869" s="76"/>
      <c r="AA1869" s="76"/>
      <c r="AB1869" s="76"/>
      <c r="AC1869" s="76"/>
      <c r="AD1869" s="76"/>
      <c r="AE1869" s="76"/>
      <c r="AF1869" s="76"/>
      <c r="AG1869" s="76"/>
      <c r="AH1869" s="76"/>
      <c r="AI1869" s="76"/>
      <c r="AJ1869" s="76"/>
      <c r="AK1869" s="76"/>
      <c r="AL1869" s="77"/>
      <c r="AM1869" s="76"/>
      <c r="AN1869" s="76"/>
    </row>
    <row r="1870" spans="1:40" ht="15">
      <c r="A1870" s="83" t="e">
        <f>IF(#REF!&lt;&gt;#REF!,1,A1869+1)</f>
        <v>#REF!</v>
      </c>
      <c r="O1870" s="79"/>
      <c r="P1870" s="79"/>
      <c r="Q1870" s="76"/>
      <c r="R1870" s="77"/>
      <c r="S1870" s="76"/>
      <c r="T1870" s="77"/>
      <c r="U1870" s="76"/>
      <c r="V1870" s="77"/>
      <c r="W1870" s="76"/>
      <c r="X1870" s="77"/>
      <c r="Y1870" s="76"/>
      <c r="Z1870" s="76"/>
      <c r="AA1870" s="76"/>
      <c r="AB1870" s="76"/>
      <c r="AC1870" s="76"/>
      <c r="AD1870" s="76"/>
      <c r="AE1870" s="76"/>
      <c r="AF1870" s="76"/>
      <c r="AG1870" s="76"/>
      <c r="AH1870" s="76"/>
      <c r="AI1870" s="76"/>
      <c r="AJ1870" s="76"/>
      <c r="AK1870" s="76"/>
      <c r="AL1870" s="77"/>
      <c r="AM1870" s="76"/>
      <c r="AN1870" s="76"/>
    </row>
    <row r="1871" spans="1:40" ht="15">
      <c r="A1871" s="83" t="e">
        <f>IF(#REF!&lt;&gt;#REF!,1,A1870+1)</f>
        <v>#REF!</v>
      </c>
      <c r="O1871" s="79"/>
      <c r="P1871" s="79"/>
      <c r="Q1871" s="76"/>
      <c r="R1871" s="77"/>
      <c r="S1871" s="76"/>
      <c r="T1871" s="77"/>
      <c r="U1871" s="76"/>
      <c r="V1871" s="77"/>
      <c r="W1871" s="76"/>
      <c r="X1871" s="77"/>
      <c r="Y1871" s="76"/>
      <c r="Z1871" s="76"/>
      <c r="AA1871" s="76"/>
      <c r="AB1871" s="76"/>
      <c r="AC1871" s="76"/>
      <c r="AD1871" s="76"/>
      <c r="AE1871" s="76"/>
      <c r="AF1871" s="76"/>
      <c r="AG1871" s="76"/>
      <c r="AH1871" s="76"/>
      <c r="AI1871" s="76"/>
      <c r="AJ1871" s="76"/>
      <c r="AK1871" s="76"/>
      <c r="AL1871" s="77"/>
      <c r="AM1871" s="76"/>
      <c r="AN1871" s="76"/>
    </row>
    <row r="1872" spans="1:40" ht="15">
      <c r="A1872" s="83" t="e">
        <f>IF(#REF!&lt;&gt;#REF!,1,A1871+1)</f>
        <v>#REF!</v>
      </c>
      <c r="O1872" s="79"/>
      <c r="P1872" s="79"/>
      <c r="Q1872" s="76"/>
      <c r="R1872" s="77"/>
      <c r="S1872" s="76"/>
      <c r="T1872" s="77"/>
      <c r="U1872" s="76"/>
      <c r="V1872" s="77"/>
      <c r="W1872" s="76"/>
      <c r="X1872" s="77"/>
      <c r="Y1872" s="76"/>
      <c r="Z1872" s="76"/>
      <c r="AA1872" s="76"/>
      <c r="AB1872" s="76"/>
      <c r="AC1872" s="76"/>
      <c r="AD1872" s="76"/>
      <c r="AE1872" s="76"/>
      <c r="AF1872" s="76"/>
      <c r="AG1872" s="76"/>
      <c r="AH1872" s="76"/>
      <c r="AI1872" s="76"/>
      <c r="AJ1872" s="76"/>
      <c r="AK1872" s="76"/>
      <c r="AL1872" s="77"/>
      <c r="AM1872" s="76"/>
      <c r="AN1872" s="76"/>
    </row>
    <row r="1873" spans="1:40" ht="15">
      <c r="A1873" s="83" t="e">
        <f>IF(#REF!&lt;&gt;#REF!,1,A1872+1)</f>
        <v>#REF!</v>
      </c>
      <c r="O1873" s="79"/>
      <c r="P1873" s="79"/>
      <c r="Q1873" s="76"/>
      <c r="R1873" s="77"/>
      <c r="S1873" s="76"/>
      <c r="T1873" s="77"/>
      <c r="U1873" s="76"/>
      <c r="V1873" s="77"/>
      <c r="W1873" s="76"/>
      <c r="X1873" s="77"/>
      <c r="Y1873" s="76"/>
      <c r="Z1873" s="76"/>
      <c r="AA1873" s="76"/>
      <c r="AB1873" s="76"/>
      <c r="AC1873" s="76"/>
      <c r="AD1873" s="76"/>
      <c r="AE1873" s="76"/>
      <c r="AF1873" s="76"/>
      <c r="AG1873" s="76"/>
      <c r="AH1873" s="76"/>
      <c r="AI1873" s="76"/>
      <c r="AJ1873" s="76"/>
      <c r="AK1873" s="76"/>
      <c r="AL1873" s="77"/>
      <c r="AM1873" s="76"/>
      <c r="AN1873" s="76"/>
    </row>
    <row r="1874" spans="1:40" ht="15">
      <c r="A1874" s="83" t="e">
        <f>IF(#REF!&lt;&gt;#REF!,1,A1873+1)</f>
        <v>#REF!</v>
      </c>
      <c r="O1874" s="79"/>
      <c r="P1874" s="79"/>
      <c r="Q1874" s="76"/>
      <c r="R1874" s="77"/>
      <c r="S1874" s="76"/>
      <c r="T1874" s="77"/>
      <c r="U1874" s="76"/>
      <c r="V1874" s="77"/>
      <c r="W1874" s="76"/>
      <c r="X1874" s="77"/>
      <c r="Y1874" s="76"/>
      <c r="Z1874" s="76"/>
      <c r="AA1874" s="76"/>
      <c r="AB1874" s="76"/>
      <c r="AC1874" s="76"/>
      <c r="AD1874" s="76"/>
      <c r="AE1874" s="76"/>
      <c r="AF1874" s="76"/>
      <c r="AG1874" s="76"/>
      <c r="AH1874" s="76"/>
      <c r="AI1874" s="76"/>
      <c r="AJ1874" s="76"/>
      <c r="AK1874" s="76"/>
      <c r="AL1874" s="77"/>
      <c r="AM1874" s="76"/>
      <c r="AN1874" s="76"/>
    </row>
    <row r="1875" spans="1:40" ht="15">
      <c r="A1875" s="83" t="e">
        <f>IF(#REF!&lt;&gt;#REF!,1,A1874+1)</f>
        <v>#REF!</v>
      </c>
      <c r="O1875" s="79"/>
      <c r="P1875" s="79"/>
      <c r="Q1875" s="76"/>
      <c r="R1875" s="77"/>
      <c r="S1875" s="76"/>
      <c r="T1875" s="77"/>
      <c r="U1875" s="76"/>
      <c r="V1875" s="77"/>
      <c r="W1875" s="76"/>
      <c r="X1875" s="77"/>
      <c r="Y1875" s="76"/>
      <c r="Z1875" s="76"/>
      <c r="AA1875" s="76"/>
      <c r="AB1875" s="76"/>
      <c r="AC1875" s="76"/>
      <c r="AD1875" s="76"/>
      <c r="AE1875" s="76"/>
      <c r="AF1875" s="76"/>
      <c r="AG1875" s="76"/>
      <c r="AH1875" s="76"/>
      <c r="AI1875" s="76"/>
      <c r="AJ1875" s="76"/>
      <c r="AK1875" s="76"/>
      <c r="AL1875" s="77"/>
      <c r="AM1875" s="76"/>
      <c r="AN1875" s="76"/>
    </row>
    <row r="1876" spans="1:40" ht="15">
      <c r="A1876" s="83" t="e">
        <f>IF(#REF!&lt;&gt;#REF!,1,A1875+1)</f>
        <v>#REF!</v>
      </c>
      <c r="O1876" s="79"/>
      <c r="P1876" s="79"/>
      <c r="Q1876" s="76"/>
      <c r="R1876" s="77"/>
      <c r="S1876" s="76"/>
      <c r="T1876" s="77"/>
      <c r="U1876" s="76"/>
      <c r="V1876" s="77"/>
      <c r="W1876" s="76"/>
      <c r="X1876" s="77"/>
      <c r="Y1876" s="76"/>
      <c r="Z1876" s="76"/>
      <c r="AA1876" s="76"/>
      <c r="AB1876" s="76"/>
      <c r="AC1876" s="76"/>
      <c r="AD1876" s="76"/>
      <c r="AE1876" s="76"/>
      <c r="AF1876" s="76"/>
      <c r="AG1876" s="76"/>
      <c r="AH1876" s="76"/>
      <c r="AI1876" s="76"/>
      <c r="AJ1876" s="76"/>
      <c r="AK1876" s="76"/>
      <c r="AL1876" s="77"/>
      <c r="AM1876" s="76"/>
      <c r="AN1876" s="76"/>
    </row>
    <row r="1877" spans="1:40" ht="15">
      <c r="A1877" s="83" t="e">
        <f>IF(#REF!&lt;&gt;#REF!,1,A1876+1)</f>
        <v>#REF!</v>
      </c>
      <c r="O1877" s="79"/>
      <c r="P1877" s="79"/>
      <c r="Q1877" s="76"/>
      <c r="R1877" s="77"/>
      <c r="S1877" s="76"/>
      <c r="T1877" s="77"/>
      <c r="U1877" s="76"/>
      <c r="V1877" s="77"/>
      <c r="W1877" s="76"/>
      <c r="X1877" s="77"/>
      <c r="Y1877" s="76"/>
      <c r="Z1877" s="76"/>
      <c r="AA1877" s="76"/>
      <c r="AB1877" s="76"/>
      <c r="AC1877" s="76"/>
      <c r="AD1877" s="76"/>
      <c r="AE1877" s="76"/>
      <c r="AF1877" s="76"/>
      <c r="AG1877" s="76"/>
      <c r="AH1877" s="76"/>
      <c r="AI1877" s="76"/>
      <c r="AJ1877" s="76"/>
      <c r="AK1877" s="76"/>
      <c r="AL1877" s="77"/>
      <c r="AM1877" s="76"/>
      <c r="AN1877" s="76"/>
    </row>
    <row r="1878" spans="1:40" ht="15">
      <c r="A1878" s="83" t="e">
        <f>IF(#REF!&lt;&gt;#REF!,1,A1877+1)</f>
        <v>#REF!</v>
      </c>
      <c r="O1878" s="79"/>
      <c r="P1878" s="79"/>
      <c r="Q1878" s="76"/>
      <c r="R1878" s="77"/>
      <c r="S1878" s="76"/>
      <c r="T1878" s="77"/>
      <c r="U1878" s="76"/>
      <c r="V1878" s="77"/>
      <c r="W1878" s="76"/>
      <c r="X1878" s="77"/>
      <c r="Y1878" s="76"/>
      <c r="Z1878" s="76"/>
      <c r="AA1878" s="76"/>
      <c r="AB1878" s="76"/>
      <c r="AC1878" s="76"/>
      <c r="AD1878" s="76"/>
      <c r="AE1878" s="76"/>
      <c r="AF1878" s="76"/>
      <c r="AG1878" s="76"/>
      <c r="AH1878" s="76"/>
      <c r="AI1878" s="76"/>
      <c r="AJ1878" s="76"/>
      <c r="AK1878" s="76"/>
      <c r="AL1878" s="77"/>
      <c r="AM1878" s="76"/>
      <c r="AN1878" s="76"/>
    </row>
    <row r="1879" spans="1:40" ht="15">
      <c r="A1879" s="83" t="e">
        <f>IF(#REF!&lt;&gt;#REF!,1,A1878+1)</f>
        <v>#REF!</v>
      </c>
      <c r="O1879" s="79"/>
      <c r="P1879" s="79"/>
      <c r="Q1879" s="76"/>
      <c r="R1879" s="77"/>
      <c r="S1879" s="76"/>
      <c r="T1879" s="77"/>
      <c r="U1879" s="76"/>
      <c r="V1879" s="77"/>
      <c r="W1879" s="76"/>
      <c r="X1879" s="77"/>
      <c r="Y1879" s="76"/>
      <c r="Z1879" s="76"/>
      <c r="AA1879" s="76"/>
      <c r="AB1879" s="76"/>
      <c r="AC1879" s="76"/>
      <c r="AD1879" s="76"/>
      <c r="AE1879" s="76"/>
      <c r="AF1879" s="76"/>
      <c r="AG1879" s="76"/>
      <c r="AH1879" s="76"/>
      <c r="AI1879" s="76"/>
      <c r="AJ1879" s="76"/>
      <c r="AK1879" s="76"/>
      <c r="AL1879" s="77"/>
      <c r="AM1879" s="76"/>
      <c r="AN1879" s="76"/>
    </row>
    <row r="1880" spans="1:40" ht="15">
      <c r="A1880" s="83" t="e">
        <f>IF(#REF!&lt;&gt;#REF!,1,A1879+1)</f>
        <v>#REF!</v>
      </c>
      <c r="O1880" s="79"/>
      <c r="P1880" s="79"/>
      <c r="Q1880" s="76"/>
      <c r="R1880" s="77"/>
      <c r="S1880" s="76"/>
      <c r="T1880" s="77"/>
      <c r="U1880" s="76"/>
      <c r="V1880" s="77"/>
      <c r="W1880" s="76"/>
      <c r="X1880" s="77"/>
      <c r="Y1880" s="76"/>
      <c r="Z1880" s="76"/>
      <c r="AA1880" s="76"/>
      <c r="AB1880" s="76"/>
      <c r="AC1880" s="76"/>
      <c r="AD1880" s="76"/>
      <c r="AE1880" s="76"/>
      <c r="AF1880" s="76"/>
      <c r="AG1880" s="76"/>
      <c r="AH1880" s="76"/>
      <c r="AI1880" s="76"/>
      <c r="AJ1880" s="76"/>
      <c r="AK1880" s="76"/>
      <c r="AL1880" s="77"/>
      <c r="AM1880" s="76"/>
      <c r="AN1880" s="76"/>
    </row>
    <row r="1881" spans="1:40" ht="15">
      <c r="A1881" s="83" t="e">
        <f>IF(#REF!&lt;&gt;#REF!,1,A1880+1)</f>
        <v>#REF!</v>
      </c>
      <c r="O1881" s="79"/>
      <c r="P1881" s="79"/>
      <c r="Q1881" s="76"/>
      <c r="R1881" s="77"/>
      <c r="S1881" s="76"/>
      <c r="T1881" s="77"/>
      <c r="U1881" s="76"/>
      <c r="V1881" s="77"/>
      <c r="W1881" s="76"/>
      <c r="X1881" s="77"/>
      <c r="Y1881" s="76"/>
      <c r="Z1881" s="76"/>
      <c r="AA1881" s="76"/>
      <c r="AB1881" s="76"/>
      <c r="AC1881" s="76"/>
      <c r="AD1881" s="76"/>
      <c r="AE1881" s="76"/>
      <c r="AF1881" s="76"/>
      <c r="AG1881" s="76"/>
      <c r="AH1881" s="76"/>
      <c r="AI1881" s="76"/>
      <c r="AJ1881" s="76"/>
      <c r="AK1881" s="76"/>
      <c r="AL1881" s="77"/>
      <c r="AM1881" s="76"/>
      <c r="AN1881" s="76"/>
    </row>
    <row r="1882" spans="1:40" ht="15">
      <c r="A1882" s="83" t="e">
        <f>IF(#REF!&lt;&gt;#REF!,1,A1881+1)</f>
        <v>#REF!</v>
      </c>
      <c r="O1882" s="79"/>
      <c r="P1882" s="79"/>
      <c r="Q1882" s="76"/>
      <c r="R1882" s="77"/>
      <c r="S1882" s="76"/>
      <c r="T1882" s="77"/>
      <c r="U1882" s="76"/>
      <c r="V1882" s="77"/>
      <c r="W1882" s="76"/>
      <c r="X1882" s="77"/>
      <c r="Y1882" s="76"/>
      <c r="Z1882" s="76"/>
      <c r="AA1882" s="76"/>
      <c r="AB1882" s="76"/>
      <c r="AC1882" s="76"/>
      <c r="AD1882" s="76"/>
      <c r="AE1882" s="76"/>
      <c r="AF1882" s="76"/>
      <c r="AG1882" s="76"/>
      <c r="AH1882" s="76"/>
      <c r="AI1882" s="76"/>
      <c r="AJ1882" s="76"/>
      <c r="AK1882" s="76"/>
      <c r="AL1882" s="77"/>
      <c r="AM1882" s="76"/>
      <c r="AN1882" s="76"/>
    </row>
    <row r="1883" spans="1:40" ht="15">
      <c r="A1883" s="83" t="e">
        <f>IF(#REF!&lt;&gt;#REF!,1,A1882+1)</f>
        <v>#REF!</v>
      </c>
      <c r="O1883" s="79"/>
      <c r="P1883" s="79"/>
      <c r="Q1883" s="76"/>
      <c r="R1883" s="77"/>
      <c r="S1883" s="76"/>
      <c r="T1883" s="77"/>
      <c r="U1883" s="76"/>
      <c r="V1883" s="77"/>
      <c r="W1883" s="76"/>
      <c r="X1883" s="77"/>
      <c r="Y1883" s="76"/>
      <c r="Z1883" s="76"/>
      <c r="AA1883" s="76"/>
      <c r="AB1883" s="76"/>
      <c r="AC1883" s="76"/>
      <c r="AD1883" s="76"/>
      <c r="AE1883" s="76"/>
      <c r="AF1883" s="76"/>
      <c r="AG1883" s="76"/>
      <c r="AH1883" s="76"/>
      <c r="AI1883" s="76"/>
      <c r="AJ1883" s="76"/>
      <c r="AK1883" s="76"/>
      <c r="AL1883" s="77"/>
      <c r="AM1883" s="76"/>
      <c r="AN1883" s="76"/>
    </row>
    <row r="1884" spans="1:40" ht="15">
      <c r="A1884" s="83" t="e">
        <f>IF(#REF!&lt;&gt;#REF!,1,A1883+1)</f>
        <v>#REF!</v>
      </c>
      <c r="O1884" s="79"/>
      <c r="P1884" s="79"/>
      <c r="Q1884" s="76"/>
      <c r="R1884" s="77"/>
      <c r="S1884" s="76"/>
      <c r="T1884" s="77"/>
      <c r="U1884" s="76"/>
      <c r="V1884" s="77"/>
      <c r="W1884" s="76"/>
      <c r="X1884" s="77"/>
      <c r="Y1884" s="76"/>
      <c r="Z1884" s="76"/>
      <c r="AA1884" s="76"/>
      <c r="AB1884" s="76"/>
      <c r="AC1884" s="76"/>
      <c r="AD1884" s="76"/>
      <c r="AE1884" s="76"/>
      <c r="AF1884" s="76"/>
      <c r="AG1884" s="76"/>
      <c r="AH1884" s="76"/>
      <c r="AI1884" s="76"/>
      <c r="AJ1884" s="76"/>
      <c r="AK1884" s="76"/>
      <c r="AL1884" s="77"/>
      <c r="AM1884" s="76"/>
      <c r="AN1884" s="76"/>
    </row>
    <row r="1885" spans="1:40" ht="15">
      <c r="A1885" s="83" t="e">
        <f>IF(#REF!&lt;&gt;#REF!,1,A1884+1)</f>
        <v>#REF!</v>
      </c>
      <c r="O1885" s="79"/>
      <c r="P1885" s="79"/>
      <c r="Q1885" s="76"/>
      <c r="R1885" s="77"/>
      <c r="S1885" s="76"/>
      <c r="T1885" s="77"/>
      <c r="U1885" s="76"/>
      <c r="V1885" s="77"/>
      <c r="W1885" s="76"/>
      <c r="X1885" s="77"/>
      <c r="Y1885" s="76"/>
      <c r="Z1885" s="76"/>
      <c r="AA1885" s="76"/>
      <c r="AB1885" s="76"/>
      <c r="AC1885" s="76"/>
      <c r="AD1885" s="76"/>
      <c r="AE1885" s="76"/>
      <c r="AF1885" s="76"/>
      <c r="AG1885" s="76"/>
      <c r="AH1885" s="76"/>
      <c r="AI1885" s="76"/>
      <c r="AJ1885" s="76"/>
      <c r="AK1885" s="76"/>
      <c r="AL1885" s="77"/>
      <c r="AM1885" s="76"/>
      <c r="AN1885" s="76"/>
    </row>
    <row r="1886" spans="1:40" ht="15">
      <c r="A1886" s="83" t="e">
        <f>IF(#REF!&lt;&gt;#REF!,1,A1885+1)</f>
        <v>#REF!</v>
      </c>
      <c r="O1886" s="79"/>
      <c r="P1886" s="79"/>
      <c r="Q1886" s="76"/>
      <c r="R1886" s="77"/>
      <c r="S1886" s="76"/>
      <c r="T1886" s="77"/>
      <c r="U1886" s="76"/>
      <c r="V1886" s="77"/>
      <c r="W1886" s="76"/>
      <c r="X1886" s="77"/>
      <c r="Y1886" s="76"/>
      <c r="Z1886" s="76"/>
      <c r="AA1886" s="76"/>
      <c r="AB1886" s="76"/>
      <c r="AC1886" s="76"/>
      <c r="AD1886" s="76"/>
      <c r="AE1886" s="76"/>
      <c r="AF1886" s="76"/>
      <c r="AG1886" s="76"/>
      <c r="AH1886" s="76"/>
      <c r="AI1886" s="76"/>
      <c r="AJ1886" s="76"/>
      <c r="AK1886" s="76"/>
      <c r="AL1886" s="77"/>
      <c r="AM1886" s="76"/>
      <c r="AN1886" s="76"/>
    </row>
    <row r="1887" spans="1:40" ht="15">
      <c r="A1887" s="83" t="e">
        <f>IF(#REF!&lt;&gt;#REF!,1,A1886+1)</f>
        <v>#REF!</v>
      </c>
      <c r="O1887" s="79"/>
      <c r="P1887" s="79"/>
      <c r="Q1887" s="76"/>
      <c r="R1887" s="77"/>
      <c r="S1887" s="76"/>
      <c r="T1887" s="77"/>
      <c r="U1887" s="76"/>
      <c r="V1887" s="77"/>
      <c r="W1887" s="76"/>
      <c r="X1887" s="77"/>
      <c r="Y1887" s="76"/>
      <c r="Z1887" s="76"/>
      <c r="AA1887" s="76"/>
      <c r="AB1887" s="76"/>
      <c r="AC1887" s="76"/>
      <c r="AD1887" s="76"/>
      <c r="AE1887" s="76"/>
      <c r="AF1887" s="76"/>
      <c r="AG1887" s="76"/>
      <c r="AH1887" s="76"/>
      <c r="AI1887" s="76"/>
      <c r="AJ1887" s="76"/>
      <c r="AK1887" s="76"/>
      <c r="AL1887" s="77"/>
      <c r="AM1887" s="76"/>
      <c r="AN1887" s="76"/>
    </row>
    <row r="1888" spans="1:40" ht="15">
      <c r="A1888" s="83" t="e">
        <f>IF(#REF!&lt;&gt;#REF!,1,A1887+1)</f>
        <v>#REF!</v>
      </c>
      <c r="O1888" s="79"/>
      <c r="P1888" s="79"/>
      <c r="Q1888" s="76"/>
      <c r="R1888" s="77"/>
      <c r="S1888" s="76"/>
      <c r="T1888" s="77"/>
      <c r="U1888" s="76"/>
      <c r="V1888" s="77"/>
      <c r="W1888" s="76"/>
      <c r="X1888" s="77"/>
      <c r="Y1888" s="76"/>
      <c r="Z1888" s="76"/>
      <c r="AA1888" s="76"/>
      <c r="AB1888" s="76"/>
      <c r="AC1888" s="76"/>
      <c r="AD1888" s="76"/>
      <c r="AE1888" s="76"/>
      <c r="AF1888" s="76"/>
      <c r="AG1888" s="76"/>
      <c r="AH1888" s="76"/>
      <c r="AI1888" s="76"/>
      <c r="AJ1888" s="76"/>
      <c r="AK1888" s="76"/>
      <c r="AL1888" s="77"/>
      <c r="AM1888" s="76"/>
      <c r="AN1888" s="76"/>
    </row>
    <row r="1889" spans="1:40" ht="15">
      <c r="A1889" s="83" t="e">
        <f>IF(#REF!&lt;&gt;#REF!,1,A1888+1)</f>
        <v>#REF!</v>
      </c>
      <c r="O1889" s="79"/>
      <c r="P1889" s="79"/>
      <c r="Q1889" s="76"/>
      <c r="R1889" s="77"/>
      <c r="S1889" s="76"/>
      <c r="T1889" s="77"/>
      <c r="U1889" s="76"/>
      <c r="V1889" s="77"/>
      <c r="W1889" s="76"/>
      <c r="X1889" s="77"/>
      <c r="Y1889" s="76"/>
      <c r="Z1889" s="76"/>
      <c r="AA1889" s="76"/>
      <c r="AB1889" s="76"/>
      <c r="AC1889" s="76"/>
      <c r="AD1889" s="76"/>
      <c r="AE1889" s="76"/>
      <c r="AF1889" s="76"/>
      <c r="AG1889" s="76"/>
      <c r="AH1889" s="76"/>
      <c r="AI1889" s="76"/>
      <c r="AJ1889" s="76"/>
      <c r="AK1889" s="76"/>
      <c r="AL1889" s="77"/>
      <c r="AM1889" s="76"/>
      <c r="AN1889" s="76"/>
    </row>
    <row r="1890" spans="1:40" ht="15">
      <c r="A1890" s="83" t="e">
        <f>IF(#REF!&lt;&gt;#REF!,1,A1889+1)</f>
        <v>#REF!</v>
      </c>
      <c r="O1890" s="79"/>
      <c r="P1890" s="79"/>
      <c r="Q1890" s="76"/>
      <c r="R1890" s="77"/>
      <c r="S1890" s="76"/>
      <c r="T1890" s="77"/>
      <c r="U1890" s="76"/>
      <c r="V1890" s="77"/>
      <c r="W1890" s="76"/>
      <c r="X1890" s="77"/>
      <c r="Y1890" s="76"/>
      <c r="Z1890" s="76"/>
      <c r="AA1890" s="76"/>
      <c r="AB1890" s="76"/>
      <c r="AC1890" s="76"/>
      <c r="AD1890" s="76"/>
      <c r="AE1890" s="76"/>
      <c r="AF1890" s="76"/>
      <c r="AG1890" s="76"/>
      <c r="AH1890" s="76"/>
      <c r="AI1890" s="76"/>
      <c r="AJ1890" s="76"/>
      <c r="AK1890" s="76"/>
      <c r="AL1890" s="77"/>
      <c r="AM1890" s="76"/>
      <c r="AN1890" s="76"/>
    </row>
    <row r="1891" spans="1:40" ht="15">
      <c r="A1891" s="83" t="e">
        <f>IF(#REF!&lt;&gt;#REF!,1,A1890+1)</f>
        <v>#REF!</v>
      </c>
      <c r="O1891" s="79"/>
      <c r="P1891" s="79"/>
      <c r="Q1891" s="76"/>
      <c r="R1891" s="77"/>
      <c r="S1891" s="76"/>
      <c r="T1891" s="77"/>
      <c r="U1891" s="76"/>
      <c r="V1891" s="77"/>
      <c r="W1891" s="76"/>
      <c r="X1891" s="77"/>
      <c r="Y1891" s="76"/>
      <c r="Z1891" s="76"/>
      <c r="AA1891" s="76"/>
      <c r="AB1891" s="76"/>
      <c r="AC1891" s="76"/>
      <c r="AD1891" s="76"/>
      <c r="AE1891" s="76"/>
      <c r="AF1891" s="76"/>
      <c r="AG1891" s="76"/>
      <c r="AH1891" s="76"/>
      <c r="AI1891" s="76"/>
      <c r="AJ1891" s="76"/>
      <c r="AK1891" s="76"/>
      <c r="AL1891" s="77"/>
      <c r="AM1891" s="76"/>
      <c r="AN1891" s="76"/>
    </row>
    <row r="1892" spans="1:40" ht="15">
      <c r="A1892" s="83" t="e">
        <f>IF(#REF!&lt;&gt;#REF!,1,A1891+1)</f>
        <v>#REF!</v>
      </c>
      <c r="O1892" s="79"/>
      <c r="P1892" s="79"/>
      <c r="Q1892" s="76"/>
      <c r="R1892" s="77"/>
      <c r="S1892" s="76"/>
      <c r="T1892" s="77"/>
      <c r="U1892" s="76"/>
      <c r="V1892" s="77"/>
      <c r="W1892" s="76"/>
      <c r="X1892" s="77"/>
      <c r="Y1892" s="76"/>
      <c r="Z1892" s="76"/>
      <c r="AA1892" s="76"/>
      <c r="AB1892" s="76"/>
      <c r="AC1892" s="76"/>
      <c r="AD1892" s="76"/>
      <c r="AE1892" s="76"/>
      <c r="AF1892" s="76"/>
      <c r="AG1892" s="76"/>
      <c r="AH1892" s="76"/>
      <c r="AI1892" s="76"/>
      <c r="AJ1892" s="76"/>
      <c r="AK1892" s="76"/>
      <c r="AL1892" s="77"/>
      <c r="AM1892" s="76"/>
      <c r="AN1892" s="76"/>
    </row>
    <row r="1893" spans="1:40" ht="15">
      <c r="A1893" s="83" t="e">
        <f>IF(#REF!&lt;&gt;#REF!,1,A1892+1)</f>
        <v>#REF!</v>
      </c>
      <c r="O1893" s="79"/>
      <c r="P1893" s="79"/>
      <c r="Q1893" s="76"/>
      <c r="R1893" s="77"/>
      <c r="S1893" s="76"/>
      <c r="T1893" s="77"/>
      <c r="U1893" s="76"/>
      <c r="V1893" s="77"/>
      <c r="W1893" s="76"/>
      <c r="X1893" s="77"/>
      <c r="Y1893" s="76"/>
      <c r="Z1893" s="76"/>
      <c r="AA1893" s="76"/>
      <c r="AB1893" s="76"/>
      <c r="AC1893" s="76"/>
      <c r="AD1893" s="76"/>
      <c r="AE1893" s="76"/>
      <c r="AF1893" s="76"/>
      <c r="AG1893" s="76"/>
      <c r="AH1893" s="76"/>
      <c r="AI1893" s="76"/>
      <c r="AJ1893" s="76"/>
      <c r="AK1893" s="76"/>
      <c r="AL1893" s="77"/>
      <c r="AM1893" s="76"/>
      <c r="AN1893" s="76"/>
    </row>
    <row r="1894" spans="1:40" ht="15">
      <c r="A1894" s="83" t="e">
        <f>IF(#REF!&lt;&gt;#REF!,1,A1893+1)</f>
        <v>#REF!</v>
      </c>
      <c r="O1894" s="79"/>
      <c r="P1894" s="79"/>
      <c r="Q1894" s="76"/>
      <c r="R1894" s="77"/>
      <c r="S1894" s="76"/>
      <c r="T1894" s="77"/>
      <c r="U1894" s="76"/>
      <c r="V1894" s="77"/>
      <c r="W1894" s="76"/>
      <c r="X1894" s="77"/>
      <c r="Y1894" s="76"/>
      <c r="Z1894" s="76"/>
      <c r="AA1894" s="76"/>
      <c r="AB1894" s="76"/>
      <c r="AC1894" s="76"/>
      <c r="AD1894" s="76"/>
      <c r="AE1894" s="76"/>
      <c r="AF1894" s="76"/>
      <c r="AG1894" s="76"/>
      <c r="AH1894" s="76"/>
      <c r="AI1894" s="76"/>
      <c r="AJ1894" s="76"/>
      <c r="AK1894" s="76"/>
      <c r="AL1894" s="77"/>
      <c r="AM1894" s="76"/>
      <c r="AN1894" s="76"/>
    </row>
    <row r="1895" spans="1:40" ht="15">
      <c r="A1895" s="83" t="e">
        <f>IF(#REF!&lt;&gt;#REF!,1,A1894+1)</f>
        <v>#REF!</v>
      </c>
      <c r="O1895" s="79"/>
      <c r="P1895" s="79"/>
      <c r="Q1895" s="76"/>
      <c r="R1895" s="77"/>
      <c r="S1895" s="76"/>
      <c r="T1895" s="77"/>
      <c r="U1895" s="76"/>
      <c r="V1895" s="77"/>
      <c r="W1895" s="76"/>
      <c r="X1895" s="77"/>
      <c r="Y1895" s="76"/>
      <c r="Z1895" s="76"/>
      <c r="AA1895" s="76"/>
      <c r="AB1895" s="76"/>
      <c r="AC1895" s="76"/>
      <c r="AD1895" s="76"/>
      <c r="AE1895" s="76"/>
      <c r="AF1895" s="76"/>
      <c r="AG1895" s="76"/>
      <c r="AH1895" s="76"/>
      <c r="AI1895" s="76"/>
      <c r="AJ1895" s="76"/>
      <c r="AK1895" s="76"/>
      <c r="AL1895" s="77"/>
      <c r="AM1895" s="76"/>
      <c r="AN1895" s="76"/>
    </row>
    <row r="1896" spans="1:40" ht="15">
      <c r="A1896" s="83" t="e">
        <f>IF(#REF!&lt;&gt;#REF!,1,A1895+1)</f>
        <v>#REF!</v>
      </c>
      <c r="O1896" s="79"/>
      <c r="P1896" s="79"/>
      <c r="Q1896" s="76"/>
      <c r="R1896" s="77"/>
      <c r="S1896" s="76"/>
      <c r="T1896" s="77"/>
      <c r="U1896" s="76"/>
      <c r="V1896" s="77"/>
      <c r="W1896" s="76"/>
      <c r="X1896" s="77"/>
      <c r="Y1896" s="76"/>
      <c r="Z1896" s="76"/>
      <c r="AA1896" s="76"/>
      <c r="AB1896" s="76"/>
      <c r="AC1896" s="76"/>
      <c r="AD1896" s="76"/>
      <c r="AE1896" s="76"/>
      <c r="AF1896" s="76"/>
      <c r="AG1896" s="76"/>
      <c r="AH1896" s="76"/>
      <c r="AI1896" s="76"/>
      <c r="AJ1896" s="76"/>
      <c r="AK1896" s="76"/>
      <c r="AL1896" s="77"/>
      <c r="AM1896" s="76"/>
      <c r="AN1896" s="76"/>
    </row>
    <row r="1897" spans="1:40" ht="15">
      <c r="A1897" s="83" t="e">
        <f>IF(#REF!&lt;&gt;#REF!,1,A1896+1)</f>
        <v>#REF!</v>
      </c>
      <c r="O1897" s="79"/>
      <c r="P1897" s="79"/>
      <c r="Q1897" s="76"/>
      <c r="R1897" s="77"/>
      <c r="S1897" s="76"/>
      <c r="T1897" s="77"/>
      <c r="U1897" s="76"/>
      <c r="V1897" s="77"/>
      <c r="W1897" s="76"/>
      <c r="X1897" s="77"/>
      <c r="Y1897" s="76"/>
      <c r="Z1897" s="76"/>
      <c r="AA1897" s="76"/>
      <c r="AB1897" s="76"/>
      <c r="AC1897" s="76"/>
      <c r="AD1897" s="76"/>
      <c r="AE1897" s="76"/>
      <c r="AF1897" s="76"/>
      <c r="AG1897" s="76"/>
      <c r="AH1897" s="76"/>
      <c r="AI1897" s="76"/>
      <c r="AJ1897" s="76"/>
      <c r="AK1897" s="76"/>
      <c r="AL1897" s="77"/>
      <c r="AM1897" s="76"/>
      <c r="AN1897" s="76"/>
    </row>
    <row r="1898" spans="1:40" ht="15">
      <c r="A1898" s="83" t="e">
        <f>IF(#REF!&lt;&gt;#REF!,1,A1897+1)</f>
        <v>#REF!</v>
      </c>
      <c r="O1898" s="79"/>
      <c r="P1898" s="79"/>
      <c r="Q1898" s="76"/>
      <c r="R1898" s="77"/>
      <c r="S1898" s="76"/>
      <c r="T1898" s="77"/>
      <c r="U1898" s="76"/>
      <c r="V1898" s="77"/>
      <c r="W1898" s="76"/>
      <c r="X1898" s="77"/>
      <c r="Y1898" s="76"/>
      <c r="Z1898" s="76"/>
      <c r="AA1898" s="76"/>
      <c r="AB1898" s="76"/>
      <c r="AC1898" s="76"/>
      <c r="AD1898" s="76"/>
      <c r="AE1898" s="76"/>
      <c r="AF1898" s="76"/>
      <c r="AG1898" s="76"/>
      <c r="AH1898" s="76"/>
      <c r="AI1898" s="76"/>
      <c r="AJ1898" s="76"/>
      <c r="AK1898" s="76"/>
      <c r="AL1898" s="77"/>
      <c r="AM1898" s="76"/>
      <c r="AN1898" s="76"/>
    </row>
    <row r="1899" spans="1:40" ht="15">
      <c r="A1899" s="83" t="e">
        <f>IF(#REF!&lt;&gt;#REF!,1,A1898+1)</f>
        <v>#REF!</v>
      </c>
      <c r="O1899" s="79"/>
      <c r="P1899" s="79"/>
      <c r="Q1899" s="76"/>
      <c r="R1899" s="77"/>
      <c r="S1899" s="76"/>
      <c r="T1899" s="77"/>
      <c r="U1899" s="76"/>
      <c r="V1899" s="77"/>
      <c r="W1899" s="76"/>
      <c r="X1899" s="77"/>
      <c r="Y1899" s="76"/>
      <c r="Z1899" s="76"/>
      <c r="AA1899" s="76"/>
      <c r="AB1899" s="76"/>
      <c r="AC1899" s="76"/>
      <c r="AD1899" s="76"/>
      <c r="AE1899" s="76"/>
      <c r="AF1899" s="76"/>
      <c r="AG1899" s="76"/>
      <c r="AH1899" s="76"/>
      <c r="AI1899" s="76"/>
      <c r="AJ1899" s="76"/>
      <c r="AK1899" s="76"/>
      <c r="AL1899" s="77"/>
      <c r="AM1899" s="76"/>
      <c r="AN1899" s="76"/>
    </row>
    <row r="1900" spans="1:40" ht="15">
      <c r="A1900" s="83" t="e">
        <f>IF(#REF!&lt;&gt;#REF!,1,A1899+1)</f>
        <v>#REF!</v>
      </c>
      <c r="O1900" s="79"/>
      <c r="P1900" s="79"/>
      <c r="Q1900" s="76"/>
      <c r="R1900" s="77"/>
      <c r="S1900" s="76"/>
      <c r="T1900" s="77"/>
      <c r="U1900" s="76"/>
      <c r="V1900" s="77"/>
      <c r="W1900" s="76"/>
      <c r="X1900" s="77"/>
      <c r="Y1900" s="76"/>
      <c r="Z1900" s="76"/>
      <c r="AA1900" s="76"/>
      <c r="AB1900" s="76"/>
      <c r="AC1900" s="76"/>
      <c r="AD1900" s="76"/>
      <c r="AE1900" s="76"/>
      <c r="AF1900" s="76"/>
      <c r="AG1900" s="76"/>
      <c r="AH1900" s="76"/>
      <c r="AI1900" s="76"/>
      <c r="AJ1900" s="76"/>
      <c r="AK1900" s="76"/>
      <c r="AL1900" s="77"/>
      <c r="AM1900" s="76"/>
      <c r="AN1900" s="76"/>
    </row>
    <row r="1901" spans="1:40" ht="15">
      <c r="A1901" s="83" t="e">
        <f>IF(#REF!&lt;&gt;#REF!,1,A1900+1)</f>
        <v>#REF!</v>
      </c>
      <c r="O1901" s="79"/>
      <c r="P1901" s="79"/>
      <c r="Q1901" s="76"/>
      <c r="R1901" s="77"/>
      <c r="S1901" s="76"/>
      <c r="T1901" s="77"/>
      <c r="U1901" s="76"/>
      <c r="V1901" s="77"/>
      <c r="W1901" s="76"/>
      <c r="X1901" s="77"/>
      <c r="Y1901" s="76"/>
      <c r="Z1901" s="76"/>
      <c r="AA1901" s="76"/>
      <c r="AB1901" s="76"/>
      <c r="AC1901" s="76"/>
      <c r="AD1901" s="76"/>
      <c r="AE1901" s="76"/>
      <c r="AF1901" s="76"/>
      <c r="AG1901" s="76"/>
      <c r="AH1901" s="76"/>
      <c r="AI1901" s="76"/>
      <c r="AJ1901" s="76"/>
      <c r="AK1901" s="76"/>
      <c r="AL1901" s="77"/>
      <c r="AM1901" s="76"/>
      <c r="AN1901" s="76"/>
    </row>
    <row r="1902" spans="1:40" ht="15">
      <c r="A1902" s="83" t="e">
        <f>IF(#REF!&lt;&gt;#REF!,1,A1901+1)</f>
        <v>#REF!</v>
      </c>
      <c r="O1902" s="79"/>
      <c r="P1902" s="79"/>
      <c r="Q1902" s="76"/>
      <c r="R1902" s="77"/>
      <c r="S1902" s="76"/>
      <c r="T1902" s="77"/>
      <c r="U1902" s="76"/>
      <c r="V1902" s="77"/>
      <c r="W1902" s="76"/>
      <c r="X1902" s="77"/>
      <c r="Y1902" s="76"/>
      <c r="Z1902" s="76"/>
      <c r="AA1902" s="76"/>
      <c r="AB1902" s="76"/>
      <c r="AC1902" s="76"/>
      <c r="AD1902" s="76"/>
      <c r="AE1902" s="76"/>
      <c r="AF1902" s="76"/>
      <c r="AG1902" s="76"/>
      <c r="AH1902" s="76"/>
      <c r="AI1902" s="76"/>
      <c r="AJ1902" s="76"/>
      <c r="AK1902" s="76"/>
      <c r="AL1902" s="77"/>
      <c r="AM1902" s="76"/>
      <c r="AN1902" s="76"/>
    </row>
    <row r="1903" spans="1:40" ht="15">
      <c r="A1903" s="83" t="e">
        <f>IF(#REF!&lt;&gt;#REF!,1,A1902+1)</f>
        <v>#REF!</v>
      </c>
      <c r="O1903" s="79"/>
      <c r="P1903" s="79"/>
      <c r="Q1903" s="76"/>
      <c r="R1903" s="77"/>
      <c r="S1903" s="76"/>
      <c r="T1903" s="77"/>
      <c r="U1903" s="76"/>
      <c r="V1903" s="77"/>
      <c r="W1903" s="76"/>
      <c r="X1903" s="77"/>
      <c r="Y1903" s="76"/>
      <c r="Z1903" s="76"/>
      <c r="AA1903" s="76"/>
      <c r="AB1903" s="76"/>
      <c r="AC1903" s="76"/>
      <c r="AD1903" s="76"/>
      <c r="AE1903" s="76"/>
      <c r="AF1903" s="76"/>
      <c r="AG1903" s="76"/>
      <c r="AH1903" s="76"/>
      <c r="AI1903" s="76"/>
      <c r="AJ1903" s="76"/>
      <c r="AK1903" s="76"/>
      <c r="AL1903" s="77"/>
      <c r="AM1903" s="76"/>
      <c r="AN1903" s="76"/>
    </row>
    <row r="1904" spans="1:40" ht="15">
      <c r="A1904" s="83" t="e">
        <f>IF(#REF!&lt;&gt;#REF!,1,A1903+1)</f>
        <v>#REF!</v>
      </c>
      <c r="O1904" s="79"/>
      <c r="P1904" s="79"/>
      <c r="Q1904" s="76"/>
      <c r="R1904" s="77"/>
      <c r="S1904" s="76"/>
      <c r="T1904" s="77"/>
      <c r="U1904" s="76"/>
      <c r="V1904" s="77"/>
      <c r="W1904" s="76"/>
      <c r="X1904" s="77"/>
      <c r="Y1904" s="76"/>
      <c r="Z1904" s="76"/>
      <c r="AA1904" s="76"/>
      <c r="AB1904" s="76"/>
      <c r="AC1904" s="76"/>
      <c r="AD1904" s="76"/>
      <c r="AE1904" s="76"/>
      <c r="AF1904" s="76"/>
      <c r="AG1904" s="76"/>
      <c r="AH1904" s="76"/>
      <c r="AI1904" s="76"/>
      <c r="AJ1904" s="76"/>
      <c r="AK1904" s="76"/>
      <c r="AL1904" s="77"/>
      <c r="AM1904" s="76"/>
      <c r="AN1904" s="76"/>
    </row>
    <row r="1905" spans="1:40" ht="15">
      <c r="A1905" s="83" t="e">
        <f>IF(#REF!&lt;&gt;#REF!,1,A1904+1)</f>
        <v>#REF!</v>
      </c>
      <c r="O1905" s="79"/>
      <c r="P1905" s="79"/>
      <c r="Q1905" s="76"/>
      <c r="R1905" s="77"/>
      <c r="S1905" s="76"/>
      <c r="T1905" s="77"/>
      <c r="U1905" s="76"/>
      <c r="V1905" s="77"/>
      <c r="W1905" s="76"/>
      <c r="X1905" s="77"/>
      <c r="Y1905" s="76"/>
      <c r="Z1905" s="76"/>
      <c r="AA1905" s="76"/>
      <c r="AB1905" s="76"/>
      <c r="AC1905" s="76"/>
      <c r="AD1905" s="76"/>
      <c r="AE1905" s="76"/>
      <c r="AF1905" s="76"/>
      <c r="AG1905" s="76"/>
      <c r="AH1905" s="76"/>
      <c r="AI1905" s="76"/>
      <c r="AJ1905" s="76"/>
      <c r="AK1905" s="76"/>
      <c r="AL1905" s="77"/>
      <c r="AM1905" s="76"/>
      <c r="AN1905" s="76"/>
    </row>
    <row r="1906" spans="1:40" ht="15">
      <c r="A1906" s="83" t="e">
        <f>IF(#REF!&lt;&gt;#REF!,1,A1905+1)</f>
        <v>#REF!</v>
      </c>
      <c r="O1906" s="79"/>
      <c r="P1906" s="79"/>
      <c r="Q1906" s="76"/>
      <c r="R1906" s="77"/>
      <c r="S1906" s="76"/>
      <c r="T1906" s="77"/>
      <c r="U1906" s="76"/>
      <c r="V1906" s="77"/>
      <c r="W1906" s="76"/>
      <c r="X1906" s="77"/>
      <c r="Y1906" s="76"/>
      <c r="Z1906" s="76"/>
      <c r="AA1906" s="76"/>
      <c r="AB1906" s="76"/>
      <c r="AC1906" s="76"/>
      <c r="AD1906" s="76"/>
      <c r="AE1906" s="76"/>
      <c r="AF1906" s="76"/>
      <c r="AG1906" s="76"/>
      <c r="AH1906" s="76"/>
      <c r="AI1906" s="76"/>
      <c r="AJ1906" s="76"/>
      <c r="AK1906" s="76"/>
      <c r="AL1906" s="77"/>
      <c r="AM1906" s="76"/>
      <c r="AN1906" s="76"/>
    </row>
    <row r="1907" spans="1:40" ht="15">
      <c r="A1907" s="83" t="e">
        <f>IF(#REF!&lt;&gt;#REF!,1,A1906+1)</f>
        <v>#REF!</v>
      </c>
      <c r="O1907" s="79"/>
      <c r="P1907" s="79"/>
      <c r="Q1907" s="76"/>
      <c r="R1907" s="77"/>
      <c r="S1907" s="76"/>
      <c r="T1907" s="77"/>
      <c r="U1907" s="76"/>
      <c r="V1907" s="77"/>
      <c r="W1907" s="76"/>
      <c r="X1907" s="77"/>
      <c r="Y1907" s="76"/>
      <c r="Z1907" s="76"/>
      <c r="AA1907" s="76"/>
      <c r="AB1907" s="76"/>
      <c r="AC1907" s="76"/>
      <c r="AD1907" s="76"/>
      <c r="AE1907" s="76"/>
      <c r="AF1907" s="76"/>
      <c r="AG1907" s="76"/>
      <c r="AH1907" s="76"/>
      <c r="AI1907" s="76"/>
      <c r="AJ1907" s="76"/>
      <c r="AK1907" s="76"/>
      <c r="AL1907" s="77"/>
      <c r="AM1907" s="76"/>
      <c r="AN1907" s="76"/>
    </row>
    <row r="1908" spans="1:40" ht="15">
      <c r="A1908" s="83" t="e">
        <f>IF(#REF!&lt;&gt;#REF!,1,A1907+1)</f>
        <v>#REF!</v>
      </c>
      <c r="O1908" s="79"/>
      <c r="P1908" s="79"/>
      <c r="Q1908" s="76"/>
      <c r="R1908" s="77"/>
      <c r="S1908" s="76"/>
      <c r="T1908" s="77"/>
      <c r="U1908" s="76"/>
      <c r="V1908" s="77"/>
      <c r="W1908" s="76"/>
      <c r="X1908" s="77"/>
      <c r="Y1908" s="76"/>
      <c r="Z1908" s="76"/>
      <c r="AA1908" s="76"/>
      <c r="AB1908" s="76"/>
      <c r="AC1908" s="76"/>
      <c r="AD1908" s="76"/>
      <c r="AE1908" s="76"/>
      <c r="AF1908" s="76"/>
      <c r="AG1908" s="76"/>
      <c r="AH1908" s="76"/>
      <c r="AI1908" s="76"/>
      <c r="AJ1908" s="76"/>
      <c r="AK1908" s="76"/>
      <c r="AL1908" s="77"/>
      <c r="AM1908" s="76"/>
      <c r="AN1908" s="76"/>
    </row>
    <row r="1909" spans="1:40" ht="15">
      <c r="A1909" s="83" t="e">
        <f>IF(#REF!&lt;&gt;#REF!,1,A1908+1)</f>
        <v>#REF!</v>
      </c>
      <c r="O1909" s="79"/>
      <c r="P1909" s="79"/>
      <c r="Q1909" s="76"/>
      <c r="R1909" s="77"/>
      <c r="S1909" s="76"/>
      <c r="T1909" s="77"/>
      <c r="U1909" s="76"/>
      <c r="V1909" s="77"/>
      <c r="W1909" s="76"/>
      <c r="X1909" s="77"/>
      <c r="Y1909" s="76"/>
      <c r="Z1909" s="76"/>
      <c r="AA1909" s="76"/>
      <c r="AB1909" s="76"/>
      <c r="AC1909" s="76"/>
      <c r="AD1909" s="76"/>
      <c r="AE1909" s="76"/>
      <c r="AF1909" s="76"/>
      <c r="AG1909" s="76"/>
      <c r="AH1909" s="76"/>
      <c r="AI1909" s="76"/>
      <c r="AJ1909" s="76"/>
      <c r="AK1909" s="76"/>
      <c r="AL1909" s="77"/>
      <c r="AM1909" s="76"/>
      <c r="AN1909" s="76"/>
    </row>
    <row r="1910" spans="1:40" ht="15">
      <c r="A1910" s="83" t="e">
        <f>IF(#REF!&lt;&gt;#REF!,1,A1909+1)</f>
        <v>#REF!</v>
      </c>
      <c r="O1910" s="79"/>
      <c r="P1910" s="79"/>
      <c r="Q1910" s="76"/>
      <c r="R1910" s="77"/>
      <c r="S1910" s="76"/>
      <c r="T1910" s="77"/>
      <c r="U1910" s="76"/>
      <c r="V1910" s="77"/>
      <c r="W1910" s="76"/>
      <c r="X1910" s="77"/>
      <c r="Y1910" s="76"/>
      <c r="Z1910" s="76"/>
      <c r="AA1910" s="76"/>
      <c r="AB1910" s="76"/>
      <c r="AC1910" s="76"/>
      <c r="AD1910" s="76"/>
      <c r="AE1910" s="76"/>
      <c r="AF1910" s="76"/>
      <c r="AG1910" s="76"/>
      <c r="AH1910" s="76"/>
      <c r="AI1910" s="76"/>
      <c r="AJ1910" s="76"/>
      <c r="AK1910" s="76"/>
      <c r="AL1910" s="77"/>
      <c r="AM1910" s="76"/>
      <c r="AN1910" s="76"/>
    </row>
    <row r="1911" spans="1:40" ht="15">
      <c r="A1911" s="83" t="e">
        <f>IF(#REF!&lt;&gt;#REF!,1,A1910+1)</f>
        <v>#REF!</v>
      </c>
      <c r="O1911" s="79"/>
      <c r="P1911" s="79"/>
      <c r="Q1911" s="76"/>
      <c r="R1911" s="77"/>
      <c r="S1911" s="76"/>
      <c r="T1911" s="77"/>
      <c r="U1911" s="76"/>
      <c r="V1911" s="77"/>
      <c r="W1911" s="76"/>
      <c r="X1911" s="77"/>
      <c r="Y1911" s="76"/>
      <c r="Z1911" s="76"/>
      <c r="AA1911" s="76"/>
      <c r="AB1911" s="76"/>
      <c r="AC1911" s="76"/>
      <c r="AD1911" s="76"/>
      <c r="AE1911" s="76"/>
      <c r="AF1911" s="76"/>
      <c r="AG1911" s="76"/>
      <c r="AH1911" s="76"/>
      <c r="AI1911" s="76"/>
      <c r="AJ1911" s="76"/>
      <c r="AK1911" s="76"/>
      <c r="AL1911" s="77"/>
      <c r="AM1911" s="76"/>
      <c r="AN1911" s="76"/>
    </row>
    <row r="1912" spans="1:40" ht="15">
      <c r="A1912" s="83" t="e">
        <f>IF(#REF!&lt;&gt;#REF!,1,A1911+1)</f>
        <v>#REF!</v>
      </c>
      <c r="O1912" s="79"/>
      <c r="P1912" s="79"/>
      <c r="Q1912" s="76"/>
      <c r="R1912" s="77"/>
      <c r="S1912" s="76"/>
      <c r="T1912" s="77"/>
      <c r="U1912" s="76"/>
      <c r="V1912" s="77"/>
      <c r="W1912" s="76"/>
      <c r="X1912" s="77"/>
      <c r="Y1912" s="76"/>
      <c r="Z1912" s="76"/>
      <c r="AA1912" s="76"/>
      <c r="AB1912" s="76"/>
      <c r="AC1912" s="76"/>
      <c r="AD1912" s="76"/>
      <c r="AE1912" s="76"/>
      <c r="AF1912" s="76"/>
      <c r="AG1912" s="76"/>
      <c r="AH1912" s="76"/>
      <c r="AI1912" s="76"/>
      <c r="AJ1912" s="76"/>
      <c r="AK1912" s="76"/>
      <c r="AL1912" s="77"/>
      <c r="AM1912" s="76"/>
      <c r="AN1912" s="76"/>
    </row>
    <row r="1913" spans="1:40" ht="15">
      <c r="A1913" s="83" t="e">
        <f>IF(#REF!&lt;&gt;#REF!,1,A1912+1)</f>
        <v>#REF!</v>
      </c>
      <c r="O1913" s="79"/>
      <c r="P1913" s="79"/>
      <c r="Q1913" s="76"/>
      <c r="R1913" s="77"/>
      <c r="S1913" s="76"/>
      <c r="T1913" s="77"/>
      <c r="U1913" s="76"/>
      <c r="V1913" s="77"/>
      <c r="W1913" s="76"/>
      <c r="X1913" s="77"/>
      <c r="Y1913" s="76"/>
      <c r="Z1913" s="76"/>
      <c r="AA1913" s="76"/>
      <c r="AB1913" s="76"/>
      <c r="AC1913" s="76"/>
      <c r="AD1913" s="76"/>
      <c r="AE1913" s="76"/>
      <c r="AF1913" s="76"/>
      <c r="AG1913" s="76"/>
      <c r="AH1913" s="76"/>
      <c r="AI1913" s="76"/>
      <c r="AJ1913" s="76"/>
      <c r="AK1913" s="76"/>
      <c r="AL1913" s="77"/>
      <c r="AM1913" s="76"/>
      <c r="AN1913" s="76"/>
    </row>
    <row r="1914" spans="1:40" ht="15">
      <c r="A1914" s="83" t="e">
        <f>IF(#REF!&lt;&gt;#REF!,1,A1913+1)</f>
        <v>#REF!</v>
      </c>
      <c r="O1914" s="79"/>
      <c r="P1914" s="79"/>
      <c r="Q1914" s="76"/>
      <c r="R1914" s="77"/>
      <c r="S1914" s="76"/>
      <c r="T1914" s="77"/>
      <c r="U1914" s="76"/>
      <c r="V1914" s="77"/>
      <c r="W1914" s="76"/>
      <c r="X1914" s="77"/>
      <c r="Y1914" s="76"/>
      <c r="Z1914" s="76"/>
      <c r="AA1914" s="76"/>
      <c r="AB1914" s="76"/>
      <c r="AC1914" s="76"/>
      <c r="AD1914" s="76"/>
      <c r="AE1914" s="76"/>
      <c r="AF1914" s="76"/>
      <c r="AG1914" s="76"/>
      <c r="AH1914" s="76"/>
      <c r="AI1914" s="76"/>
      <c r="AJ1914" s="76"/>
      <c r="AK1914" s="76"/>
      <c r="AL1914" s="77"/>
      <c r="AM1914" s="76"/>
      <c r="AN1914" s="76"/>
    </row>
    <row r="1915" spans="1:40" ht="15">
      <c r="A1915" s="83" t="e">
        <f>IF(#REF!&lt;&gt;#REF!,1,A1914+1)</f>
        <v>#REF!</v>
      </c>
      <c r="O1915" s="79"/>
      <c r="P1915" s="79"/>
      <c r="Q1915" s="76"/>
      <c r="R1915" s="77"/>
      <c r="S1915" s="76"/>
      <c r="T1915" s="77"/>
      <c r="U1915" s="76"/>
      <c r="V1915" s="77"/>
      <c r="W1915" s="76"/>
      <c r="X1915" s="77"/>
      <c r="Y1915" s="76"/>
      <c r="Z1915" s="76"/>
      <c r="AA1915" s="76"/>
      <c r="AB1915" s="76"/>
      <c r="AC1915" s="76"/>
      <c r="AD1915" s="76"/>
      <c r="AE1915" s="76"/>
      <c r="AF1915" s="76"/>
      <c r="AG1915" s="76"/>
      <c r="AH1915" s="76"/>
      <c r="AI1915" s="76"/>
      <c r="AJ1915" s="76"/>
      <c r="AK1915" s="76"/>
      <c r="AL1915" s="77"/>
      <c r="AM1915" s="76"/>
      <c r="AN1915" s="76"/>
    </row>
    <row r="1916" spans="1:40" ht="15">
      <c r="A1916" s="83" t="e">
        <f>IF(#REF!&lt;&gt;#REF!,1,A1915+1)</f>
        <v>#REF!</v>
      </c>
      <c r="O1916" s="79"/>
      <c r="P1916" s="79"/>
      <c r="Q1916" s="76"/>
      <c r="R1916" s="77"/>
      <c r="S1916" s="76"/>
      <c r="T1916" s="77"/>
      <c r="U1916" s="76"/>
      <c r="V1916" s="77"/>
      <c r="W1916" s="76"/>
      <c r="X1916" s="77"/>
      <c r="Y1916" s="76"/>
      <c r="Z1916" s="76"/>
      <c r="AA1916" s="76"/>
      <c r="AB1916" s="76"/>
      <c r="AC1916" s="76"/>
      <c r="AD1916" s="76"/>
      <c r="AE1916" s="76"/>
      <c r="AF1916" s="76"/>
      <c r="AG1916" s="76"/>
      <c r="AH1916" s="76"/>
      <c r="AI1916" s="76"/>
      <c r="AJ1916" s="76"/>
      <c r="AK1916" s="76"/>
      <c r="AL1916" s="77"/>
      <c r="AM1916" s="76"/>
      <c r="AN1916" s="76"/>
    </row>
    <row r="1917" spans="1:40" ht="15">
      <c r="A1917" s="83" t="e">
        <f>IF(#REF!&lt;&gt;#REF!,1,A1916+1)</f>
        <v>#REF!</v>
      </c>
      <c r="O1917" s="79"/>
      <c r="P1917" s="79"/>
      <c r="Q1917" s="76"/>
      <c r="R1917" s="77"/>
      <c r="S1917" s="76"/>
      <c r="T1917" s="77"/>
      <c r="U1917" s="76"/>
      <c r="V1917" s="77"/>
      <c r="W1917" s="76"/>
      <c r="X1917" s="77"/>
      <c r="Y1917" s="76"/>
      <c r="Z1917" s="76"/>
      <c r="AA1917" s="76"/>
      <c r="AB1917" s="76"/>
      <c r="AC1917" s="76"/>
      <c r="AD1917" s="76"/>
      <c r="AE1917" s="76"/>
      <c r="AF1917" s="76"/>
      <c r="AG1917" s="76"/>
      <c r="AH1917" s="76"/>
      <c r="AI1917" s="76"/>
      <c r="AJ1917" s="76"/>
      <c r="AK1917" s="76"/>
      <c r="AL1917" s="77"/>
      <c r="AM1917" s="76"/>
      <c r="AN1917" s="76"/>
    </row>
    <row r="1918" spans="1:40" ht="15">
      <c r="A1918" s="83" t="e">
        <f>IF(#REF!&lt;&gt;#REF!,1,A1917+1)</f>
        <v>#REF!</v>
      </c>
      <c r="O1918" s="79"/>
      <c r="P1918" s="79"/>
      <c r="Q1918" s="76"/>
      <c r="R1918" s="77"/>
      <c r="S1918" s="76"/>
      <c r="T1918" s="77"/>
      <c r="U1918" s="76"/>
      <c r="V1918" s="77"/>
      <c r="W1918" s="76"/>
      <c r="X1918" s="77"/>
      <c r="Y1918" s="76"/>
      <c r="Z1918" s="76"/>
      <c r="AA1918" s="76"/>
      <c r="AB1918" s="76"/>
      <c r="AC1918" s="76"/>
      <c r="AD1918" s="76"/>
      <c r="AE1918" s="76"/>
      <c r="AF1918" s="76"/>
      <c r="AG1918" s="76"/>
      <c r="AH1918" s="76"/>
      <c r="AI1918" s="76"/>
      <c r="AJ1918" s="76"/>
      <c r="AK1918" s="76"/>
      <c r="AL1918" s="77"/>
      <c r="AM1918" s="76"/>
      <c r="AN1918" s="76"/>
    </row>
    <row r="1919" spans="1:40" ht="15">
      <c r="A1919" s="83" t="e">
        <f>IF(#REF!&lt;&gt;#REF!,1,A1918+1)</f>
        <v>#REF!</v>
      </c>
      <c r="O1919" s="79"/>
      <c r="P1919" s="79"/>
      <c r="Q1919" s="76"/>
      <c r="R1919" s="77"/>
      <c r="S1919" s="76"/>
      <c r="T1919" s="77"/>
      <c r="U1919" s="76"/>
      <c r="V1919" s="77"/>
      <c r="W1919" s="76"/>
      <c r="X1919" s="77"/>
      <c r="Y1919" s="76"/>
      <c r="Z1919" s="76"/>
      <c r="AA1919" s="76"/>
      <c r="AB1919" s="76"/>
      <c r="AC1919" s="76"/>
      <c r="AD1919" s="76"/>
      <c r="AE1919" s="76"/>
      <c r="AF1919" s="76"/>
      <c r="AG1919" s="76"/>
      <c r="AH1919" s="76"/>
      <c r="AI1919" s="76"/>
      <c r="AJ1919" s="76"/>
      <c r="AK1919" s="76"/>
      <c r="AL1919" s="77"/>
      <c r="AM1919" s="76"/>
      <c r="AN1919" s="76"/>
    </row>
    <row r="1920" spans="1:40" ht="15">
      <c r="A1920" s="83" t="e">
        <f>IF(#REF!&lt;&gt;#REF!,1,A1919+1)</f>
        <v>#REF!</v>
      </c>
      <c r="O1920" s="79"/>
      <c r="P1920" s="79"/>
      <c r="Q1920" s="76"/>
      <c r="R1920" s="77"/>
      <c r="S1920" s="76"/>
      <c r="T1920" s="77"/>
      <c r="U1920" s="76"/>
      <c r="V1920" s="77"/>
      <c r="W1920" s="76"/>
      <c r="X1920" s="77"/>
      <c r="Y1920" s="76"/>
      <c r="Z1920" s="76"/>
      <c r="AA1920" s="76"/>
      <c r="AB1920" s="76"/>
      <c r="AC1920" s="76"/>
      <c r="AD1920" s="76"/>
      <c r="AE1920" s="76"/>
      <c r="AF1920" s="76"/>
      <c r="AG1920" s="76"/>
      <c r="AH1920" s="76"/>
      <c r="AI1920" s="76"/>
      <c r="AJ1920" s="76"/>
      <c r="AK1920" s="76"/>
      <c r="AL1920" s="77"/>
      <c r="AM1920" s="76"/>
      <c r="AN1920" s="76"/>
    </row>
    <row r="1921" spans="1:40" ht="15">
      <c r="A1921" s="83" t="e">
        <f>IF(#REF!&lt;&gt;#REF!,1,A1920+1)</f>
        <v>#REF!</v>
      </c>
      <c r="O1921" s="79"/>
      <c r="P1921" s="79"/>
      <c r="Q1921" s="76"/>
      <c r="R1921" s="77"/>
      <c r="S1921" s="76"/>
      <c r="T1921" s="77"/>
      <c r="U1921" s="76"/>
      <c r="V1921" s="77"/>
      <c r="W1921" s="76"/>
      <c r="X1921" s="77"/>
      <c r="Y1921" s="76"/>
      <c r="Z1921" s="76"/>
      <c r="AA1921" s="76"/>
      <c r="AB1921" s="76"/>
      <c r="AC1921" s="76"/>
      <c r="AD1921" s="76"/>
      <c r="AE1921" s="76"/>
      <c r="AF1921" s="76"/>
      <c r="AG1921" s="76"/>
      <c r="AH1921" s="76"/>
      <c r="AI1921" s="76"/>
      <c r="AJ1921" s="76"/>
      <c r="AK1921" s="76"/>
      <c r="AL1921" s="77"/>
      <c r="AM1921" s="76"/>
      <c r="AN1921" s="76"/>
    </row>
    <row r="1922" spans="1:40" ht="15">
      <c r="A1922" s="83" t="e">
        <f>IF(#REF!&lt;&gt;#REF!,1,A1921+1)</f>
        <v>#REF!</v>
      </c>
      <c r="O1922" s="79"/>
      <c r="P1922" s="79"/>
      <c r="Q1922" s="76"/>
      <c r="R1922" s="77"/>
      <c r="S1922" s="76"/>
      <c r="T1922" s="77"/>
      <c r="U1922" s="76"/>
      <c r="V1922" s="77"/>
      <c r="W1922" s="76"/>
      <c r="X1922" s="77"/>
      <c r="Y1922" s="76"/>
      <c r="Z1922" s="76"/>
      <c r="AA1922" s="76"/>
      <c r="AB1922" s="76"/>
      <c r="AC1922" s="76"/>
      <c r="AD1922" s="76"/>
      <c r="AE1922" s="76"/>
      <c r="AF1922" s="76"/>
      <c r="AG1922" s="76"/>
      <c r="AH1922" s="76"/>
      <c r="AI1922" s="76"/>
      <c r="AJ1922" s="76"/>
      <c r="AK1922" s="76"/>
      <c r="AL1922" s="77"/>
      <c r="AM1922" s="76"/>
      <c r="AN1922" s="76"/>
    </row>
    <row r="1923" spans="1:40" ht="15">
      <c r="A1923" s="83" t="e">
        <f>IF(#REF!&lt;&gt;#REF!,1,A1922+1)</f>
        <v>#REF!</v>
      </c>
      <c r="O1923" s="79"/>
      <c r="P1923" s="79"/>
      <c r="Q1923" s="76"/>
      <c r="R1923" s="77"/>
      <c r="S1923" s="76"/>
      <c r="T1923" s="77"/>
      <c r="U1923" s="76"/>
      <c r="V1923" s="77"/>
      <c r="W1923" s="76"/>
      <c r="X1923" s="77"/>
      <c r="Y1923" s="76"/>
      <c r="Z1923" s="76"/>
      <c r="AA1923" s="76"/>
      <c r="AB1923" s="76"/>
      <c r="AC1923" s="76"/>
      <c r="AD1923" s="76"/>
      <c r="AE1923" s="76"/>
      <c r="AF1923" s="76"/>
      <c r="AG1923" s="76"/>
      <c r="AH1923" s="76"/>
      <c r="AI1923" s="76"/>
      <c r="AJ1923" s="76"/>
      <c r="AK1923" s="76"/>
      <c r="AL1923" s="77"/>
      <c r="AM1923" s="76"/>
      <c r="AN1923" s="76"/>
    </row>
    <row r="1924" spans="1:40" ht="15">
      <c r="A1924" s="83" t="e">
        <f>IF(#REF!&lt;&gt;#REF!,1,A1923+1)</f>
        <v>#REF!</v>
      </c>
      <c r="O1924" s="79"/>
      <c r="P1924" s="79"/>
      <c r="Q1924" s="76"/>
      <c r="R1924" s="77"/>
      <c r="S1924" s="76"/>
      <c r="T1924" s="77"/>
      <c r="U1924" s="76"/>
      <c r="V1924" s="77"/>
      <c r="W1924" s="76"/>
      <c r="X1924" s="77"/>
      <c r="Y1924" s="76"/>
      <c r="Z1924" s="76"/>
      <c r="AA1924" s="76"/>
      <c r="AB1924" s="76"/>
      <c r="AC1924" s="76"/>
      <c r="AD1924" s="76"/>
      <c r="AE1924" s="76"/>
      <c r="AF1924" s="76"/>
      <c r="AG1924" s="76"/>
      <c r="AH1924" s="76"/>
      <c r="AI1924" s="76"/>
      <c r="AJ1924" s="76"/>
      <c r="AK1924" s="76"/>
      <c r="AL1924" s="77"/>
      <c r="AM1924" s="76"/>
      <c r="AN1924" s="76"/>
    </row>
    <row r="1925" spans="1:40" ht="15">
      <c r="A1925" s="83" t="e">
        <f>IF(#REF!&lt;&gt;#REF!,1,A1924+1)</f>
        <v>#REF!</v>
      </c>
      <c r="O1925" s="79"/>
      <c r="P1925" s="79"/>
      <c r="Q1925" s="76"/>
      <c r="R1925" s="77"/>
      <c r="S1925" s="76"/>
      <c r="T1925" s="77"/>
      <c r="U1925" s="76"/>
      <c r="V1925" s="77"/>
      <c r="W1925" s="76"/>
      <c r="X1925" s="77"/>
      <c r="Y1925" s="76"/>
      <c r="Z1925" s="76"/>
      <c r="AA1925" s="76"/>
      <c r="AB1925" s="76"/>
      <c r="AC1925" s="76"/>
      <c r="AD1925" s="76"/>
      <c r="AE1925" s="76"/>
      <c r="AF1925" s="76"/>
      <c r="AG1925" s="76"/>
      <c r="AH1925" s="76"/>
      <c r="AI1925" s="76"/>
      <c r="AJ1925" s="76"/>
      <c r="AK1925" s="76"/>
      <c r="AL1925" s="77"/>
      <c r="AM1925" s="76"/>
      <c r="AN1925" s="76"/>
    </row>
    <row r="1926" spans="1:40" ht="15">
      <c r="A1926" s="83" t="e">
        <f>IF(#REF!&lt;&gt;#REF!,1,A1925+1)</f>
        <v>#REF!</v>
      </c>
      <c r="O1926" s="79"/>
      <c r="P1926" s="79"/>
      <c r="Q1926" s="76"/>
      <c r="R1926" s="77"/>
      <c r="S1926" s="76"/>
      <c r="T1926" s="77"/>
      <c r="U1926" s="76"/>
      <c r="V1926" s="77"/>
      <c r="W1926" s="76"/>
      <c r="X1926" s="77"/>
      <c r="Y1926" s="76"/>
      <c r="Z1926" s="76"/>
      <c r="AA1926" s="76"/>
      <c r="AB1926" s="76"/>
      <c r="AC1926" s="76"/>
      <c r="AD1926" s="76"/>
      <c r="AE1926" s="76"/>
      <c r="AF1926" s="76"/>
      <c r="AG1926" s="76"/>
      <c r="AH1926" s="76"/>
      <c r="AI1926" s="76"/>
      <c r="AJ1926" s="76"/>
      <c r="AK1926" s="76"/>
      <c r="AL1926" s="77"/>
      <c r="AM1926" s="76"/>
      <c r="AN1926" s="76"/>
    </row>
    <row r="1927" spans="1:40" ht="15">
      <c r="A1927" s="83" t="e">
        <f>IF(#REF!&lt;&gt;#REF!,1,A1926+1)</f>
        <v>#REF!</v>
      </c>
      <c r="O1927" s="79"/>
      <c r="P1927" s="79"/>
      <c r="Q1927" s="76"/>
      <c r="R1927" s="77"/>
      <c r="S1927" s="76"/>
      <c r="T1927" s="77"/>
      <c r="U1927" s="76"/>
      <c r="V1927" s="77"/>
      <c r="W1927" s="76"/>
      <c r="X1927" s="77"/>
      <c r="Y1927" s="76"/>
      <c r="Z1927" s="76"/>
      <c r="AA1927" s="76"/>
      <c r="AB1927" s="76"/>
      <c r="AC1927" s="76"/>
      <c r="AD1927" s="76"/>
      <c r="AE1927" s="76"/>
      <c r="AF1927" s="76"/>
      <c r="AG1927" s="76"/>
      <c r="AH1927" s="76"/>
      <c r="AI1927" s="76"/>
      <c r="AJ1927" s="76"/>
      <c r="AK1927" s="76"/>
      <c r="AL1927" s="77"/>
      <c r="AM1927" s="76"/>
      <c r="AN1927" s="76"/>
    </row>
    <row r="1928" spans="1:40" ht="15">
      <c r="A1928" s="83" t="e">
        <f>IF(#REF!&lt;&gt;#REF!,1,A1927+1)</f>
        <v>#REF!</v>
      </c>
      <c r="O1928" s="79"/>
      <c r="P1928" s="79"/>
      <c r="Q1928" s="76"/>
      <c r="R1928" s="77"/>
      <c r="S1928" s="76"/>
      <c r="T1928" s="77"/>
      <c r="U1928" s="76"/>
      <c r="V1928" s="77"/>
      <c r="W1928" s="76"/>
      <c r="X1928" s="77"/>
      <c r="Y1928" s="76"/>
      <c r="Z1928" s="76"/>
      <c r="AA1928" s="76"/>
      <c r="AB1928" s="76"/>
      <c r="AC1928" s="76"/>
      <c r="AD1928" s="76"/>
      <c r="AE1928" s="76"/>
      <c r="AF1928" s="76"/>
      <c r="AG1928" s="76"/>
      <c r="AH1928" s="76"/>
      <c r="AI1928" s="76"/>
      <c r="AJ1928" s="76"/>
      <c r="AK1928" s="76"/>
      <c r="AL1928" s="77"/>
      <c r="AM1928" s="76"/>
      <c r="AN1928" s="76"/>
    </row>
    <row r="1929" spans="1:40" ht="15">
      <c r="A1929" s="83" t="e">
        <f>IF(#REF!&lt;&gt;#REF!,1,A1928+1)</f>
        <v>#REF!</v>
      </c>
      <c r="O1929" s="79"/>
      <c r="P1929" s="79"/>
      <c r="Q1929" s="76"/>
      <c r="R1929" s="77"/>
      <c r="S1929" s="76"/>
      <c r="T1929" s="77"/>
      <c r="U1929" s="76"/>
      <c r="V1929" s="77"/>
      <c r="W1929" s="76"/>
      <c r="X1929" s="77"/>
      <c r="Y1929" s="76"/>
      <c r="Z1929" s="76"/>
      <c r="AA1929" s="76"/>
      <c r="AB1929" s="76"/>
      <c r="AC1929" s="76"/>
      <c r="AD1929" s="76"/>
      <c r="AE1929" s="76"/>
      <c r="AF1929" s="76"/>
      <c r="AG1929" s="76"/>
      <c r="AH1929" s="76"/>
      <c r="AI1929" s="76"/>
      <c r="AJ1929" s="76"/>
      <c r="AK1929" s="76"/>
      <c r="AL1929" s="77"/>
      <c r="AM1929" s="76"/>
      <c r="AN1929" s="76"/>
    </row>
    <row r="1930" spans="1:40" ht="15">
      <c r="A1930" s="83" t="e">
        <f>IF(#REF!&lt;&gt;#REF!,1,A1929+1)</f>
        <v>#REF!</v>
      </c>
      <c r="O1930" s="79"/>
      <c r="P1930" s="79"/>
      <c r="Q1930" s="76"/>
      <c r="R1930" s="77"/>
      <c r="S1930" s="76"/>
      <c r="T1930" s="77"/>
      <c r="U1930" s="76"/>
      <c r="V1930" s="77"/>
      <c r="W1930" s="76"/>
      <c r="X1930" s="77"/>
      <c r="Y1930" s="76"/>
      <c r="Z1930" s="76"/>
      <c r="AA1930" s="76"/>
      <c r="AB1930" s="76"/>
      <c r="AC1930" s="76"/>
      <c r="AD1930" s="76"/>
      <c r="AE1930" s="76"/>
      <c r="AF1930" s="76"/>
      <c r="AG1930" s="76"/>
      <c r="AH1930" s="76"/>
      <c r="AI1930" s="76"/>
      <c r="AJ1930" s="76"/>
      <c r="AK1930" s="76"/>
      <c r="AL1930" s="77"/>
      <c r="AM1930" s="76"/>
      <c r="AN1930" s="76"/>
    </row>
    <row r="1931" spans="1:40" ht="15">
      <c r="A1931" s="83" t="e">
        <f>IF(B65&lt;&gt;#REF!,1,A1930+1)</f>
        <v>#REF!</v>
      </c>
      <c r="O1931" s="79"/>
      <c r="P1931" s="79"/>
      <c r="Q1931" s="76"/>
      <c r="R1931" s="77"/>
      <c r="S1931" s="76"/>
      <c r="T1931" s="77"/>
      <c r="U1931" s="76"/>
      <c r="V1931" s="77"/>
      <c r="W1931" s="76"/>
      <c r="X1931" s="77"/>
      <c r="Y1931" s="76"/>
      <c r="Z1931" s="76"/>
      <c r="AA1931" s="76"/>
      <c r="AB1931" s="76"/>
      <c r="AC1931" s="76"/>
      <c r="AD1931" s="76"/>
      <c r="AE1931" s="76"/>
      <c r="AF1931" s="76"/>
      <c r="AG1931" s="76"/>
      <c r="AH1931" s="76"/>
      <c r="AI1931" s="76"/>
      <c r="AJ1931" s="76"/>
      <c r="AK1931" s="76"/>
      <c r="AL1931" s="77"/>
      <c r="AM1931" s="76"/>
      <c r="AN1931" s="76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K31"/>
  <sheetViews>
    <sheetView zoomScale="85" zoomScaleNormal="85" workbookViewId="0">
      <selection activeCell="F13" sqref="F13"/>
    </sheetView>
  </sheetViews>
  <sheetFormatPr defaultRowHeight="15"/>
  <cols>
    <col min="1" max="1" width="46.140625" customWidth="1"/>
    <col min="3" max="3" width="9.42578125" customWidth="1"/>
    <col min="4" max="4" width="18.7109375" customWidth="1"/>
    <col min="6" max="6" width="33.85546875" customWidth="1"/>
    <col min="8" max="8" width="24.42578125" bestFit="1" customWidth="1"/>
    <col min="9" max="10" width="19.42578125" customWidth="1"/>
    <col min="11" max="11" width="163.7109375" bestFit="1" customWidth="1"/>
  </cols>
  <sheetData>
    <row r="1" spans="1:11" ht="48" customHeight="1">
      <c r="A1" s="13" t="s">
        <v>36</v>
      </c>
      <c r="B1" s="5"/>
      <c r="C1" s="54" t="s">
        <v>41</v>
      </c>
      <c r="D1" s="6" t="s">
        <v>49</v>
      </c>
      <c r="E1" s="5"/>
      <c r="F1" s="6" t="s">
        <v>50</v>
      </c>
      <c r="H1" s="7" t="s">
        <v>69</v>
      </c>
      <c r="I1" s="7" t="s">
        <v>329</v>
      </c>
      <c r="J1" s="7" t="s">
        <v>328</v>
      </c>
      <c r="K1" s="7" t="s">
        <v>59</v>
      </c>
    </row>
    <row r="2" spans="1:11">
      <c r="A2" s="10" t="s">
        <v>93</v>
      </c>
      <c r="C2" s="54"/>
      <c r="D2" t="s">
        <v>42</v>
      </c>
      <c r="F2" s="3" t="s">
        <v>68</v>
      </c>
      <c r="H2" s="4" t="str">
        <f>IF(таблДопстык[[#This Row],[Тип сварки]]&lt;&gt;"",CONCATENATE(таблДопстык[[#This Row],[Тип сварки]],таблДопстык[[#This Row],[Материал]]),"")</f>
        <v/>
      </c>
      <c r="I2" s="4"/>
      <c r="J2" s="4"/>
      <c r="K2" s="7"/>
    </row>
    <row r="3" spans="1:11">
      <c r="A3" s="11" t="s">
        <v>124</v>
      </c>
      <c r="C3" s="55"/>
      <c r="D3" t="s">
        <v>43</v>
      </c>
      <c r="F3" s="3" t="s">
        <v>67</v>
      </c>
      <c r="H3" s="4" t="str">
        <f>IF(таблДопстык[[#This Row],[Тип сварки]]&lt;&gt;"",CONCATENATE(таблДопстык[[#This Row],[Тип сварки]],таблДопстык[[#This Row],[Материал]]),"")</f>
        <v>РАД (РАД+РД)Ст.20</v>
      </c>
      <c r="I3" s="7" t="s">
        <v>68</v>
      </c>
      <c r="J3" s="7" t="s">
        <v>42</v>
      </c>
      <c r="K3" s="7" t="s">
        <v>87</v>
      </c>
    </row>
    <row r="4" spans="1:11">
      <c r="A4" s="12" t="s">
        <v>163</v>
      </c>
      <c r="D4" t="s">
        <v>44</v>
      </c>
      <c r="F4" s="3" t="s">
        <v>29</v>
      </c>
      <c r="H4" s="4" t="str">
        <f>IF(таблДопстык[[#This Row],[Тип сварки]]&lt;&gt;"",CONCATENATE(таблДопстык[[#This Row],[Тип сварки]],таблДопстык[[#This Row],[Материал]]),"")</f>
        <v>РАД (РАД+РД)09Г2С</v>
      </c>
      <c r="I4" s="7" t="s">
        <v>68</v>
      </c>
      <c r="J4" s="7" t="s">
        <v>46</v>
      </c>
      <c r="K4" s="7" t="s">
        <v>51</v>
      </c>
    </row>
    <row r="5" spans="1:11" ht="36">
      <c r="A5" s="12" t="s">
        <v>70</v>
      </c>
      <c r="D5" t="s">
        <v>45</v>
      </c>
      <c r="F5" s="3" t="s">
        <v>27</v>
      </c>
      <c r="H5" s="4" t="str">
        <f>IF(таблДопстык[[#This Row],[Тип сварки]]&lt;&gt;"",CONCATENATE(таблДопстык[[#This Row],[Тип сварки]],таблДопстык[[#This Row],[Материал]]),"")</f>
        <v>РАД (РАД+РД)15Х5М</v>
      </c>
      <c r="I5" s="7" t="s">
        <v>68</v>
      </c>
      <c r="J5" s="7" t="s">
        <v>43</v>
      </c>
      <c r="K5" s="7" t="s">
        <v>52</v>
      </c>
    </row>
    <row r="6" spans="1:11">
      <c r="A6" s="11" t="s">
        <v>144</v>
      </c>
      <c r="D6" t="s">
        <v>46</v>
      </c>
      <c r="F6" s="3" t="s">
        <v>28</v>
      </c>
      <c r="H6" s="4" t="str">
        <f>IF(таблДопстык[[#This Row],[Тип сварки]]&lt;&gt;"",CONCATENATE(таблДопстык[[#This Row],[Тип сварки]],таблДопстык[[#This Row],[Материал]]),"")</f>
        <v>РАД (РАД+РД)08Х18Н10Т</v>
      </c>
      <c r="I6" s="7" t="s">
        <v>68</v>
      </c>
      <c r="J6" s="7" t="s">
        <v>44</v>
      </c>
      <c r="K6" s="7" t="s">
        <v>62</v>
      </c>
    </row>
    <row r="7" spans="1:11">
      <c r="A7" s="11" t="s">
        <v>130</v>
      </c>
      <c r="D7" t="s">
        <v>47</v>
      </c>
      <c r="H7" s="4" t="str">
        <f>IF(таблДопстык[[#This Row],[Тип сварки]]&lt;&gt;"",CONCATENATE(таблДопстык[[#This Row],[Тип сварки]],таблДопстык[[#This Row],[Материал]]),"")</f>
        <v>РАД (РАД+РД)12Х18Н10</v>
      </c>
      <c r="I7" s="7" t="s">
        <v>68</v>
      </c>
      <c r="J7" s="7" t="s">
        <v>45</v>
      </c>
      <c r="K7" s="7" t="s">
        <v>62</v>
      </c>
    </row>
    <row r="8" spans="1:11">
      <c r="A8" s="11" t="s">
        <v>137</v>
      </c>
      <c r="D8" t="s">
        <v>48</v>
      </c>
      <c r="H8" s="4" t="str">
        <f>IF(таблДопстык[[#This Row],[Тип сварки]]&lt;&gt;"",CONCATENATE(таблДопстык[[#This Row],[Тип сварки]],таблДопстык[[#This Row],[Материал]]),"")</f>
        <v/>
      </c>
      <c r="I8" s="4"/>
      <c r="J8" s="4"/>
      <c r="K8" s="8"/>
    </row>
    <row r="9" spans="1:11">
      <c r="A9" s="11" t="s">
        <v>127</v>
      </c>
      <c r="H9" s="4" t="str">
        <f>IF(таблДопстык[[#This Row],[Тип сварки]]&lt;&gt;"",CONCATENATE(таблДопстык[[#This Row],[Тип сварки]],таблДопстык[[#This Row],[Материал]]),"")</f>
        <v>РД (РАД+РД)Ст.20</v>
      </c>
      <c r="I9" s="7" t="s">
        <v>67</v>
      </c>
      <c r="J9" s="7" t="s">
        <v>42</v>
      </c>
      <c r="K9" s="7" t="s">
        <v>88</v>
      </c>
    </row>
    <row r="10" spans="1:11">
      <c r="A10" s="11" t="s">
        <v>143</v>
      </c>
      <c r="H10" s="4" t="str">
        <f>IF(таблДопстык[[#This Row],[Тип сварки]]&lt;&gt;"",CONCATENATE(таблДопстык[[#This Row],[Тип сварки]],таблДопстык[[#This Row],[Материал]]),"")</f>
        <v>РД (РАД+РД)09Г2С</v>
      </c>
      <c r="I10" s="7" t="s">
        <v>67</v>
      </c>
      <c r="J10" s="7" t="s">
        <v>46</v>
      </c>
      <c r="K10" s="7" t="s">
        <v>53</v>
      </c>
    </row>
    <row r="11" spans="1:11">
      <c r="A11" s="11" t="s">
        <v>71</v>
      </c>
      <c r="H11" s="4" t="str">
        <f>IF(таблДопстык[[#This Row],[Тип сварки]]&lt;&gt;"",CONCATENATE(таблДопстык[[#This Row],[Тип сварки]],таблДопстык[[#This Row],[Материал]]),"")</f>
        <v>РД (РАД+РД)15Х5М</v>
      </c>
      <c r="I11" s="7" t="s">
        <v>67</v>
      </c>
      <c r="J11" s="7" t="s">
        <v>43</v>
      </c>
      <c r="K11" s="7" t="s">
        <v>54</v>
      </c>
    </row>
    <row r="12" spans="1:11">
      <c r="A12" s="11" t="s">
        <v>185</v>
      </c>
      <c r="H12" s="4" t="str">
        <f>IF(таблДопстык[[#This Row],[Тип сварки]]&lt;&gt;"",CONCATENATE(таблДопстык[[#This Row],[Тип сварки]],таблДопстык[[#This Row],[Материал]]),"")</f>
        <v>РД (РАД+РД)08Х18Н10Т</v>
      </c>
      <c r="I12" s="7" t="s">
        <v>67</v>
      </c>
      <c r="J12" s="7" t="s">
        <v>44</v>
      </c>
      <c r="K12" s="7" t="s">
        <v>60</v>
      </c>
    </row>
    <row r="13" spans="1:11">
      <c r="A13" s="11" t="s">
        <v>157</v>
      </c>
      <c r="H13" s="4" t="str">
        <f>IF(таблДопстык[[#This Row],[Тип сварки]]&lt;&gt;"",CONCATENATE(таблДопстык[[#This Row],[Тип сварки]],таблДопстык[[#This Row],[Материал]]),"")</f>
        <v>РД (РАД+РД)12Х18Н10</v>
      </c>
      <c r="I13" s="7" t="s">
        <v>67</v>
      </c>
      <c r="J13" s="7" t="s">
        <v>45</v>
      </c>
      <c r="K13" s="7" t="s">
        <v>61</v>
      </c>
    </row>
    <row r="14" spans="1:11">
      <c r="A14" s="11" t="s">
        <v>186</v>
      </c>
      <c r="H14" s="4" t="str">
        <f>IF(таблДопстык[[#This Row],[Тип сварки]]&lt;&gt;"",CONCATENATE(таблДопстык[[#This Row],[Тип сварки]],таблДопстык[[#This Row],[Материал]]),"")</f>
        <v/>
      </c>
      <c r="I14" s="7"/>
      <c r="J14" s="7"/>
      <c r="K14" s="7"/>
    </row>
    <row r="15" spans="1:11">
      <c r="A15" s="11" t="s">
        <v>132</v>
      </c>
      <c r="H15" s="4" t="str">
        <f>IF(таблДопстык[[#This Row],[Тип сварки]]&lt;&gt;"",CONCATENATE(таблДопстык[[#This Row],[Тип сварки]],таблДопстык[[#This Row],[Материал]]),"")</f>
        <v>МПСт.20</v>
      </c>
      <c r="I15" s="7" t="s">
        <v>29</v>
      </c>
      <c r="J15" s="7" t="s">
        <v>42</v>
      </c>
      <c r="K15" s="7" t="s">
        <v>89</v>
      </c>
    </row>
    <row r="16" spans="1:11">
      <c r="A16" s="11" t="s">
        <v>169</v>
      </c>
      <c r="H16" s="4" t="str">
        <f>IF(таблДопстык[[#This Row],[Тип сварки]]&lt;&gt;"",CONCATENATE(таблДопстык[[#This Row],[Тип сварки]],таблДопстык[[#This Row],[Материал]]),"")</f>
        <v>МП09Г2С</v>
      </c>
      <c r="I16" s="7" t="s">
        <v>29</v>
      </c>
      <c r="J16" s="7" t="s">
        <v>46</v>
      </c>
      <c r="K16" s="7" t="s">
        <v>55</v>
      </c>
    </row>
    <row r="17" spans="1:11">
      <c r="A17" s="11" t="s">
        <v>140</v>
      </c>
      <c r="C17" t="s">
        <v>330</v>
      </c>
      <c r="D17">
        <v>123456</v>
      </c>
      <c r="H17" s="4" t="str">
        <f>IF(таблДопстык[[#This Row],[Тип сварки]]&lt;&gt;"",CONCATENATE(таблДопстык[[#This Row],[Тип сварки]],таблДопстык[[#This Row],[Материал]]),"")</f>
        <v>МП15Х5М</v>
      </c>
      <c r="I17" s="7" t="s">
        <v>29</v>
      </c>
      <c r="J17" s="7" t="s">
        <v>43</v>
      </c>
      <c r="K17" s="7" t="s">
        <v>56</v>
      </c>
    </row>
    <row r="18" spans="1:11">
      <c r="A18" s="11" t="s">
        <v>139</v>
      </c>
      <c r="H18" s="4" t="str">
        <f>IF(таблДопстык[[#This Row],[Тип сварки]]&lt;&gt;"",CONCATENATE(таблДопстык[[#This Row],[Тип сварки]],таблДопстык[[#This Row],[Материал]]),"")</f>
        <v>МП08Х18Н10Т</v>
      </c>
      <c r="I18" s="7" t="s">
        <v>29</v>
      </c>
      <c r="J18" s="7" t="s">
        <v>44</v>
      </c>
      <c r="K18" s="7" t="s">
        <v>57</v>
      </c>
    </row>
    <row r="19" spans="1:11">
      <c r="A19" s="11" t="s">
        <v>126</v>
      </c>
      <c r="H19" s="4" t="str">
        <f>IF(таблДопстык[[#This Row],[Тип сварки]]&lt;&gt;"",CONCATENATE(таблДопстык[[#This Row],[Тип сварки]],таблДопстык[[#This Row],[Материал]]),"")</f>
        <v>МП12Х18Н10</v>
      </c>
      <c r="I19" s="7" t="s">
        <v>29</v>
      </c>
      <c r="J19" s="7" t="s">
        <v>45</v>
      </c>
      <c r="K19" s="7" t="s">
        <v>58</v>
      </c>
    </row>
    <row r="20" spans="1:11">
      <c r="A20" s="11" t="s">
        <v>141</v>
      </c>
      <c r="H20" s="4" t="str">
        <f>IF(таблДопстык[[#This Row],[Тип сварки]]&lt;&gt;"",CONCATENATE(таблДопстык[[#This Row],[Тип сварки]],таблДопстык[[#This Row],[Материал]]),"")</f>
        <v/>
      </c>
      <c r="I20" s="4"/>
      <c r="J20" s="4"/>
      <c r="K20" s="7"/>
    </row>
    <row r="21" spans="1:11">
      <c r="A21" s="11" t="s">
        <v>133</v>
      </c>
      <c r="H21" s="4" t="str">
        <f>IF(таблДопстык[[#This Row],[Тип сварки]]&lt;&gt;"",CONCATENATE(таблДопстык[[#This Row],[Тип сварки]],таблДопстык[[#This Row],[Материал]]),"")</f>
        <v>РАДСт.20</v>
      </c>
      <c r="I21" s="7" t="s">
        <v>27</v>
      </c>
      <c r="J21" s="7" t="s">
        <v>42</v>
      </c>
      <c r="K21" s="7" t="s">
        <v>87</v>
      </c>
    </row>
    <row r="22" spans="1:11">
      <c r="A22" s="11" t="s">
        <v>168</v>
      </c>
      <c r="H22" s="4" t="str">
        <f>IF(таблДопстык[[#This Row],[Тип сварки]]&lt;&gt;"",CONCATENATE(таблДопстык[[#This Row],[Тип сварки]],таблДопстык[[#This Row],[Материал]]),"")</f>
        <v>РАД09Г2С</v>
      </c>
      <c r="I22" s="7" t="s">
        <v>27</v>
      </c>
      <c r="J22" s="7" t="s">
        <v>46</v>
      </c>
      <c r="K22" s="7" t="s">
        <v>51</v>
      </c>
    </row>
    <row r="23" spans="1:11">
      <c r="A23" s="11" t="s">
        <v>125</v>
      </c>
      <c r="H23" s="4" t="str">
        <f>IF(таблДопстык[[#This Row],[Тип сварки]]&lt;&gt;"",CONCATENATE(таблДопстык[[#This Row],[Тип сварки]],таблДопстык[[#This Row],[Материал]]),"")</f>
        <v>РАД15Х5М</v>
      </c>
      <c r="I23" s="7" t="s">
        <v>27</v>
      </c>
      <c r="J23" s="7" t="s">
        <v>43</v>
      </c>
      <c r="K23" s="7" t="s">
        <v>52</v>
      </c>
    </row>
    <row r="24" spans="1:11">
      <c r="A24" s="11" t="s">
        <v>25</v>
      </c>
      <c r="H24" s="4" t="str">
        <f>IF(таблДопстык[[#This Row],[Тип сварки]]&lt;&gt;"",CONCATENATE(таблДопстык[[#This Row],[Тип сварки]],таблДопстык[[#This Row],[Материал]]),"")</f>
        <v>РАД08Х18Н10Т</v>
      </c>
      <c r="I24" s="7" t="s">
        <v>27</v>
      </c>
      <c r="J24" s="7" t="s">
        <v>44</v>
      </c>
      <c r="K24" s="7" t="s">
        <v>62</v>
      </c>
    </row>
    <row r="25" spans="1:11">
      <c r="A25" s="11" t="s">
        <v>26</v>
      </c>
      <c r="H25" s="4" t="str">
        <f>IF(таблДопстык[[#This Row],[Тип сварки]]&lt;&gt;"",CONCATENATE(таблДопстык[[#This Row],[Тип сварки]],таблДопстык[[#This Row],[Материал]]),"")</f>
        <v>РАД12Х18Н10</v>
      </c>
      <c r="I25" s="7" t="s">
        <v>27</v>
      </c>
      <c r="J25" s="7" t="s">
        <v>45</v>
      </c>
      <c r="K25" s="7" t="s">
        <v>62</v>
      </c>
    </row>
    <row r="26" spans="1:11" ht="38.25" customHeight="1">
      <c r="A26" s="11" t="s">
        <v>73</v>
      </c>
      <c r="H26" s="4" t="str">
        <f>IF(таблДопстык[[#This Row],[Тип сварки]]&lt;&gt;"",CONCATENATE(таблДопстык[[#This Row],[Тип сварки]],таблДопстык[[#This Row],[Материал]]),"")</f>
        <v/>
      </c>
      <c r="I26" s="4"/>
      <c r="J26" s="4"/>
      <c r="K26" s="7"/>
    </row>
    <row r="27" spans="1:11">
      <c r="A27" s="11" t="s">
        <v>138</v>
      </c>
      <c r="H27" s="4" t="str">
        <f>IF(таблДопстык[[#This Row],[Тип сварки]]&lt;&gt;"",CONCATENATE(таблДопстык[[#This Row],[Тип сварки]],таблДопстык[[#This Row],[Материал]]),"")</f>
        <v>РДСт.20</v>
      </c>
      <c r="I27" s="7" t="s">
        <v>28</v>
      </c>
      <c r="J27" s="7" t="s">
        <v>42</v>
      </c>
      <c r="K27" s="7" t="s">
        <v>90</v>
      </c>
    </row>
    <row r="28" spans="1:11">
      <c r="A28" s="11" t="s">
        <v>72</v>
      </c>
      <c r="H28" s="4" t="str">
        <f>IF(таблДопстык[[#This Row],[Тип сварки]]&lt;&gt;"",CONCATENATE(таблДопстык[[#This Row],[Тип сварки]],таблДопстык[[#This Row],[Материал]]),"")</f>
        <v>РД09Г2С</v>
      </c>
      <c r="I28" s="7" t="s">
        <v>28</v>
      </c>
      <c r="J28" s="7" t="s">
        <v>46</v>
      </c>
      <c r="K28" s="7" t="s">
        <v>63</v>
      </c>
    </row>
    <row r="29" spans="1:11">
      <c r="H29" s="4" t="str">
        <f>IF(таблДопстык[[#This Row],[Тип сварки]]&lt;&gt;"",CONCATENATE(таблДопстык[[#This Row],[Тип сварки]],таблДопстык[[#This Row],[Материал]]),"")</f>
        <v>РД15Х5М</v>
      </c>
      <c r="I29" s="7" t="s">
        <v>28</v>
      </c>
      <c r="J29" s="7" t="s">
        <v>43</v>
      </c>
      <c r="K29" s="7" t="s">
        <v>66</v>
      </c>
    </row>
    <row r="30" spans="1:11">
      <c r="H30" s="4" t="str">
        <f>IF(таблДопстык[[#This Row],[Тип сварки]]&lt;&gt;"",CONCATENATE(таблДопстык[[#This Row],[Тип сварки]],таблДопстык[[#This Row],[Материал]]),"")</f>
        <v>РД08Х18Н10Т</v>
      </c>
      <c r="I30" s="7" t="s">
        <v>28</v>
      </c>
      <c r="J30" s="7" t="s">
        <v>44</v>
      </c>
      <c r="K30" s="7" t="s">
        <v>65</v>
      </c>
    </row>
    <row r="31" spans="1:11">
      <c r="H31" s="4" t="str">
        <f>IF(таблДопстык[[#This Row],[Тип сварки]]&lt;&gt;"",CONCATENATE(таблДопстык[[#This Row],[Тип сварки]],таблДопстык[[#This Row],[Материал]]),"")</f>
        <v>РД12Х18Н10</v>
      </c>
      <c r="I31" s="7" t="s">
        <v>28</v>
      </c>
      <c r="J31" s="7" t="s">
        <v>45</v>
      </c>
      <c r="K31" s="7" t="s">
        <v>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ke_split">
                <anchor moveWithCells="1" sizeWithCells="1">
                  <from>
                    <xdr:col>1</xdr:col>
                    <xdr:colOff>600075</xdr:colOff>
                    <xdr:row>16</xdr:row>
                    <xdr:rowOff>190500</xdr:rowOff>
                  </from>
                  <to>
                    <xdr:col>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ke_backup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B01; 55AB@ B01; 55AB@ 08<5=>20=85  ?>4@O4=>9  >@30=870F88 $  A20@I8:0 20;8D8:0F8>==K9  @07@O4 84  A20@:8 !  0BB5AB0F8>==>3>  C4>AB>25@5=8O ;59<> 0B0  2K40G8  C4>AB>25@5=8O !@>:  459AB28O  0BB5AB0F8>==>3>  C4>AB>25@5=8O @C??K  B5E=8G5A:8E  CAB@>9AB2 84  45B0;59 84  H2>2 @C??0  A20@8205<KE  <0B5@80;>2 ">;I8=0  45B0;59,   << 0@C6=K9  480<5B@,   << >;>65=85  ?@8  A20@:5 !20@>G=K5  <05B5@80;K 84  A>548=5=8O !   0B0   !    0B0    !% 0B0  % !  ! 0B0  ! ?8A0=85  4>?CA:=KE  ABK:>2   !    ! :;04KH   0B0  2:;04KH   :;04KH   0B0  :;04KH   0G0;L=8:  " B01;!2>4=0O B01;!2>4=0O !  ?/ ? 08<5=>20=85  ?>4@O4=>9  >@30=870F88 $  A20@I8:0 20;8D8:0F8>==K9  @07@O4 !  0BB5AB0F8>==>3>  C4>AB>25@5=8O !@>:  459AB28O  0BB5AB0F8>==>3>  C4>AB>25@5=8O 84  A20@:8 @C??K  B5E=8G5A:8E  CAB@>9AB2 @C??0  A20@8205<KE  <0B5@80;>2 ">;I8=0  45B0;59,   << 0@C6=K9  480<5B@,   <<  57C;LB0BK  :>=B@>;O  A20@:8  4>?CA:=KE  ( ?@>1=KE)   ABK:>2 ><5@  4>?CA:=>3>  ;8AB0,   A@>:  4>?CA:0  :  @01>B5  =0  >1J5:B0E    � 07?@><=5DBL-  @8<5G0=85 
</file>

<file path=customXml/item2.xml>�� B01; 55AB@ B01; 55AB@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71BAD035-B22E-49F7-9C31-EC69A9BF8F64}">
  <ds:schemaRefs/>
</ds:datastoreItem>
</file>

<file path=customXml/itemProps2.xml><?xml version="1.0" encoding="utf-8"?>
<ds:datastoreItem xmlns:ds="http://schemas.openxmlformats.org/officeDocument/2006/customXml" ds:itemID="{F092FF7C-A4E7-4016-B430-CF0797FBE2D2}">
  <ds:schemaRefs/>
</ds:datastoreItem>
</file>

<file path=customXml/itemProps3.xml><?xml version="1.0" encoding="utf-8"?>
<ds:datastoreItem xmlns:ds="http://schemas.openxmlformats.org/officeDocument/2006/customXml" ds:itemID="{3812E4CD-3E0E-40B7-8333-9BB23B4C55A5}">
  <ds:schemaRefs/>
</ds:datastoreItem>
</file>

<file path=customXml/itemProps4.xml><?xml version="1.0" encoding="utf-8"?>
<ds:datastoreItem xmlns:ds="http://schemas.openxmlformats.org/officeDocument/2006/customXml" ds:itemID="{998D60AC-2C4F-4D57-B24C-913E67769E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Общий реестр сварщиков</vt:lpstr>
      <vt:lpstr>Допускной лист сварщика</vt:lpstr>
      <vt:lpstr>Данные (2)</vt:lpstr>
      <vt:lpstr>Сводная</vt:lpstr>
      <vt:lpstr>Данные</vt:lpstr>
      <vt:lpstr>Password</vt:lpstr>
      <vt:lpstr>'Допускной лист сварщика'!Область_печати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Патраваев Владислав Викторович</dc:creator>
  <cp:lastModifiedBy>RePack by Diakov</cp:lastModifiedBy>
  <cp:lastPrinted>2021-04-20T03:11:55Z</cp:lastPrinted>
  <dcterms:created xsi:type="dcterms:W3CDTF">2019-10-21T03:21:40Z</dcterms:created>
  <dcterms:modified xsi:type="dcterms:W3CDTF">2021-04-29T14:38:20Z</dcterms:modified>
</cp:coreProperties>
</file>